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F35EFB69-3E8B-40BA-B8CC-B752FDCE29B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2" i="1" l="1"/>
  <c r="CQ48" i="1"/>
  <c r="CU5" i="1"/>
  <c r="CL5" i="1"/>
  <c r="CL252" i="1"/>
  <c r="CJ124" i="1"/>
  <c r="CI124" i="1"/>
  <c r="CH124" i="1"/>
  <c r="CG124" i="1"/>
  <c r="CF124" i="1"/>
  <c r="CE124" i="1"/>
  <c r="CD124" i="1"/>
  <c r="CC124" i="1"/>
  <c r="CB124" i="1"/>
  <c r="CA124" i="1"/>
  <c r="BZ124" i="1"/>
  <c r="X124" i="1" s="1"/>
  <c r="BY124" i="1"/>
  <c r="BX124" i="1"/>
  <c r="BW124" i="1"/>
  <c r="BV124" i="1"/>
  <c r="BZ125" i="1" s="1"/>
  <c r="BU124" i="1"/>
  <c r="BT124" i="1"/>
  <c r="BS124" i="1"/>
  <c r="BR124" i="1"/>
  <c r="BQ124" i="1"/>
  <c r="BP124" i="1"/>
  <c r="BO124" i="1"/>
  <c r="BN124" i="1"/>
  <c r="BM124" i="1"/>
  <c r="U124" i="1" s="1"/>
  <c r="BL124" i="1"/>
  <c r="BK124" i="1"/>
  <c r="BJ124" i="1"/>
  <c r="BI124" i="1"/>
  <c r="T124" i="1" s="1"/>
  <c r="BH124" i="1"/>
  <c r="BG124" i="1"/>
  <c r="BF124" i="1"/>
  <c r="BJ125" i="1" s="1"/>
  <c r="BE124" i="1"/>
  <c r="BD124" i="1"/>
  <c r="BC124" i="1"/>
  <c r="BB124" i="1"/>
  <c r="BA124" i="1"/>
  <c r="R124" i="1" s="1"/>
  <c r="CR45" i="1"/>
  <c r="CN48" i="1"/>
  <c r="CO48" i="1" s="1"/>
  <c r="CP48" i="1" s="1"/>
  <c r="CN5" i="1"/>
  <c r="CO5" i="1" s="1"/>
  <c r="CP5" i="1" s="1"/>
  <c r="CK4" i="1"/>
  <c r="CL124" i="1" s="1"/>
  <c r="Z4" i="1"/>
  <c r="Y4" i="1"/>
  <c r="X4" i="1"/>
  <c r="W4" i="1"/>
  <c r="V4" i="1"/>
  <c r="U4" i="1"/>
  <c r="T4" i="1"/>
  <c r="S4" i="1"/>
  <c r="R4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CJ5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9" i="1"/>
  <c r="AB17" i="1"/>
  <c r="AC17" i="1"/>
  <c r="AD17" i="1"/>
  <c r="AE17" i="1"/>
  <c r="AB30" i="1"/>
  <c r="AC30" i="1"/>
  <c r="AD30" i="1"/>
  <c r="AE30" i="1"/>
  <c r="AE29" i="1"/>
  <c r="AD29" i="1"/>
  <c r="AC29" i="1"/>
  <c r="AB29" i="1"/>
  <c r="AJ222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61" i="2"/>
  <c r="AC88" i="2"/>
  <c r="AC36" i="2"/>
  <c r="AB74" i="2"/>
  <c r="AB90" i="2"/>
  <c r="AB110" i="2"/>
  <c r="AC70" i="2"/>
  <c r="AC94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7" i="2"/>
  <c r="AE91" i="2"/>
  <c r="AE42" i="2"/>
  <c r="AF76" i="2"/>
  <c r="AF92" i="2"/>
  <c r="AF112" i="2"/>
  <c r="AE73" i="2"/>
  <c r="AE97" i="2"/>
  <c r="AD65" i="2"/>
  <c r="AF70" i="2"/>
  <c r="AF86" i="2"/>
  <c r="AF106" i="2"/>
  <c r="AC68" i="2"/>
  <c r="AC92" i="2"/>
  <c r="AC55" i="2"/>
  <c r="AD77" i="2"/>
  <c r="AD93" i="2"/>
  <c r="AC8" i="2"/>
  <c r="AC74" i="2"/>
  <c r="AC98" i="2"/>
  <c r="AE15" i="2"/>
  <c r="AB108" i="2"/>
  <c r="AC60" i="2"/>
  <c r="AF80" i="2"/>
  <c r="AC78" i="2"/>
  <c r="AB19" i="2"/>
  <c r="AB46" i="2"/>
  <c r="AC21" i="2"/>
  <c r="AB6" i="2"/>
  <c r="AB22" i="2"/>
  <c r="AB57" i="2"/>
  <c r="AD82" i="2"/>
  <c r="AF78" i="2"/>
  <c r="AC108" i="2"/>
  <c r="AD6" i="2"/>
  <c r="AB43" i="2"/>
  <c r="AC24" i="2"/>
  <c r="AC9" i="2"/>
  <c r="AD98" i="2"/>
  <c r="AC53" i="2"/>
  <c r="AE92" i="2"/>
  <c r="AE50" i="2"/>
  <c r="AC80" i="2"/>
  <c r="AD85" i="2"/>
  <c r="AC86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B20" i="2"/>
  <c r="AB55" i="2"/>
  <c r="AC14" i="2"/>
  <c r="AC41" i="2"/>
  <c r="AE62" i="2"/>
  <c r="AE74" i="2"/>
  <c r="AE86" i="2"/>
  <c r="AC107" i="2"/>
  <c r="AD35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71" i="2"/>
  <c r="AE95" i="2"/>
  <c r="AE58" i="2"/>
  <c r="AB78" i="2"/>
  <c r="AB94" i="2"/>
  <c r="AE11" i="2"/>
  <c r="AE77" i="2"/>
  <c r="AE105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F26" i="2"/>
  <c r="AD59" i="2"/>
  <c r="AC18" i="2"/>
  <c r="AC45" i="2"/>
  <c r="AE64" i="2"/>
  <c r="AE76" i="2"/>
  <c r="AE88" i="2"/>
  <c r="AB8" i="2"/>
  <c r="AB72" i="2"/>
  <c r="AB88" i="2"/>
  <c r="AC72" i="2"/>
  <c r="AC96" i="2"/>
  <c r="AF96" i="2"/>
  <c r="AC106" i="2"/>
  <c r="AB27" i="2"/>
  <c r="AC33" i="2"/>
  <c r="AB41" i="2"/>
  <c r="AD74" i="2"/>
  <c r="AF6" i="2"/>
  <c r="AB64" i="2"/>
  <c r="AE68" i="2"/>
  <c r="AD19" i="2"/>
  <c r="AF94" i="2"/>
  <c r="AD105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5" i="2"/>
  <c r="AE99" i="2"/>
  <c r="AE63" i="2"/>
  <c r="AD81" i="2"/>
  <c r="AD97" i="2"/>
  <c r="AE27" i="2"/>
  <c r="AE81" i="2"/>
  <c r="AE109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16" i="2"/>
  <c r="AC76" i="2"/>
  <c r="AC104" i="2"/>
  <c r="AB66" i="2"/>
  <c r="AB82" i="2"/>
  <c r="AB98" i="2"/>
  <c r="AC43" i="2"/>
  <c r="AC82" i="2"/>
  <c r="AC110" i="2"/>
  <c r="AB11" i="2"/>
  <c r="AB35" i="2"/>
  <c r="AB54" i="2"/>
  <c r="AC48" i="2"/>
  <c r="AD66" i="2"/>
  <c r="AD90" i="2"/>
  <c r="AD110" i="2"/>
  <c r="AB36" i="2"/>
  <c r="AC26" i="2"/>
  <c r="AE80" i="2"/>
  <c r="AD54" i="2"/>
  <c r="AC32" i="2"/>
  <c r="AD69" i="2"/>
  <c r="AC62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13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19" i="2"/>
  <c r="AE79" i="2"/>
  <c r="AE107" i="2"/>
  <c r="AF68" i="2"/>
  <c r="AF84" i="2"/>
  <c r="AF104" i="2"/>
  <c r="AE46" i="2"/>
  <c r="AE85" i="2"/>
  <c r="AB13" i="2"/>
  <c r="AB48" i="2"/>
  <c r="AE36" i="2"/>
  <c r="AB45" i="2"/>
  <c r="AD84" i="2"/>
  <c r="AB12" i="2"/>
  <c r="AC59" i="2"/>
  <c r="AD27" i="2"/>
  <c r="AF98" i="2"/>
  <c r="AD73" i="2"/>
  <c r="AE93" i="2"/>
  <c r="AF60" i="2"/>
  <c r="AB21" i="2"/>
  <c r="AE51" i="2"/>
  <c r="AD92" i="2"/>
  <c r="AB47" i="2"/>
  <c r="AD61" i="2"/>
  <c r="AF27" i="2"/>
  <c r="AB99" i="2"/>
  <c r="AE59" i="2"/>
  <c r="AD28" i="2"/>
  <c r="AF99" i="2"/>
  <c r="AB29" i="2"/>
  <c r="AD68" i="2"/>
  <c r="AE9" i="2"/>
  <c r="AF66" i="2"/>
  <c r="AF35" i="2"/>
  <c r="AB75" i="2"/>
  <c r="AE65" i="2"/>
  <c r="AD25" i="2"/>
  <c r="AC95" i="2"/>
  <c r="AC66" i="2"/>
  <c r="AE24" i="2"/>
  <c r="AF11" i="2"/>
  <c r="AF43" i="2"/>
  <c r="AD95" i="2"/>
  <c r="AD12" i="2"/>
  <c r="AC35" i="2"/>
  <c r="AF83" i="2"/>
  <c r="AC57" i="2"/>
  <c r="AC90" i="2"/>
  <c r="AF19" i="2"/>
  <c r="AF54" i="2"/>
  <c r="AE49" i="2"/>
  <c r="AB59" i="2"/>
  <c r="AB91" i="2"/>
  <c r="AD42" i="2"/>
  <c r="AC69" i="2"/>
  <c r="AF57" i="2"/>
  <c r="AE35" i="2"/>
  <c r="AB86" i="2"/>
  <c r="AC51" i="2"/>
  <c r="AD60" i="2"/>
  <c r="AE54" i="2"/>
  <c r="AF8" i="2"/>
  <c r="AE5" i="2"/>
  <c r="AE83" i="2"/>
  <c r="AD9" i="2"/>
  <c r="AC6" i="2"/>
  <c r="AC84" i="2"/>
  <c r="AE12" i="2"/>
  <c r="AD104" i="2"/>
  <c r="AE87" i="2"/>
  <c r="AE22" i="2"/>
  <c r="AE94" i="2"/>
  <c r="AE7" i="2"/>
  <c r="AD36" i="2"/>
  <c r="AC20" i="2"/>
  <c r="AB5" i="2"/>
  <c r="AB26" i="2"/>
  <c r="AF113" i="2"/>
  <c r="AE98" i="2"/>
  <c r="AE23" i="2"/>
  <c r="AE34" i="2"/>
  <c r="AB83" i="2"/>
  <c r="AE56" i="2"/>
  <c r="AB70" i="2"/>
  <c r="AD20" i="2"/>
  <c r="AD55" i="2"/>
  <c r="AC50" i="2"/>
  <c r="AF59" i="2"/>
  <c r="AF91" i="2"/>
  <c r="AF45" i="2"/>
  <c r="AE70" i="2"/>
  <c r="AF88" i="2"/>
  <c r="AB56" i="2"/>
  <c r="AC71" i="2"/>
  <c r="AD89" i="2"/>
  <c r="AE10" i="2"/>
  <c r="AB67" i="2"/>
  <c r="AC81" i="2"/>
  <c r="AB106" i="2"/>
  <c r="AF67" i="2"/>
  <c r="AE82" i="2"/>
  <c r="AC64" i="2"/>
  <c r="AF108" i="2"/>
  <c r="AB96" i="2"/>
  <c r="AC11" i="2"/>
  <c r="AB10" i="2"/>
  <c r="AC83" i="2"/>
  <c r="AD109" i="2"/>
  <c r="AF24" i="2"/>
  <c r="AE29" i="2"/>
  <c r="AD79" i="2"/>
  <c r="AC23" i="2"/>
  <c r="AF75" i="2"/>
  <c r="AC30" i="2"/>
  <c r="AB80" i="2"/>
  <c r="AB40" i="2"/>
  <c r="AD76" i="2"/>
  <c r="AE33" i="2"/>
  <c r="AF82" i="2"/>
  <c r="AE69" i="2"/>
  <c r="AF46" i="2"/>
  <c r="AD7" i="2"/>
  <c r="AF22" i="2"/>
  <c r="AE89" i="2"/>
  <c r="AD47" i="2"/>
  <c r="AD44" i="2"/>
  <c r="AF10" i="2"/>
  <c r="AF72" i="2"/>
  <c r="AB24" i="2"/>
  <c r="AB111" i="2"/>
  <c r="AB113" i="2"/>
  <c r="AA185" i="1" l="1"/>
  <c r="AA184" i="1"/>
  <c r="AA183" i="1"/>
  <c r="AA177" i="1"/>
  <c r="AA176" i="1"/>
  <c r="AA173" i="1"/>
  <c r="AA172" i="1"/>
  <c r="AA168" i="1"/>
  <c r="AA166" i="1"/>
  <c r="AA164" i="1"/>
  <c r="AA163" i="1"/>
  <c r="AA162" i="1"/>
  <c r="AA160" i="1"/>
  <c r="AA159" i="1"/>
  <c r="AA158" i="1"/>
  <c r="AA157" i="1"/>
  <c r="AA156" i="1"/>
  <c r="AA155" i="1"/>
  <c r="AA161" i="1" s="1"/>
  <c r="AA153" i="1"/>
  <c r="AA150" i="1"/>
  <c r="AA149" i="1"/>
  <c r="AA148" i="1"/>
  <c r="AA146" i="1"/>
  <c r="AA145" i="1"/>
  <c r="AA144" i="1"/>
  <c r="AA140" i="1"/>
  <c r="AA139" i="1"/>
  <c r="AA138" i="1"/>
  <c r="AA137" i="1"/>
  <c r="AA141" i="1" s="1"/>
  <c r="AA135" i="1"/>
  <c r="AA132" i="1"/>
  <c r="AA131" i="1"/>
  <c r="AA130" i="1"/>
  <c r="AA124" i="1"/>
  <c r="AA87" i="1"/>
  <c r="AA86" i="1"/>
  <c r="AA85" i="1"/>
  <c r="AA82" i="1"/>
  <c r="AA75" i="1"/>
  <c r="AA59" i="1"/>
  <c r="AA55" i="1"/>
  <c r="AA54" i="1"/>
  <c r="AA53" i="1"/>
  <c r="AA47" i="1"/>
  <c r="AA44" i="1"/>
  <c r="AA43" i="1"/>
  <c r="AA40" i="1"/>
  <c r="AA33" i="1"/>
  <c r="AA32" i="1"/>
  <c r="AA31" i="1"/>
  <c r="AA30" i="1"/>
  <c r="AA29" i="1"/>
  <c r="AA28" i="1"/>
  <c r="AA34" i="1" s="1"/>
  <c r="AA23" i="1"/>
  <c r="AA21" i="1"/>
  <c r="AA17" i="1"/>
  <c r="AA16" i="1"/>
  <c r="CV5" i="1"/>
  <c r="CW5" i="1" s="1"/>
  <c r="CX5" i="1" s="1"/>
  <c r="U125" i="1"/>
  <c r="CL125" i="1"/>
  <c r="Y5" i="1"/>
  <c r="AA266" i="1"/>
  <c r="AA207" i="1"/>
  <c r="AA196" i="1"/>
  <c r="AA195" i="1"/>
  <c r="AA193" i="1"/>
  <c r="AA192" i="1"/>
  <c r="AA186" i="1"/>
  <c r="AA147" i="1"/>
  <c r="AA151" i="1" s="1"/>
  <c r="AA45" i="1"/>
  <c r="CR48" i="1"/>
  <c r="CS48" i="1"/>
  <c r="CE125" i="1"/>
  <c r="BP125" i="1"/>
  <c r="BE125" i="1"/>
  <c r="T5" i="1"/>
  <c r="CH125" i="1"/>
  <c r="Y124" i="1"/>
  <c r="Y125" i="1" s="1"/>
  <c r="S124" i="1"/>
  <c r="S125" i="1" s="1"/>
  <c r="CK5" i="1"/>
  <c r="CK124" i="1"/>
  <c r="CK125" i="1" s="1"/>
  <c r="V124" i="1"/>
  <c r="V125" i="1" s="1"/>
  <c r="BH125" i="1"/>
  <c r="CF125" i="1"/>
  <c r="BU125" i="1"/>
  <c r="W124" i="1"/>
  <c r="U5" i="1"/>
  <c r="BW125" i="1"/>
  <c r="BX125" i="1"/>
  <c r="Z124" i="1"/>
  <c r="BQ125" i="1"/>
  <c r="BI125" i="1"/>
  <c r="BY125" i="1"/>
  <c r="CG125" i="1"/>
  <c r="BR125" i="1"/>
  <c r="BK125" i="1"/>
  <c r="CI125" i="1"/>
  <c r="BL125" i="1"/>
  <c r="CB125" i="1"/>
  <c r="BM125" i="1"/>
  <c r="CC125" i="1"/>
  <c r="BF125" i="1"/>
  <c r="BN125" i="1"/>
  <c r="BV125" i="1"/>
  <c r="CD125" i="1"/>
  <c r="CA125" i="1"/>
  <c r="BG125" i="1"/>
  <c r="BO125" i="1"/>
  <c r="BS125" i="1"/>
  <c r="BT125" i="1"/>
  <c r="CJ125" i="1"/>
  <c r="W5" i="1"/>
  <c r="X5" i="1"/>
  <c r="Z5" i="1"/>
  <c r="V5" i="1"/>
  <c r="S5" i="1"/>
  <c r="AA4" i="1"/>
  <c r="AA5" i="1" s="1"/>
  <c r="B1" i="9"/>
  <c r="AB112" i="2"/>
  <c r="AA81" i="1" s="1"/>
  <c r="AC111" i="2"/>
  <c r="AE113" i="2"/>
  <c r="A1" i="9"/>
  <c r="AD111" i="2"/>
  <c r="AE111" i="2"/>
  <c r="AE112" i="2"/>
  <c r="AD112" i="2"/>
  <c r="AF111" i="2"/>
  <c r="L1" i="9"/>
  <c r="AC112" i="2"/>
  <c r="AD113" i="2"/>
  <c r="AA41" i="1" l="1"/>
  <c r="AA244" i="1"/>
  <c r="AA174" i="1"/>
  <c r="AA167" i="1"/>
  <c r="AA169" i="1" s="1"/>
  <c r="AA133" i="1"/>
  <c r="AA125" i="1"/>
  <c r="AA18" i="1"/>
  <c r="AA265" i="1"/>
  <c r="CY5" i="1"/>
  <c r="CZ5" i="1" s="1"/>
  <c r="DA5" i="1" s="1"/>
  <c r="DB5" i="1" s="1"/>
  <c r="AA194" i="1"/>
  <c r="CT48" i="1"/>
  <c r="T125" i="1"/>
  <c r="X125" i="1"/>
  <c r="W125" i="1"/>
  <c r="Z125" i="1"/>
  <c r="DB252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CO252" i="1"/>
  <c r="CN252" i="1"/>
  <c r="CM252" i="1"/>
  <c r="CK252" i="1"/>
  <c r="CK149" i="1"/>
  <c r="CM149" i="1" s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CH165" i="1"/>
  <c r="CJ252" i="1"/>
  <c r="Z252" i="1"/>
  <c r="AA142" i="1" l="1"/>
  <c r="AA188" i="1"/>
  <c r="AA261" i="1"/>
  <c r="AA259" i="1"/>
  <c r="AA198" i="1"/>
  <c r="AA197" i="1" s="1"/>
  <c r="AA24" i="1"/>
  <c r="AA106" i="1"/>
  <c r="AA257" i="1"/>
  <c r="AA181" i="1"/>
  <c r="AA117" i="1" s="1"/>
  <c r="AA170" i="1"/>
  <c r="AA35" i="1"/>
  <c r="AA25" i="1"/>
  <c r="AA36" i="1"/>
  <c r="AA199" i="1"/>
  <c r="CU48" i="1"/>
  <c r="CI252" i="1"/>
  <c r="CG149" i="1"/>
  <c r="CG252" i="1"/>
  <c r="CH252" i="1"/>
  <c r="AB21" i="1"/>
  <c r="AC21" i="1"/>
  <c r="AD21" i="1"/>
  <c r="AE21" i="1"/>
  <c r="AB22" i="1"/>
  <c r="AC22" i="1"/>
  <c r="AD22" i="1"/>
  <c r="AE22" i="1"/>
  <c r="AB32" i="1"/>
  <c r="AC32" i="1"/>
  <c r="AD32" i="1"/>
  <c r="AE32" i="1"/>
  <c r="AB33" i="1"/>
  <c r="AC33" i="1"/>
  <c r="AD33" i="1"/>
  <c r="AE33" i="1"/>
  <c r="AB55" i="1"/>
  <c r="AC55" i="1"/>
  <c r="AD55" i="1"/>
  <c r="AE55" i="1"/>
  <c r="AB172" i="1"/>
  <c r="AC172" i="1"/>
  <c r="AD172" i="1"/>
  <c r="AE172" i="1"/>
  <c r="AB186" i="1"/>
  <c r="AC186" i="1"/>
  <c r="AD186" i="1"/>
  <c r="AE186" i="1"/>
  <c r="CE149" i="1"/>
  <c r="CE252" i="1"/>
  <c r="CF252" i="1"/>
  <c r="AI210" i="1"/>
  <c r="AI215" i="1"/>
  <c r="AI219" i="1"/>
  <c r="AI222" i="1"/>
  <c r="AI252" i="1"/>
  <c r="Y252" i="1"/>
  <c r="AM149" i="1"/>
  <c r="AO149" i="1"/>
  <c r="AQ149" i="1"/>
  <c r="AS149" i="1"/>
  <c r="AU149" i="1"/>
  <c r="AW149" i="1"/>
  <c r="AY149" i="1"/>
  <c r="BA149" i="1"/>
  <c r="BC149" i="1"/>
  <c r="BE149" i="1"/>
  <c r="BG149" i="1"/>
  <c r="BI149" i="1"/>
  <c r="BK149" i="1"/>
  <c r="BM149" i="1"/>
  <c r="BO149" i="1"/>
  <c r="BQ149" i="1"/>
  <c r="BS149" i="1"/>
  <c r="BU149" i="1"/>
  <c r="BW149" i="1"/>
  <c r="BY149" i="1"/>
  <c r="CA149" i="1"/>
  <c r="CC149" i="1"/>
  <c r="CD252" i="1"/>
  <c r="CC252" i="1"/>
  <c r="AJ252" i="1"/>
  <c r="AK252" i="1"/>
  <c r="AL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78" i="1" l="1"/>
  <c r="AA179" i="1" s="1"/>
  <c r="AA37" i="1"/>
  <c r="AA42" i="1"/>
  <c r="AA245" i="1"/>
  <c r="AA246" i="1" s="1"/>
  <c r="AA120" i="1"/>
  <c r="CV48" i="1"/>
  <c r="Y1" i="1"/>
  <c r="Z1" i="1" s="1"/>
  <c r="AA46" i="1" l="1"/>
  <c r="AA63" i="1"/>
  <c r="AA126" i="1"/>
  <c r="CW48" i="1"/>
  <c r="AA1" i="1"/>
  <c r="AB1" i="1" s="1"/>
  <c r="AC1" i="1" s="1"/>
  <c r="AD1" i="1" s="1"/>
  <c r="AE1" i="1" s="1"/>
  <c r="AA48" i="1" l="1"/>
  <c r="AA49" i="1"/>
  <c r="CX48" i="1"/>
  <c r="A1" i="3"/>
  <c r="AA50" i="1" l="1"/>
  <c r="AA258" i="1" s="1"/>
  <c r="AA56" i="1"/>
  <c r="AA247" i="1"/>
  <c r="CY48" i="1"/>
  <c r="CZ48" i="1" s="1"/>
  <c r="A1" i="6"/>
  <c r="A1" i="4"/>
  <c r="BQ5" i="3"/>
  <c r="BQ11" i="3"/>
  <c r="BQ17" i="3"/>
  <c r="BQ23" i="3"/>
  <c r="BQ29" i="3"/>
  <c r="BQ35" i="3"/>
  <c r="BQ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U5" i="3"/>
  <c r="BU11" i="3"/>
  <c r="BU17" i="3"/>
  <c r="BU23" i="3"/>
  <c r="BU29" i="3"/>
  <c r="BU35" i="3"/>
  <c r="BU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53" i="1" s="1"/>
  <c r="BH9" i="3"/>
  <c r="BJ28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Q6" i="3"/>
  <c r="BQ12" i="3"/>
  <c r="BQ18" i="3"/>
  <c r="BQ24" i="3"/>
  <c r="BQ30" i="3"/>
  <c r="BQ36" i="3"/>
  <c r="BQ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H62" i="3" s="1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9" i="1" s="1"/>
  <c r="BN10" i="3"/>
  <c r="BF30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U6" i="3"/>
  <c r="BU12" i="3"/>
  <c r="BU18" i="3"/>
  <c r="BU24" i="3"/>
  <c r="BU30" i="3"/>
  <c r="BU36" i="3"/>
  <c r="BU42" i="3"/>
  <c r="BR8" i="3"/>
  <c r="BS35" i="3"/>
  <c r="BT15" i="3"/>
  <c r="BP30" i="3"/>
  <c r="BM41" i="3"/>
  <c r="BF21" i="3"/>
  <c r="CL30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Q7" i="3"/>
  <c r="BQ13" i="3"/>
  <c r="BQ19" i="3"/>
  <c r="BQ25" i="3"/>
  <c r="BQ31" i="3"/>
  <c r="BQ37" i="3"/>
  <c r="BQ45" i="3"/>
  <c r="BV8" i="3"/>
  <c r="BS36" i="3"/>
  <c r="BT23" i="3"/>
  <c r="BP38" i="3"/>
  <c r="BK42" i="3"/>
  <c r="BL22" i="3"/>
  <c r="BN41" i="3"/>
  <c r="BI24" i="3"/>
  <c r="BF10" i="3"/>
  <c r="CL21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43" i="1" s="1"/>
  <c r="BG5" i="3"/>
  <c r="BK25" i="3"/>
  <c r="BF18" i="3"/>
  <c r="CL33" i="1" s="1"/>
  <c r="BT12" i="3"/>
  <c r="BP33" i="3"/>
  <c r="BP13" i="3"/>
  <c r="BG8" i="3"/>
  <c r="BE13" i="3"/>
  <c r="BM17" i="3"/>
  <c r="BK22" i="3"/>
  <c r="BK36" i="3"/>
  <c r="BF15" i="3"/>
  <c r="CL32" i="1" s="1"/>
  <c r="BH34" i="3"/>
  <c r="BM14" i="3"/>
  <c r="BG35" i="3"/>
  <c r="BH15" i="3"/>
  <c r="BF14" i="3"/>
  <c r="CL31" i="1" s="1"/>
  <c r="BH33" i="3"/>
  <c r="BH19" i="3"/>
  <c r="BL17" i="3"/>
  <c r="BP6" i="3"/>
  <c r="BP8" i="3"/>
  <c r="BG32" i="3"/>
  <c r="BL8" i="3"/>
  <c r="BF25" i="3"/>
  <c r="CL44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Z64" i="2"/>
  <c r="BC18" i="3"/>
  <c r="BD22" i="3"/>
  <c r="BC27" i="3"/>
  <c r="BB15" i="3"/>
  <c r="Z107" i="2"/>
  <c r="BU7" i="3"/>
  <c r="BU13" i="3"/>
  <c r="BU19" i="3"/>
  <c r="BU25" i="3"/>
  <c r="BU31" i="3"/>
  <c r="BU37" i="3"/>
  <c r="BU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55" i="1" s="1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L25" i="3"/>
  <c r="BF24" i="3"/>
  <c r="BT9" i="3"/>
  <c r="BP14" i="3"/>
  <c r="BI33" i="3"/>
  <c r="BN9" i="3"/>
  <c r="BH26" i="3"/>
  <c r="BF45" i="3"/>
  <c r="CL71" i="1" s="1"/>
  <c r="BK19" i="3"/>
  <c r="BK35" i="3"/>
  <c r="BJ40" i="3"/>
  <c r="AB39" i="3"/>
  <c r="AA61" i="2"/>
  <c r="AA17" i="2"/>
  <c r="Y46" i="2"/>
  <c r="Y23" i="2"/>
  <c r="AA105" i="2"/>
  <c r="BQ8" i="3"/>
  <c r="BQ14" i="3"/>
  <c r="BQ20" i="3"/>
  <c r="BQ26" i="3"/>
  <c r="BQ32" i="3"/>
  <c r="BU8" i="3"/>
  <c r="BU14" i="3"/>
  <c r="BU20" i="3"/>
  <c r="BU26" i="3"/>
  <c r="BU32" i="3"/>
  <c r="BU38" i="3"/>
  <c r="BU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Q9" i="3"/>
  <c r="BQ15" i="3"/>
  <c r="BQ21" i="3"/>
  <c r="BQ27" i="3"/>
  <c r="BQ33" i="3"/>
  <c r="BQ39" i="3"/>
  <c r="BQ62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F16" i="3"/>
  <c r="CL28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U9" i="3"/>
  <c r="BU15" i="3"/>
  <c r="BU21" i="3"/>
  <c r="BU27" i="3"/>
  <c r="BU33" i="3"/>
  <c r="BU39" i="3"/>
  <c r="BR5" i="3"/>
  <c r="BR11" i="3"/>
  <c r="BS41" i="3"/>
  <c r="BT14" i="3"/>
  <c r="BM31" i="3"/>
  <c r="BL10" i="3"/>
  <c r="BH30" i="3"/>
  <c r="BE12" i="3"/>
  <c r="BM32" i="3"/>
  <c r="BF46" i="3"/>
  <c r="CL72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23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E85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Q10" i="3"/>
  <c r="BQ16" i="3"/>
  <c r="BQ22" i="3"/>
  <c r="BQ28" i="3"/>
  <c r="BU10" i="3"/>
  <c r="BU16" i="3"/>
  <c r="BU22" i="3"/>
  <c r="BU28" i="3"/>
  <c r="BU34" i="3"/>
  <c r="BU40" i="3"/>
  <c r="BR6" i="3"/>
  <c r="BR12" i="3"/>
  <c r="BO45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16" i="1" s="1"/>
  <c r="BH25" i="3"/>
  <c r="BL45" i="3"/>
  <c r="BN20" i="3"/>
  <c r="BH35" i="3"/>
  <c r="BT45" i="3"/>
  <c r="BM25" i="3"/>
  <c r="BI41" i="3"/>
  <c r="BL18" i="3"/>
  <c r="BF35" i="3"/>
  <c r="CL54" i="1" s="1"/>
  <c r="BG11" i="3"/>
  <c r="BE28" i="3"/>
  <c r="BJ8" i="3"/>
  <c r="BF28" i="3"/>
  <c r="CL40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L7" i="3"/>
  <c r="BN26" i="3"/>
  <c r="BJ46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Q34" i="3"/>
  <c r="BK32" i="3"/>
  <c r="BV17" i="3"/>
  <c r="BS13" i="3"/>
  <c r="BO40" i="3"/>
  <c r="BL36" i="3"/>
  <c r="BT36" i="3"/>
  <c r="BI15" i="3"/>
  <c r="BJ13" i="3"/>
  <c r="BK33" i="3"/>
  <c r="BL31" i="3"/>
  <c r="BG45" i="3"/>
  <c r="BF7" i="3"/>
  <c r="BM16" i="3"/>
  <c r="Y75" i="2"/>
  <c r="AA94" i="2"/>
  <c r="BB32" i="3"/>
  <c r="BD13" i="3"/>
  <c r="Y49" i="2"/>
  <c r="AA6" i="2"/>
  <c r="AA41" i="2"/>
  <c r="BB5" i="3"/>
  <c r="AA88" i="2"/>
  <c r="AA104" i="2"/>
  <c r="AA71" i="2"/>
  <c r="AA89" i="2"/>
  <c r="BA8" i="3"/>
  <c r="Y48" i="2"/>
  <c r="BD16" i="3"/>
  <c r="BA34" i="3"/>
  <c r="AA69" i="2"/>
  <c r="Z8" i="2"/>
  <c r="AA75" i="2"/>
  <c r="AA95" i="2"/>
  <c r="AA15" i="2"/>
  <c r="FD7" i="4" a="1"/>
  <c r="FA5" i="4" a="1"/>
  <c r="FD6" i="4" a="1"/>
  <c r="FF12" i="4" a="1"/>
  <c r="EY8" i="4" a="1"/>
  <c r="FB15" i="4" a="1"/>
  <c r="BD39" i="3"/>
  <c r="Z80" i="2"/>
  <c r="Z57" i="2"/>
  <c r="Z105" i="2"/>
  <c r="Y105" i="2"/>
  <c r="Z42" i="2"/>
  <c r="FA7" i="4" a="1"/>
  <c r="EY13" i="4" a="1"/>
  <c r="EY15" i="4" a="1"/>
  <c r="FE11" i="4" a="1"/>
  <c r="FD9" i="4" a="1"/>
  <c r="BV11" i="3"/>
  <c r="BS25" i="3"/>
  <c r="BM5" i="3"/>
  <c r="AA82" i="2"/>
  <c r="Z33" i="2"/>
  <c r="Z69" i="2"/>
  <c r="FF14" i="4" a="1"/>
  <c r="FE13" i="4" a="1"/>
  <c r="FD16" i="4" a="1"/>
  <c r="BT26" i="3"/>
  <c r="BK40" i="3"/>
  <c r="AA81" i="2"/>
  <c r="AA5" i="2"/>
  <c r="BD28" i="3"/>
  <c r="Z63" i="2"/>
  <c r="BT24" i="3"/>
  <c r="BB17" i="3"/>
  <c r="BD8" i="3"/>
  <c r="Z75" i="2"/>
  <c r="Y18" i="2"/>
  <c r="BQ38" i="3"/>
  <c r="BN5" i="3"/>
  <c r="BV21" i="3"/>
  <c r="BS17" i="3"/>
  <c r="BT21" i="3"/>
  <c r="BI8" i="3"/>
  <c r="BP21" i="3"/>
  <c r="BK18" i="3"/>
  <c r="BH18" i="3"/>
  <c r="BM38" i="3"/>
  <c r="BJ36" i="3"/>
  <c r="BT13" i="3"/>
  <c r="BJ11" i="3"/>
  <c r="BG21" i="3"/>
  <c r="AA77" i="2"/>
  <c r="Y32" i="2"/>
  <c r="BD21" i="3"/>
  <c r="Y6" i="2"/>
  <c r="AA8" i="2"/>
  <c r="Z79" i="2"/>
  <c r="Y78" i="2"/>
  <c r="BA37" i="3"/>
  <c r="Z6" i="2"/>
  <c r="Y8" i="2"/>
  <c r="AA64" i="2"/>
  <c r="Y30" i="2"/>
  <c r="AV10" i="3"/>
  <c r="AA27" i="2"/>
  <c r="BC33" i="3"/>
  <c r="BD12" i="3"/>
  <c r="Y69" i="2"/>
  <c r="BA25" i="3"/>
  <c r="Z78" i="2"/>
  <c r="Z41" i="2"/>
  <c r="Y97" i="2"/>
  <c r="EY14" i="4" a="1"/>
  <c r="FB8" i="4" a="1"/>
  <c r="FE8" i="4" a="1"/>
  <c r="FF6" i="4" a="1"/>
  <c r="FE7" i="4" a="1"/>
  <c r="FF7" i="4" a="1"/>
  <c r="BV29" i="3"/>
  <c r="BL32" i="3"/>
  <c r="BG33" i="3"/>
  <c r="BB24" i="3"/>
  <c r="AA26" i="2"/>
  <c r="Y92" i="2"/>
  <c r="AA34" i="2"/>
  <c r="Z65" i="2"/>
  <c r="BC26" i="3"/>
  <c r="EX11" i="4" a="1"/>
  <c r="FC13" i="4" a="1"/>
  <c r="FA14" i="4" a="1"/>
  <c r="BL29" i="3"/>
  <c r="BB20" i="3"/>
  <c r="Z10" i="2"/>
  <c r="BC21" i="3"/>
  <c r="AA49" i="2"/>
  <c r="BM23" i="3"/>
  <c r="BP26" i="3"/>
  <c r="BI38" i="3"/>
  <c r="BA16" i="3"/>
  <c r="BA28" i="3"/>
  <c r="C5" i="2"/>
  <c r="BC5" i="3"/>
  <c r="FB14" i="4" a="1"/>
  <c r="FC6" i="4" a="1"/>
  <c r="EZ5" i="4" a="1"/>
  <c r="BF29" i="3"/>
  <c r="CL47" i="1" s="1"/>
  <c r="AA78" i="2"/>
  <c r="BA36" i="3"/>
  <c r="Z84" i="2"/>
  <c r="BB40" i="3"/>
  <c r="FC7" i="4" a="1"/>
  <c r="BG14" i="3"/>
  <c r="AA48" i="2"/>
  <c r="FD13" i="4" a="1"/>
  <c r="BQ40" i="3"/>
  <c r="BH12" i="3"/>
  <c r="BV23" i="3"/>
  <c r="BO18" i="3"/>
  <c r="BT27" i="3"/>
  <c r="BK9" i="3"/>
  <c r="BP37" i="3"/>
  <c r="BE19" i="3"/>
  <c r="BH20" i="3"/>
  <c r="BI40" i="3"/>
  <c r="BF38" i="3"/>
  <c r="BT19" i="3"/>
  <c r="BF13" i="3"/>
  <c r="BE22" i="3"/>
  <c r="AA40" i="2"/>
  <c r="AA14" i="2"/>
  <c r="AA47" i="2"/>
  <c r="BC32" i="3"/>
  <c r="Z25" i="2"/>
  <c r="AA79" i="2"/>
  <c r="AA63" i="2"/>
  <c r="BC28" i="3"/>
  <c r="BB14" i="3"/>
  <c r="AA56" i="2"/>
  <c r="Y47" i="2"/>
  <c r="AA96" i="2"/>
  <c r="Z99" i="2"/>
  <c r="BD9" i="3"/>
  <c r="Y93" i="2"/>
  <c r="BC34" i="3"/>
  <c r="Y59" i="2"/>
  <c r="Y27" i="2"/>
  <c r="BB23" i="3"/>
  <c r="Z60" i="2"/>
  <c r="Y63" i="2"/>
  <c r="AA45" i="2"/>
  <c r="FC9" i="4" a="1"/>
  <c r="EX13" i="4" a="1"/>
  <c r="FB13" i="4" a="1"/>
  <c r="EZ15" i="4" a="1"/>
  <c r="FC15" i="4" a="1"/>
  <c r="FD5" i="4" a="1"/>
  <c r="FE15" i="4" a="1"/>
  <c r="BV5" i="3"/>
  <c r="BS23" i="3"/>
  <c r="BP42" i="3"/>
  <c r="BG29" i="3"/>
  <c r="BG22" i="3"/>
  <c r="BN8" i="3"/>
  <c r="BT42" i="3"/>
  <c r="BN23" i="3"/>
  <c r="Z104" i="2"/>
  <c r="BB25" i="3"/>
  <c r="Y80" i="2"/>
  <c r="AA13" i="2"/>
  <c r="BB31" i="3"/>
  <c r="Z52" i="2"/>
  <c r="BD40" i="3"/>
  <c r="FA15" i="4" a="1"/>
  <c r="BE36" i="3"/>
  <c r="BJ39" i="3"/>
  <c r="BJ38" i="3"/>
  <c r="BL28" i="3"/>
  <c r="Z108" i="2"/>
  <c r="Z110" i="2"/>
  <c r="BD11" i="3"/>
  <c r="BB6" i="3"/>
  <c r="FE14" i="4" a="1"/>
  <c r="BO36" i="3"/>
  <c r="BE20" i="3"/>
  <c r="Z48" i="2"/>
  <c r="Y5" i="2"/>
  <c r="BC6" i="3"/>
  <c r="BA18" i="3"/>
  <c r="BB28" i="3"/>
  <c r="FA8" i="4" a="1"/>
  <c r="BS11" i="3"/>
  <c r="BF5" i="3"/>
  <c r="BN28" i="3"/>
  <c r="BM10" i="3"/>
  <c r="BD29" i="3"/>
  <c r="Z86" i="2"/>
  <c r="BB46" i="3"/>
  <c r="BC23" i="3"/>
  <c r="AA107" i="2"/>
  <c r="BQ46" i="3"/>
  <c r="BJ25" i="3"/>
  <c r="BV27" i="3"/>
  <c r="BS19" i="3"/>
  <c r="BT10" i="3"/>
  <c r="BE16" i="3"/>
  <c r="BP39" i="3"/>
  <c r="BG20" i="3"/>
  <c r="BL24" i="3"/>
  <c r="BN14" i="3"/>
  <c r="BN42" i="3"/>
  <c r="BT37" i="3"/>
  <c r="BF17" i="3"/>
  <c r="CL29" i="1" s="1"/>
  <c r="BI26" i="3"/>
  <c r="Z66" i="2"/>
  <c r="Y64" i="2"/>
  <c r="Y35" i="2"/>
  <c r="BB22" i="3"/>
  <c r="Z20" i="2"/>
  <c r="Z5" i="2"/>
  <c r="Z70" i="2"/>
  <c r="BC13" i="3"/>
  <c r="BA42" i="3"/>
  <c r="AA16" i="2"/>
  <c r="Z92" i="2"/>
  <c r="AA46" i="2"/>
  <c r="AA60" i="2"/>
  <c r="BA7" i="3"/>
  <c r="Y7" i="2"/>
  <c r="BA11" i="3"/>
  <c r="Y70" i="2"/>
  <c r="Y52" i="2"/>
  <c r="BD15" i="3"/>
  <c r="Y40" i="2"/>
  <c r="Z17" i="2"/>
  <c r="Y87" i="2"/>
  <c r="EZ12" i="4" a="1"/>
  <c r="EX5" i="4" a="1"/>
  <c r="FF9" i="4" a="1"/>
  <c r="EZ7" i="4" a="1"/>
  <c r="EX14" i="4" a="1"/>
  <c r="BN31" i="3"/>
  <c r="BP7" i="3"/>
  <c r="BN12" i="3"/>
  <c r="Y73" i="2"/>
  <c r="Y43" i="2"/>
  <c r="BB16" i="3"/>
  <c r="BC29" i="3"/>
  <c r="Y16" i="2"/>
  <c r="BB27" i="3"/>
  <c r="AA43" i="2"/>
  <c r="Y29" i="2"/>
  <c r="BC46" i="3"/>
  <c r="FA16" i="4" a="1"/>
  <c r="EX7" i="4" a="1"/>
  <c r="BN37" i="3"/>
  <c r="BG37" i="3"/>
  <c r="Y13" i="2"/>
  <c r="Y9" i="2"/>
  <c r="BC42" i="3"/>
  <c r="BA13" i="3"/>
  <c r="FB9" i="4" a="1"/>
  <c r="BK13" i="3"/>
  <c r="BD33" i="3"/>
  <c r="Y50" i="2"/>
  <c r="Z45" i="2"/>
  <c r="Y67" i="2"/>
  <c r="Z93" i="2"/>
  <c r="BC24" i="3"/>
  <c r="EZ8" i="4" a="1"/>
  <c r="FF8" i="4" a="1"/>
  <c r="EX16" i="4" a="1"/>
  <c r="FA12" i="4" a="1"/>
  <c r="BS7" i="3"/>
  <c r="BN18" i="3"/>
  <c r="BL9" i="3"/>
  <c r="BH7" i="3"/>
  <c r="BB37" i="3"/>
  <c r="FB7" i="4" a="1"/>
  <c r="BF31" i="3"/>
  <c r="BM24" i="3"/>
  <c r="BH23" i="3"/>
  <c r="Y86" i="2"/>
  <c r="Y53" i="2"/>
  <c r="EY11" i="4" a="1"/>
  <c r="EZ14" i="4" a="1"/>
  <c r="FF5" i="4" a="1"/>
  <c r="BV9" i="3"/>
  <c r="BG7" i="3"/>
  <c r="BV33" i="3"/>
  <c r="BO24" i="3"/>
  <c r="BG26" i="3"/>
  <c r="BM30" i="3"/>
  <c r="BP23" i="3"/>
  <c r="BI23" i="3"/>
  <c r="BF32" i="3"/>
  <c r="BP20" i="3"/>
  <c r="BJ27" i="3"/>
  <c r="Y10" i="2"/>
  <c r="Z11" i="2"/>
  <c r="BD10" i="3"/>
  <c r="AA99" i="2"/>
  <c r="Z83" i="2"/>
  <c r="Z27" i="2"/>
  <c r="BA46" i="3"/>
  <c r="BB34" i="3"/>
  <c r="BV35" i="3"/>
  <c r="BI31" i="3"/>
  <c r="BF36" i="3"/>
  <c r="Y94" i="2"/>
  <c r="Z53" i="2"/>
  <c r="Y96" i="2"/>
  <c r="BD7" i="3"/>
  <c r="BD14" i="3"/>
  <c r="BJ10" i="3"/>
  <c r="BB9" i="3"/>
  <c r="Y107" i="2"/>
  <c r="FB11" i="4" a="1"/>
  <c r="BV15" i="3"/>
  <c r="Y104" i="2"/>
  <c r="Y91" i="2"/>
  <c r="Y55" i="2"/>
  <c r="BA14" i="3"/>
  <c r="BA23" i="3"/>
  <c r="BO38" i="3"/>
  <c r="BG27" i="3"/>
  <c r="BV39" i="3"/>
  <c r="BS29" i="3"/>
  <c r="BH6" i="3"/>
  <c r="BN30" i="3"/>
  <c r="BE9" i="3"/>
  <c r="BE25" i="3"/>
  <c r="BH46" i="3"/>
  <c r="BJ29" i="3"/>
  <c r="BJ14" i="3"/>
  <c r="BP40" i="3"/>
  <c r="BN33" i="3"/>
  <c r="BI42" i="3"/>
  <c r="Z76" i="2"/>
  <c r="AA51" i="2"/>
  <c r="BC37" i="3"/>
  <c r="BB41" i="3"/>
  <c r="Y44" i="2"/>
  <c r="Z44" i="2"/>
  <c r="Z19" i="2"/>
  <c r="BC19" i="3"/>
  <c r="BB21" i="3"/>
  <c r="AA20" i="2"/>
  <c r="Z46" i="2"/>
  <c r="Z98" i="2"/>
  <c r="X6" i="2"/>
  <c r="BC9" i="3"/>
  <c r="Z58" i="2"/>
  <c r="BA21" i="3"/>
  <c r="BD31" i="3"/>
  <c r="Y95" i="2"/>
  <c r="BA38" i="3"/>
  <c r="Z43" i="2"/>
  <c r="AA59" i="2"/>
  <c r="FD14" i="4" a="1"/>
  <c r="EZ11" i="4" a="1"/>
  <c r="FF11" i="4" a="1"/>
  <c r="FE6" i="4" a="1"/>
  <c r="FB6" i="4" a="1"/>
  <c r="EY16" i="4" a="1"/>
  <c r="EY6" i="4" a="1"/>
  <c r="EX6" i="4" a="1"/>
  <c r="BT35" i="3"/>
  <c r="BS5" i="3"/>
  <c r="BS31" i="3"/>
  <c r="BL12" i="3"/>
  <c r="BF12" i="3"/>
  <c r="CL22" i="1" s="1"/>
  <c r="BK10" i="3"/>
  <c r="BM39" i="3"/>
  <c r="BH17" i="3"/>
  <c r="BK34" i="3"/>
  <c r="BK5" i="3"/>
  <c r="AA19" i="2"/>
  <c r="BD23" i="3"/>
  <c r="AA50" i="2"/>
  <c r="BA27" i="3"/>
  <c r="Z31" i="2"/>
  <c r="Y84" i="2"/>
  <c r="BC36" i="3"/>
  <c r="AA23" i="2"/>
  <c r="BA10" i="3"/>
  <c r="BD24" i="3"/>
  <c r="Z97" i="2"/>
  <c r="BD5" i="3"/>
  <c r="Y54" i="2"/>
  <c r="BD34" i="3"/>
  <c r="BM13" i="3"/>
  <c r="BM35" i="3"/>
  <c r="W6" i="2"/>
  <c r="BA35" i="3"/>
  <c r="FB12" i="4" a="1"/>
  <c r="EX12" i="4" a="1"/>
  <c r="BO37" i="3"/>
  <c r="BL23" i="3"/>
  <c r="BG40" i="3"/>
  <c r="Y99" i="2"/>
  <c r="AA32" i="2"/>
  <c r="Y79" i="2"/>
  <c r="BS42" i="3"/>
  <c r="BE34" i="3"/>
  <c r="BV41" i="3"/>
  <c r="BO30" i="3"/>
  <c r="BN7" i="3"/>
  <c r="BH37" i="3"/>
  <c r="BI9" i="3"/>
  <c r="BE35" i="3"/>
  <c r="BG13" i="3"/>
  <c r="BJ12" i="3"/>
  <c r="BM46" i="3"/>
  <c r="BE31" i="3"/>
  <c r="BL40" i="3"/>
  <c r="BH29" i="3"/>
  <c r="Y76" i="2"/>
  <c r="Z30" i="2"/>
  <c r="BB45" i="3"/>
  <c r="BA19" i="3"/>
  <c r="AA9" i="2"/>
  <c r="AA86" i="2"/>
  <c r="Y71" i="2"/>
  <c r="BD6" i="3"/>
  <c r="BD19" i="3"/>
  <c r="AA42" i="2"/>
  <c r="AA98" i="2"/>
  <c r="AA22" i="2"/>
  <c r="BB13" i="3"/>
  <c r="BA33" i="3"/>
  <c r="Z16" i="2"/>
  <c r="BD38" i="3"/>
  <c r="BD17" i="3"/>
  <c r="AA83" i="2"/>
  <c r="BC40" i="3"/>
  <c r="Z82" i="2"/>
  <c r="BD20" i="3"/>
  <c r="FC14" i="4" a="1"/>
  <c r="FF15" i="4" a="1"/>
  <c r="FD12" i="4" a="1"/>
  <c r="EX9" i="4" a="1"/>
  <c r="FC11" i="4" a="1"/>
  <c r="BJ24" i="3"/>
  <c r="BI18" i="3"/>
  <c r="BN36" i="3"/>
  <c r="BH45" i="3"/>
  <c r="Y72" i="2"/>
  <c r="BD26" i="3"/>
  <c r="Y19" i="2"/>
  <c r="Y61" i="2"/>
  <c r="BC7" i="3"/>
  <c r="Z94" i="2"/>
  <c r="BA12" i="3"/>
  <c r="FC12" i="4" a="1"/>
  <c r="BT20" i="3"/>
  <c r="BI6" i="3"/>
  <c r="Z12" i="2"/>
  <c r="Y90" i="2"/>
  <c r="BB7" i="3"/>
  <c r="BK26" i="3"/>
  <c r="AA67" i="2"/>
  <c r="FC16" i="4" a="1"/>
  <c r="EY12" i="4" a="1"/>
  <c r="CL17" i="1" l="1"/>
  <c r="CL34" i="1"/>
  <c r="CL10" i="1"/>
  <c r="AA60" i="1"/>
  <c r="AA62" i="1"/>
  <c r="AA206" i="1"/>
  <c r="AA208" i="1" s="1"/>
  <c r="DA48" i="1"/>
  <c r="DB48" i="1"/>
  <c r="CL265" i="1"/>
  <c r="CM71" i="1"/>
  <c r="CL73" i="1"/>
  <c r="CL18" i="1"/>
  <c r="CL7" i="1" s="1"/>
  <c r="CL244" i="1"/>
  <c r="CL266" i="1"/>
  <c r="CL207" i="1"/>
  <c r="CK54" i="1"/>
  <c r="CK53" i="1"/>
  <c r="CK44" i="1"/>
  <c r="CK28" i="1"/>
  <c r="CK17" i="1"/>
  <c r="CK40" i="1"/>
  <c r="CK16" i="1"/>
  <c r="CK23" i="1"/>
  <c r="CK32" i="1"/>
  <c r="CK31" i="1"/>
  <c r="CK22" i="1"/>
  <c r="CK72" i="1"/>
  <c r="CK59" i="1"/>
  <c r="CK43" i="1"/>
  <c r="CK71" i="1"/>
  <c r="CK55" i="1"/>
  <c r="CK33" i="1"/>
  <c r="CK29" i="1"/>
  <c r="CK47" i="1"/>
  <c r="CK21" i="1"/>
  <c r="CK30" i="1"/>
  <c r="Z55" i="1"/>
  <c r="CH53" i="1"/>
  <c r="CH23" i="1"/>
  <c r="X139" i="1"/>
  <c r="X167" i="1" s="1"/>
  <c r="Z135" i="1"/>
  <c r="CH135" i="1" s="1"/>
  <c r="CI135" i="1" s="1"/>
  <c r="Z31" i="1"/>
  <c r="Z168" i="1"/>
  <c r="CH168" i="1" s="1"/>
  <c r="CH47" i="1"/>
  <c r="CJ53" i="1"/>
  <c r="CJ17" i="1"/>
  <c r="X75" i="1"/>
  <c r="Y131" i="1"/>
  <c r="X55" i="1"/>
  <c r="Y29" i="1"/>
  <c r="X145" i="1"/>
  <c r="X130" i="1"/>
  <c r="Y130" i="1"/>
  <c r="Y17" i="1"/>
  <c r="Z184" i="1"/>
  <c r="Z86" i="1"/>
  <c r="Y163" i="1"/>
  <c r="Y145" i="1"/>
  <c r="X166" i="1"/>
  <c r="Y132" i="1"/>
  <c r="Y185" i="1"/>
  <c r="CI54" i="1"/>
  <c r="Y173" i="1"/>
  <c r="Z172" i="1"/>
  <c r="X33" i="1"/>
  <c r="CH40" i="1"/>
  <c r="CH207" i="1" s="1"/>
  <c r="CJ31" i="1"/>
  <c r="CI55" i="1"/>
  <c r="CJ32" i="1"/>
  <c r="CH43" i="1"/>
  <c r="CG44" i="1"/>
  <c r="X159" i="1"/>
  <c r="Y140" i="1"/>
  <c r="X86" i="1"/>
  <c r="Z44" i="1"/>
  <c r="Z177" i="1"/>
  <c r="CH177" i="1" s="1"/>
  <c r="CI177" i="1" s="1"/>
  <c r="X184" i="1"/>
  <c r="Y54" i="1"/>
  <c r="Z176" i="1"/>
  <c r="CH176" i="1" s="1"/>
  <c r="CI176" i="1" s="1"/>
  <c r="Y164" i="1"/>
  <c r="X164" i="1"/>
  <c r="X40" i="1"/>
  <c r="Z150" i="1"/>
  <c r="CH150" i="1" s="1"/>
  <c r="CI150" i="1" s="1"/>
  <c r="CH21" i="1"/>
  <c r="CG33" i="1"/>
  <c r="CJ29" i="1"/>
  <c r="Y40" i="1"/>
  <c r="Y153" i="1"/>
  <c r="Z132" i="1"/>
  <c r="CJ22" i="1"/>
  <c r="CG53" i="1"/>
  <c r="CG43" i="1"/>
  <c r="CI16" i="1"/>
  <c r="CG21" i="1"/>
  <c r="CG30" i="1"/>
  <c r="CH54" i="1"/>
  <c r="CH16" i="1"/>
  <c r="CH59" i="1"/>
  <c r="CG23" i="1"/>
  <c r="CJ44" i="1"/>
  <c r="CI53" i="1"/>
  <c r="CJ28" i="1"/>
  <c r="X148" i="1"/>
  <c r="X144" i="1" s="1"/>
  <c r="Y139" i="1"/>
  <c r="Y167" i="1" s="1"/>
  <c r="Z43" i="1"/>
  <c r="Y53" i="1"/>
  <c r="X150" i="1"/>
  <c r="Y177" i="1"/>
  <c r="X17" i="1"/>
  <c r="X185" i="1"/>
  <c r="Z40" i="1"/>
  <c r="X140" i="1"/>
  <c r="X138" i="1"/>
  <c r="CI43" i="1"/>
  <c r="CH22" i="1"/>
  <c r="CI30" i="1"/>
  <c r="CH55" i="1"/>
  <c r="CJ72" i="1"/>
  <c r="CI72" i="1" s="1"/>
  <c r="CH72" i="1" s="1"/>
  <c r="CG72" i="1" s="1"/>
  <c r="CF72" i="1" s="1"/>
  <c r="CE72" i="1" s="1"/>
  <c r="CD72" i="1" s="1"/>
  <c r="CC72" i="1" s="1"/>
  <c r="CB72" i="1" s="1"/>
  <c r="CA72" i="1" s="1"/>
  <c r="BZ72" i="1" s="1"/>
  <c r="BY72" i="1" s="1"/>
  <c r="BX72" i="1" s="1"/>
  <c r="BW72" i="1" s="1"/>
  <c r="BV72" i="1" s="1"/>
  <c r="BU72" i="1" s="1"/>
  <c r="BT72" i="1" s="1"/>
  <c r="BS72" i="1" s="1"/>
  <c r="BR72" i="1" s="1"/>
  <c r="BQ72" i="1" s="1"/>
  <c r="BP72" i="1" s="1"/>
  <c r="BO72" i="1" s="1"/>
  <c r="BN72" i="1" s="1"/>
  <c r="BM72" i="1" s="1"/>
  <c r="BL72" i="1" s="1"/>
  <c r="BK72" i="1" s="1"/>
  <c r="BJ72" i="1" s="1"/>
  <c r="BI72" i="1" s="1"/>
  <c r="BH72" i="1" s="1"/>
  <c r="BG72" i="1" s="1"/>
  <c r="BF72" i="1" s="1"/>
  <c r="BE72" i="1" s="1"/>
  <c r="BD72" i="1" s="1"/>
  <c r="BC72" i="1" s="1"/>
  <c r="BB72" i="1" s="1"/>
  <c r="BA72" i="1" s="1"/>
  <c r="AZ72" i="1" s="1"/>
  <c r="AY72" i="1" s="1"/>
  <c r="AX72" i="1" s="1"/>
  <c r="AW72" i="1" s="1"/>
  <c r="AV72" i="1" s="1"/>
  <c r="AU72" i="1" s="1"/>
  <c r="AT72" i="1" s="1"/>
  <c r="AS72" i="1" s="1"/>
  <c r="AR72" i="1" s="1"/>
  <c r="AQ72" i="1" s="1"/>
  <c r="AP72" i="1" s="1"/>
  <c r="AO72" i="1" s="1"/>
  <c r="AN72" i="1" s="1"/>
  <c r="AM72" i="1" s="1"/>
  <c r="AL72" i="1" s="1"/>
  <c r="AK72" i="1" s="1"/>
  <c r="AJ72" i="1" s="1"/>
  <c r="AI72" i="1" s="1"/>
  <c r="CG31" i="1"/>
  <c r="CJ40" i="1"/>
  <c r="CG22" i="1"/>
  <c r="Z54" i="1"/>
  <c r="Z164" i="1"/>
  <c r="CH164" i="1" s="1"/>
  <c r="X47" i="1"/>
  <c r="Z53" i="1"/>
  <c r="X158" i="1"/>
  <c r="Y135" i="1"/>
  <c r="X168" i="1"/>
  <c r="Z32" i="1"/>
  <c r="X135" i="1"/>
  <c r="Z146" i="1"/>
  <c r="CH146" i="1" s="1"/>
  <c r="CI146" i="1" s="1"/>
  <c r="Z153" i="1"/>
  <c r="Z23" i="1"/>
  <c r="X21" i="1"/>
  <c r="Y85" i="1"/>
  <c r="Y183" i="1"/>
  <c r="Z183" i="1"/>
  <c r="X137" i="1"/>
  <c r="Y59" i="1"/>
  <c r="Y33" i="1"/>
  <c r="Y172" i="1"/>
  <c r="Z131" i="1"/>
  <c r="CH131" i="1" s="1"/>
  <c r="CI131" i="1" s="1"/>
  <c r="Y43" i="1"/>
  <c r="Y168" i="1"/>
  <c r="Z87" i="1"/>
  <c r="Z156" i="1"/>
  <c r="CH156" i="1" s="1"/>
  <c r="Z140" i="1"/>
  <c r="CH140" i="1" s="1"/>
  <c r="CI140" i="1" s="1"/>
  <c r="Y156" i="1"/>
  <c r="Y16" i="1"/>
  <c r="CG54" i="1"/>
  <c r="CJ71" i="1"/>
  <c r="CI71" i="1" s="1"/>
  <c r="CH71" i="1" s="1"/>
  <c r="CG71" i="1" s="1"/>
  <c r="CF71" i="1" s="1"/>
  <c r="CE71" i="1" s="1"/>
  <c r="CD71" i="1" s="1"/>
  <c r="CC71" i="1" s="1"/>
  <c r="CB71" i="1" s="1"/>
  <c r="CA71" i="1" s="1"/>
  <c r="BZ71" i="1" s="1"/>
  <c r="BY71" i="1" s="1"/>
  <c r="BX71" i="1" s="1"/>
  <c r="BW71" i="1" s="1"/>
  <c r="BV71" i="1" s="1"/>
  <c r="BU71" i="1" s="1"/>
  <c r="BT71" i="1" s="1"/>
  <c r="BS71" i="1" s="1"/>
  <c r="BR71" i="1" s="1"/>
  <c r="BQ71" i="1" s="1"/>
  <c r="BP71" i="1" s="1"/>
  <c r="BO71" i="1" s="1"/>
  <c r="BN71" i="1" s="1"/>
  <c r="BM71" i="1" s="1"/>
  <c r="BL71" i="1" s="1"/>
  <c r="BK71" i="1" s="1"/>
  <c r="BJ71" i="1" s="1"/>
  <c r="BI71" i="1" s="1"/>
  <c r="BH71" i="1" s="1"/>
  <c r="BG71" i="1" s="1"/>
  <c r="BF71" i="1" s="1"/>
  <c r="BE71" i="1" s="1"/>
  <c r="BD71" i="1" s="1"/>
  <c r="BC71" i="1" s="1"/>
  <c r="BB71" i="1" s="1"/>
  <c r="BA71" i="1" s="1"/>
  <c r="AZ71" i="1" s="1"/>
  <c r="AY71" i="1" s="1"/>
  <c r="AX71" i="1" s="1"/>
  <c r="AW71" i="1" s="1"/>
  <c r="AV71" i="1" s="1"/>
  <c r="AU71" i="1" s="1"/>
  <c r="AT71" i="1" s="1"/>
  <c r="AS71" i="1" s="1"/>
  <c r="AR71" i="1" s="1"/>
  <c r="AQ71" i="1" s="1"/>
  <c r="AP71" i="1" s="1"/>
  <c r="AO71" i="1" s="1"/>
  <c r="AN71" i="1" s="1"/>
  <c r="AM71" i="1" s="1"/>
  <c r="AL71" i="1" s="1"/>
  <c r="AK71" i="1" s="1"/>
  <c r="AJ71" i="1" s="1"/>
  <c r="AI71" i="1" s="1"/>
  <c r="CH33" i="1"/>
  <c r="CH30" i="1"/>
  <c r="CJ54" i="1"/>
  <c r="CG40" i="1"/>
  <c r="CI59" i="1"/>
  <c r="CI47" i="1"/>
  <c r="CG59" i="1"/>
  <c r="CH31" i="1"/>
  <c r="CJ16" i="1"/>
  <c r="CI31" i="1"/>
  <c r="CJ23" i="1"/>
  <c r="CJ21" i="1"/>
  <c r="CG16" i="1"/>
  <c r="CG244" i="1" s="1"/>
  <c r="CI29" i="1"/>
  <c r="CH28" i="1"/>
  <c r="CI40" i="1"/>
  <c r="CI207" i="1" s="1"/>
  <c r="CG32" i="1"/>
  <c r="X173" i="1"/>
  <c r="Y149" i="1"/>
  <c r="Y31" i="1"/>
  <c r="Z130" i="1"/>
  <c r="X44" i="1"/>
  <c r="Y148" i="1"/>
  <c r="Y144" i="1" s="1"/>
  <c r="Y55" i="1"/>
  <c r="Y23" i="1"/>
  <c r="X153" i="1"/>
  <c r="Y30" i="1"/>
  <c r="X31" i="1"/>
  <c r="X162" i="1"/>
  <c r="X85" i="1"/>
  <c r="Y160" i="1"/>
  <c r="Y184" i="1"/>
  <c r="Z157" i="1"/>
  <c r="Z145" i="1"/>
  <c r="CH145" i="1" s="1"/>
  <c r="Y159" i="1"/>
  <c r="Z21" i="1"/>
  <c r="Z16" i="1"/>
  <c r="Y158" i="1"/>
  <c r="Z59" i="1"/>
  <c r="Z162" i="1"/>
  <c r="CH162" i="1" s="1"/>
  <c r="Z148" i="1"/>
  <c r="Y21" i="1"/>
  <c r="Y176" i="1"/>
  <c r="X54" i="1"/>
  <c r="X160" i="1"/>
  <c r="Z159" i="1"/>
  <c r="CH159" i="1" s="1"/>
  <c r="Z47" i="1"/>
  <c r="Y28" i="1"/>
  <c r="Y10" i="1" s="1"/>
  <c r="X176" i="1"/>
  <c r="Z138" i="1"/>
  <c r="CH138" i="1" s="1"/>
  <c r="CI138" i="1" s="1"/>
  <c r="X87" i="1"/>
  <c r="X30" i="1"/>
  <c r="X131" i="1"/>
  <c r="Y75" i="1"/>
  <c r="Z85" i="1"/>
  <c r="X29" i="1"/>
  <c r="X132" i="1"/>
  <c r="Y86" i="1"/>
  <c r="Z139" i="1"/>
  <c r="CH139" i="1" s="1"/>
  <c r="CI139" i="1" s="1"/>
  <c r="Y44" i="1"/>
  <c r="Y137" i="1"/>
  <c r="X16" i="1"/>
  <c r="CI32" i="1"/>
  <c r="CJ47" i="1"/>
  <c r="CH32" i="1"/>
  <c r="CI22" i="1"/>
  <c r="CJ43" i="1"/>
  <c r="CI23" i="1"/>
  <c r="CI21" i="1"/>
  <c r="CG47" i="1"/>
  <c r="CG28" i="1"/>
  <c r="CH44" i="1"/>
  <c r="CI44" i="1"/>
  <c r="CI28" i="1"/>
  <c r="CJ30" i="1"/>
  <c r="CJ33" i="1"/>
  <c r="CH29" i="1"/>
  <c r="CE47" i="1"/>
  <c r="CG55" i="1"/>
  <c r="CJ55" i="1"/>
  <c r="CG17" i="1"/>
  <c r="CG29" i="1"/>
  <c r="CI33" i="1"/>
  <c r="CJ59" i="1"/>
  <c r="CH17" i="1"/>
  <c r="CI17" i="1"/>
  <c r="Y155" i="1"/>
  <c r="X59" i="1"/>
  <c r="Z137" i="1"/>
  <c r="CH137" i="1" s="1"/>
  <c r="CI137" i="1" s="1"/>
  <c r="Y146" i="1"/>
  <c r="Y32" i="1"/>
  <c r="X53" i="1"/>
  <c r="Z185" i="1"/>
  <c r="X23" i="1"/>
  <c r="Y162" i="1"/>
  <c r="Z173" i="1"/>
  <c r="CH173" i="1" s="1"/>
  <c r="X155" i="1"/>
  <c r="Y166" i="1"/>
  <c r="Y47" i="1"/>
  <c r="Z17" i="1"/>
  <c r="Z163" i="1"/>
  <c r="CH163" i="1" s="1"/>
  <c r="Y87" i="1"/>
  <c r="X43" i="1"/>
  <c r="X149" i="1"/>
  <c r="Z149" i="1"/>
  <c r="CH149" i="1" s="1"/>
  <c r="CI149" i="1" s="1"/>
  <c r="Z160" i="1"/>
  <c r="CH160" i="1" s="1"/>
  <c r="X146" i="1"/>
  <c r="Z28" i="1"/>
  <c r="Z10" i="1" s="1"/>
  <c r="Z158" i="1"/>
  <c r="Z155" i="1"/>
  <c r="CH155" i="1" s="1"/>
  <c r="X172" i="1"/>
  <c r="X163" i="1"/>
  <c r="Y138" i="1"/>
  <c r="Z29" i="1"/>
  <c r="Z30" i="1"/>
  <c r="Z75" i="1"/>
  <c r="Z33" i="1"/>
  <c r="X157" i="1"/>
  <c r="Y150" i="1"/>
  <c r="Y157" i="1"/>
  <c r="X177" i="1"/>
  <c r="X32" i="1"/>
  <c r="X28" i="1"/>
  <c r="X10" i="1" s="1"/>
  <c r="Z166" i="1"/>
  <c r="CH166" i="1" s="1"/>
  <c r="X156" i="1"/>
  <c r="X183" i="1"/>
  <c r="CH158" i="1"/>
  <c r="JP9" i="4" s="1"/>
  <c r="JP16" i="4" s="1"/>
  <c r="JO16" i="4" s="1"/>
  <c r="JO9" i="4" s="1"/>
  <c r="JN9" i="4" s="1"/>
  <c r="JN16" i="4" s="1"/>
  <c r="BG5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57" i="1" s="1"/>
  <c r="CL192" i="1" s="1"/>
  <c r="Y111" i="2"/>
  <c r="BO83" i="3"/>
  <c r="BS81" i="3"/>
  <c r="BG48" i="3"/>
  <c r="BL73" i="3"/>
  <c r="BE69" i="3"/>
  <c r="BI87" i="3"/>
  <c r="BM63" i="3"/>
  <c r="BF56" i="3"/>
  <c r="CL130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BQ56" i="3"/>
  <c r="BG66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66" i="1" s="1"/>
  <c r="CL196" i="1" s="1"/>
  <c r="BF66" i="3"/>
  <c r="CL164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K84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72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53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59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63" i="1" s="1"/>
  <c r="BF82" i="3"/>
  <c r="CL158" i="1" s="1"/>
  <c r="CL193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47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BU58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3" i="1" s="1"/>
  <c r="BB65" i="3"/>
  <c r="BB74" i="3"/>
  <c r="BB78" i="3"/>
  <c r="BG77" i="3"/>
  <c r="BH68" i="3"/>
  <c r="BF88" i="3"/>
  <c r="CL140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BU66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38" i="1" s="1"/>
  <c r="BB92" i="3"/>
  <c r="BB85" i="3"/>
  <c r="BB89" i="3"/>
  <c r="BG93" i="3"/>
  <c r="BH76" i="3"/>
  <c r="BF90" i="3"/>
  <c r="CL139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68" i="1" s="1"/>
  <c r="BF85" i="3"/>
  <c r="CL160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32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BV48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5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G79" i="3"/>
  <c r="BK70" i="3"/>
  <c r="BF87" i="3"/>
  <c r="CL165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77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37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BP60" i="3"/>
  <c r="BA87" i="3"/>
  <c r="BH87" i="3"/>
  <c r="BM66" i="3"/>
  <c r="BG81" i="3"/>
  <c r="BK72" i="3"/>
  <c r="BB60" i="3"/>
  <c r="BP93" i="3"/>
  <c r="BI95" i="3"/>
  <c r="BA97" i="3"/>
  <c r="BH85" i="3"/>
  <c r="BL89" i="3"/>
  <c r="BI82" i="3"/>
  <c r="BF49" i="3"/>
  <c r="CL81" i="1" s="1"/>
  <c r="BQ78" i="3"/>
  <c r="BV56" i="3"/>
  <c r="BO66" i="3"/>
  <c r="BS48" i="3"/>
  <c r="BS82" i="3"/>
  <c r="BU94" i="3"/>
  <c r="BR66" i="3"/>
  <c r="BV58" i="3"/>
  <c r="BT88" i="3"/>
  <c r="BN86" i="3"/>
  <c r="BN73" i="3"/>
  <c r="AA113" i="2"/>
  <c r="BS58" i="3"/>
  <c r="BE65" i="3"/>
  <c r="BM87" i="3"/>
  <c r="BJ66" i="3"/>
  <c r="BJ63" i="3"/>
  <c r="BK48" i="3"/>
  <c r="BK79" i="3"/>
  <c r="FU7" i="4" a="1"/>
  <c r="FW6" i="4" a="1"/>
  <c r="FV5" i="4" a="1"/>
  <c r="HC5" i="4" a="1"/>
  <c r="FQ12" i="4" a="1"/>
  <c r="GF6" i="4" a="1"/>
  <c r="GB9" i="4" a="1"/>
  <c r="FS13" i="4" a="1"/>
  <c r="HE5" i="4" a="1"/>
  <c r="GF8" i="4" a="1"/>
  <c r="GZ7" i="4" a="1"/>
  <c r="FG8" i="4" a="1"/>
  <c r="GY7" i="4" a="1"/>
  <c r="FJ5" i="4" a="1"/>
  <c r="GA8" i="4" a="1"/>
  <c r="FT11" i="4" a="1"/>
  <c r="FR8" i="4" a="1"/>
  <c r="GV11" i="4" a="1"/>
  <c r="GX12" i="4" a="1"/>
  <c r="GZ13" i="4" a="1"/>
  <c r="HG11" i="4" a="1"/>
  <c r="FG13" i="4" a="1"/>
  <c r="FI14" i="4" a="1"/>
  <c r="FO6" i="4" a="1"/>
  <c r="FU13" i="4" a="1"/>
  <c r="GJ15" i="4" a="1"/>
  <c r="FJ16" i="4" a="1"/>
  <c r="GL16" i="4" a="1"/>
  <c r="FS12" i="4" a="1"/>
  <c r="GJ11" i="4" a="1"/>
  <c r="FI15" i="4" a="1"/>
  <c r="FY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A65" i="3"/>
  <c r="FJ13" i="4" a="1"/>
  <c r="BC73" i="3"/>
  <c r="BC80" i="3"/>
  <c r="BD64" i="3"/>
  <c r="BD69" i="3"/>
  <c r="Z112" i="2"/>
  <c r="BO86" i="3"/>
  <c r="FJ6" i="4" a="1"/>
  <c r="FR12" i="4" a="1"/>
  <c r="FP9" i="4" a="1"/>
  <c r="GG14" i="4" a="1"/>
  <c r="FT16" i="4" a="1"/>
  <c r="BC54" i="3"/>
  <c r="BD72" i="3"/>
  <c r="BA91" i="3"/>
  <c r="BP76" i="3"/>
  <c r="BM95" i="3"/>
  <c r="BD89" i="3"/>
  <c r="BD73" i="3"/>
  <c r="BP57" i="3"/>
  <c r="BA56" i="3"/>
  <c r="BH75" i="3"/>
  <c r="BM82" i="3"/>
  <c r="BG75" i="3"/>
  <c r="Z113" i="2"/>
  <c r="BB64" i="3"/>
  <c r="BP96" i="3"/>
  <c r="BI64" i="3"/>
  <c r="BA86" i="3"/>
  <c r="BH50" i="3"/>
  <c r="BL48" i="3"/>
  <c r="BI68" i="3"/>
  <c r="BQ93" i="3"/>
  <c r="BQ87" i="3"/>
  <c r="BV77" i="3"/>
  <c r="BO71" i="3"/>
  <c r="BS71" i="3"/>
  <c r="BS50" i="3"/>
  <c r="BU95" i="3"/>
  <c r="BR84" i="3"/>
  <c r="BV74" i="3"/>
  <c r="BT96" i="3"/>
  <c r="BN59" i="3"/>
  <c r="BN81" i="3"/>
  <c r="Y112" i="2"/>
  <c r="BP63" i="3"/>
  <c r="BE59" i="3"/>
  <c r="BM58" i="3"/>
  <c r="BJ68" i="3"/>
  <c r="BJ65" i="3"/>
  <c r="BK85" i="3"/>
  <c r="BK89" i="3"/>
  <c r="GS7" i="4" a="1"/>
  <c r="FZ6" i="4" a="1"/>
  <c r="HB5" i="4" a="1"/>
  <c r="GG6" i="4" a="1"/>
  <c r="FK13" i="4" a="1"/>
  <c r="FW7" i="4" a="1"/>
  <c r="GB7" i="4" a="1"/>
  <c r="FU14" i="4" a="1"/>
  <c r="FH7" i="4" a="1"/>
  <c r="FZ9" i="4" a="1"/>
  <c r="FQ5" i="4" a="1"/>
  <c r="GI8" i="4" a="1"/>
  <c r="GN9" i="4" a="1"/>
  <c r="FR5" i="4" a="1"/>
  <c r="HA8" i="4" a="1"/>
  <c r="GD11" i="4" a="1"/>
  <c r="FN9" i="4" a="1"/>
  <c r="HA11" i="4" a="1"/>
  <c r="HC12" i="4" a="1"/>
  <c r="FN7" i="4" a="1"/>
  <c r="FH12" i="4" a="1"/>
  <c r="FL14" i="4" a="1"/>
  <c r="FY7" i="4" a="1"/>
  <c r="HA13" i="4" a="1"/>
  <c r="GL15" i="4" a="1"/>
  <c r="FL16" i="4" a="1"/>
  <c r="GN16" i="4" a="1"/>
  <c r="FH13" i="4" a="1"/>
  <c r="FN12" i="4" a="1"/>
  <c r="FM15" i="4" a="1"/>
  <c r="HF6" i="4" a="1"/>
  <c r="GK13" i="4" a="1"/>
  <c r="FU15" i="4" a="1"/>
  <c r="HA15" i="4" a="1"/>
  <c r="FW16" i="4" a="1"/>
  <c r="GU16" i="4" a="1"/>
  <c r="GY12" i="4" a="1"/>
  <c r="BC89" i="3"/>
  <c r="FG9" i="4" a="1"/>
  <c r="FY13" i="4" a="1"/>
  <c r="GS13" i="4" a="1"/>
  <c r="FG16" i="4" a="1"/>
  <c r="BD90" i="3"/>
  <c r="BH89" i="3"/>
  <c r="GM9" i="4" a="1"/>
  <c r="GO14" i="4" a="1"/>
  <c r="BC48" i="3"/>
  <c r="GI14" i="4" a="1"/>
  <c r="BM90" i="3"/>
  <c r="BP92" i="3"/>
  <c r="BA72" i="3"/>
  <c r="BH47" i="3"/>
  <c r="BM60" i="3"/>
  <c r="BG80" i="3"/>
  <c r="Z111" i="2"/>
  <c r="BB83" i="3"/>
  <c r="BP97" i="3"/>
  <c r="BI72" i="3"/>
  <c r="BA61" i="3"/>
  <c r="BH94" i="3"/>
  <c r="BL91" i="3"/>
  <c r="BI62" i="3"/>
  <c r="BQ68" i="3"/>
  <c r="BQ96" i="3"/>
  <c r="BV85" i="3"/>
  <c r="BO75" i="3"/>
  <c r="BS80" i="3"/>
  <c r="BF91" i="3"/>
  <c r="CL167" i="1" s="1"/>
  <c r="BU97" i="3"/>
  <c r="BR94" i="3"/>
  <c r="BV78" i="3"/>
  <c r="BT64" i="3"/>
  <c r="BN50" i="3"/>
  <c r="BN83" i="3"/>
  <c r="BO56" i="3"/>
  <c r="BP65" i="3"/>
  <c r="BE67" i="3"/>
  <c r="BM83" i="3"/>
  <c r="BJ70" i="3"/>
  <c r="BJ67" i="3"/>
  <c r="BK80" i="3"/>
  <c r="BK93" i="3"/>
  <c r="FO8" i="4" a="1"/>
  <c r="HE8" i="4" a="1"/>
  <c r="GC6" i="4" a="1"/>
  <c r="FL9" i="4" a="1"/>
  <c r="GI13" i="4" a="1"/>
  <c r="GO5" i="4" a="1"/>
  <c r="FP8" i="4" a="1"/>
  <c r="FO15" i="4" a="1"/>
  <c r="GK7" i="4" a="1"/>
  <c r="HF9" i="4" a="1"/>
  <c r="GE5" i="4" a="1"/>
  <c r="GU5" i="4" a="1"/>
  <c r="HC11" i="4" a="1"/>
  <c r="GD5" i="4" a="1"/>
  <c r="GN5" i="4" a="1"/>
  <c r="GO6" i="4" a="1"/>
  <c r="GW9" i="4" a="1"/>
  <c r="HD11" i="4" a="1"/>
  <c r="HF12" i="4" a="1"/>
  <c r="GT7" i="4" a="1"/>
  <c r="FM12" i="4" a="1"/>
  <c r="FO13" i="4" a="1"/>
  <c r="FQ14" i="4" a="1"/>
  <c r="FN8" i="4" a="1"/>
  <c r="FO14" i="4" a="1"/>
  <c r="GN15" i="4" a="1"/>
  <c r="FN16" i="4" a="1"/>
  <c r="GP16" i="4" a="1"/>
  <c r="FN14" i="4" a="1"/>
  <c r="GT12" i="4" a="1"/>
  <c r="FT15" i="4" a="1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BC84" i="3"/>
  <c r="BL88" i="3"/>
  <c r="BB62" i="3"/>
  <c r="BD76" i="3"/>
  <c r="BL83" i="3"/>
  <c r="BE63" i="3"/>
  <c r="BI66" i="3"/>
  <c r="BQ86" i="3"/>
  <c r="BO57" i="3"/>
  <c r="BF57" i="3"/>
  <c r="CL131" i="1" s="1"/>
  <c r="FP5" i="4" a="1"/>
  <c r="GZ9" i="4" a="1"/>
  <c r="GS8" i="4" a="1"/>
  <c r="FM6" i="4" a="1"/>
  <c r="GM7" i="4" a="1"/>
  <c r="FK11" i="4" a="1"/>
  <c r="FX12" i="4" a="1"/>
  <c r="FQ11" i="4" a="1"/>
  <c r="GX16" i="4" a="1"/>
  <c r="GD15" i="4" a="1"/>
  <c r="FI11" i="4" a="1"/>
  <c r="GK15" i="4" a="1"/>
  <c r="BC83" i="3"/>
  <c r="BD67" i="3"/>
  <c r="BL86" i="3"/>
  <c r="BA90" i="3"/>
  <c r="BH78" i="3"/>
  <c r="BM56" i="3"/>
  <c r="BG92" i="3"/>
  <c r="BB84" i="3"/>
  <c r="BG74" i="3"/>
  <c r="BP47" i="3"/>
  <c r="BI80" i="3"/>
  <c r="BA57" i="3"/>
  <c r="BH88" i="3"/>
  <c r="BL75" i="3"/>
  <c r="BI70" i="3"/>
  <c r="BQ89" i="3"/>
  <c r="BQ95" i="3"/>
  <c r="BT69" i="3"/>
  <c r="BO76" i="3"/>
  <c r="BS68" i="3"/>
  <c r="BF97" i="3"/>
  <c r="BU65" i="3"/>
  <c r="BR73" i="3"/>
  <c r="BV82" i="3"/>
  <c r="BT79" i="3"/>
  <c r="BN54" i="3"/>
  <c r="BN85" i="3"/>
  <c r="BO60" i="3"/>
  <c r="BG82" i="3"/>
  <c r="BE73" i="3"/>
  <c r="BM89" i="3"/>
  <c r="BJ76" i="3"/>
  <c r="BJ71" i="3"/>
  <c r="BK60" i="3"/>
  <c r="GT14" i="4" a="1"/>
  <c r="GK8" i="4" a="1"/>
  <c r="GX11" i="4" a="1"/>
  <c r="HD6" i="4" a="1"/>
  <c r="GX6" i="4" a="1"/>
  <c r="HG13" i="4" a="1"/>
  <c r="GI6" i="4" a="1"/>
  <c r="GN8" i="4" a="1"/>
  <c r="GP8" i="4" a="1"/>
  <c r="HD7" i="4" a="1"/>
  <c r="FX11" i="4" a="1"/>
  <c r="FN5" i="4" a="1"/>
  <c r="GR6" i="4" a="1"/>
  <c r="FY12" i="4" a="1"/>
  <c r="FU6" i="4" a="1"/>
  <c r="GW6" i="4" a="1"/>
  <c r="FS7" i="4" a="1"/>
  <c r="HE9" i="4" a="1"/>
  <c r="FG12" i="4" a="1"/>
  <c r="FL13" i="4" a="1"/>
  <c r="FM8" i="4" a="1"/>
  <c r="FP12" i="4" a="1"/>
  <c r="FR13" i="4" a="1"/>
  <c r="FT14" i="4" a="1"/>
  <c r="FQ9" i="4" a="1"/>
  <c r="FZ14" i="4" a="1"/>
  <c r="GP15" i="4" a="1"/>
  <c r="FP16" i="4" a="1"/>
  <c r="GR16" i="4" a="1"/>
  <c r="GY14" i="4" a="1"/>
  <c r="FM13" i="4" a="1"/>
  <c r="FX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GC16" i="4" a="1"/>
  <c r="BC69" i="3"/>
  <c r="BD95" i="3"/>
  <c r="BA95" i="3"/>
  <c r="BP72" i="3"/>
  <c r="BM80" i="3"/>
  <c r="BD85" i="3"/>
  <c r="BT50" i="3"/>
  <c r="BU56" i="3"/>
  <c r="BV70" i="3"/>
  <c r="BH93" i="3"/>
  <c r="BJ85" i="3"/>
  <c r="GW5" i="4" a="1"/>
  <c r="FW15" i="4" a="1"/>
  <c r="GV7" i="4" a="1"/>
  <c r="FY5" i="4" a="1"/>
  <c r="FH9" i="4" a="1"/>
  <c r="FV13" i="4" a="1"/>
  <c r="GP11" i="4" a="1"/>
  <c r="FZ13" i="4" a="1"/>
  <c r="GT15" i="4" a="1"/>
  <c r="FR14" i="4" a="1"/>
  <c r="GE16" i="4" a="1"/>
  <c r="BG95" i="3"/>
  <c r="BQ97" i="3"/>
  <c r="BO62" i="3"/>
  <c r="BU69" i="3"/>
  <c r="BN60" i="3"/>
  <c r="BO64" i="3"/>
  <c r="BJ87" i="3"/>
  <c r="GE9" i="4" a="1"/>
  <c r="GQ6" i="4" a="1"/>
  <c r="FM9" i="4" a="1"/>
  <c r="FQ8" i="4" a="1"/>
  <c r="HE7" i="4" a="1"/>
  <c r="BD97" i="3"/>
  <c r="BB48" i="3"/>
  <c r="BL62" i="3"/>
  <c r="BT77" i="3"/>
  <c r="BS79" i="3"/>
  <c r="BK71" i="3"/>
  <c r="FH5" i="4" a="1"/>
  <c r="FH6" i="4" a="1"/>
  <c r="GW7" i="4" a="1"/>
  <c r="FW5" i="4" a="1"/>
  <c r="GU12" i="4" a="1"/>
  <c r="BP67" i="3"/>
  <c r="BA93" i="3"/>
  <c r="BL72" i="3"/>
  <c r="BP94" i="3"/>
  <c r="BM72" i="3"/>
  <c r="BB97" i="3"/>
  <c r="BG60" i="3"/>
  <c r="BD83" i="3"/>
  <c r="BI78" i="3"/>
  <c r="BD61" i="3"/>
  <c r="BL77" i="3"/>
  <c r="BE94" i="3"/>
  <c r="BI59" i="3"/>
  <c r="BQ70" i="3"/>
  <c r="BR62" i="3"/>
  <c r="BT61" i="3"/>
  <c r="BO80" i="3"/>
  <c r="BS75" i="3"/>
  <c r="BU49" i="3"/>
  <c r="BR88" i="3"/>
  <c r="BR79" i="3"/>
  <c r="BV86" i="3"/>
  <c r="BT82" i="3"/>
  <c r="BN93" i="3"/>
  <c r="BP90" i="3"/>
  <c r="BO61" i="3"/>
  <c r="BG68" i="3"/>
  <c r="BI71" i="3"/>
  <c r="BF64" i="3"/>
  <c r="CL162" i="1" s="1"/>
  <c r="BJ89" i="3"/>
  <c r="BJ81" i="3"/>
  <c r="BK90" i="3"/>
  <c r="GC5" i="4" a="1"/>
  <c r="HH6" i="4" a="1"/>
  <c r="GQ13" i="4" a="1"/>
  <c r="GE7" i="4" a="1"/>
  <c r="GR7" i="4" a="1"/>
  <c r="GC14" i="4" a="1"/>
  <c r="HB6" i="4" a="1"/>
  <c r="FJ9" i="4" a="1"/>
  <c r="GO9" i="4" a="1"/>
  <c r="FU8" i="4" a="1"/>
  <c r="HD5" i="4" a="1"/>
  <c r="FZ5" i="4" a="1"/>
  <c r="GL7" i="4" a="1"/>
  <c r="GZ12" i="4" a="1"/>
  <c r="FR7" i="4" a="1"/>
  <c r="HB7" i="4" a="1"/>
  <c r="FS9" i="4" a="1"/>
  <c r="FG11" i="4" a="1"/>
  <c r="FJ12" i="4" a="1"/>
  <c r="FT13" i="4" a="1"/>
  <c r="FK9" i="4" a="1"/>
  <c r="FU12" i="4" a="1"/>
  <c r="FW13" i="4" a="1"/>
  <c r="FY14" i="4" a="1"/>
  <c r="HC9" i="4" a="1"/>
  <c r="GE14" i="4" a="1"/>
  <c r="GR15" i="4" a="1"/>
  <c r="FR16" i="4" a="1"/>
  <c r="GT16" i="4" a="1"/>
  <c r="GP6" i="4" a="1"/>
  <c r="FX13" i="4" a="1"/>
  <c r="GA15" i="4" a="1"/>
  <c r="GU9" i="4" a="1"/>
  <c r="FG14" i="4" a="1"/>
  <c r="GI15" i="4" a="1"/>
  <c r="HG15" i="4" a="1"/>
  <c r="HA16" i="4" a="1"/>
  <c r="BC55" i="3"/>
  <c r="BD84" i="3"/>
  <c r="BD58" i="3"/>
  <c r="BP61" i="3"/>
  <c r="BG73" i="3"/>
  <c r="HA14" i="4" a="1"/>
  <c r="FV11" i="4" a="1"/>
  <c r="FL6" i="4" a="1"/>
  <c r="GG7" i="4" a="1"/>
  <c r="FL12" i="4" a="1"/>
  <c r="GB13" i="4" a="1"/>
  <c r="GA9" i="4" a="1"/>
  <c r="GE13" i="4" a="1"/>
  <c r="FV8" i="4" a="1"/>
  <c r="FM11" i="4" a="1"/>
  <c r="FW14" i="4" a="1"/>
  <c r="FI16" i="4" a="1"/>
  <c r="BD63" i="3"/>
  <c r="FT7" i="4" a="1"/>
  <c r="FH8" i="4" a="1"/>
  <c r="GZ5" i="4" a="1"/>
  <c r="FZ8" i="4" a="1"/>
  <c r="FN13" i="4" a="1"/>
  <c r="GI11" i="4" a="1"/>
  <c r="GW14" i="4" a="1"/>
  <c r="GZ15" i="4" a="1"/>
  <c r="GL8" i="4" a="1"/>
  <c r="FS15" i="4" a="1"/>
  <c r="BC61" i="3"/>
  <c r="BC65" i="3"/>
  <c r="BU92" i="3"/>
  <c r="BN63" i="3"/>
  <c r="BE91" i="3"/>
  <c r="FZ11" i="4" a="1"/>
  <c r="FZ15" i="4" a="1"/>
  <c r="GV5" i="4" a="1"/>
  <c r="GW13" i="4" a="1"/>
  <c r="BB76" i="3"/>
  <c r="BR89" i="3"/>
  <c r="BS59" i="3"/>
  <c r="BR48" i="3"/>
  <c r="BR83" i="3"/>
  <c r="BT65" i="3"/>
  <c r="BN75" i="3"/>
  <c r="BP74" i="3"/>
  <c r="BI75" i="3"/>
  <c r="BJ97" i="3"/>
  <c r="BK92" i="3"/>
  <c r="GF14" i="4" a="1"/>
  <c r="GR8" i="4" a="1"/>
  <c r="FT9" i="4" a="1"/>
  <c r="GP14" i="4" a="1"/>
  <c r="GJ7" i="4" a="1"/>
  <c r="HC16" i="4" a="1"/>
  <c r="BC74" i="3"/>
  <c r="BP77" i="3"/>
  <c r="BB58" i="3"/>
  <c r="BB81" i="3"/>
  <c r="BL58" i="3"/>
  <c r="BE83" i="3"/>
  <c r="BI85" i="3"/>
  <c r="BR65" i="3"/>
  <c r="BT94" i="3"/>
  <c r="BS65" i="3"/>
  <c r="BR49" i="3"/>
  <c r="BI79" i="3"/>
  <c r="GX8" i="4" a="1"/>
  <c r="GI5" i="4" a="1"/>
  <c r="GM11" i="4" a="1"/>
  <c r="FP14" i="4" a="1"/>
  <c r="FL8" i="4" a="1"/>
  <c r="FZ12" i="4" a="1"/>
  <c r="GG11" i="4" a="1"/>
  <c r="GV15" i="4" a="1"/>
  <c r="FV16" i="4" a="1"/>
  <c r="HH13" i="4" a="1"/>
  <c r="FY11" i="4" a="1"/>
  <c r="HE16" i="4" a="1"/>
  <c r="BC87" i="3"/>
  <c r="FQ7" i="4" a="1"/>
  <c r="GG12" i="4" a="1"/>
  <c r="GH12" i="4" a="1"/>
  <c r="GK12" i="4" a="1"/>
  <c r="FK12" i="4" a="1"/>
  <c r="GD16" i="4" a="1"/>
  <c r="FV9" i="4" a="1"/>
  <c r="GC13" i="4" a="1"/>
  <c r="GQ15" i="4" a="1"/>
  <c r="BC81" i="3"/>
  <c r="BD71" i="3"/>
  <c r="HH15" i="4" a="1"/>
  <c r="GU15" i="4" a="1"/>
  <c r="FQ16" i="4" a="1"/>
  <c r="GO16" i="4" a="1"/>
  <c r="BC76" i="3"/>
  <c r="BP50" i="3"/>
  <c r="BA80" i="3"/>
  <c r="BE57" i="3"/>
  <c r="BF78" i="3"/>
  <c r="CL155" i="1" s="1"/>
  <c r="BQ69" i="3"/>
  <c r="BO95" i="3"/>
  <c r="BR85" i="3"/>
  <c r="AA111" i="2"/>
  <c r="BJ61" i="3"/>
  <c r="GU11" i="4" a="1"/>
  <c r="HF8" i="4" a="1"/>
  <c r="GZ6" i="4" a="1"/>
  <c r="GV9" i="4" a="1"/>
  <c r="HD12" i="4" a="1"/>
  <c r="BR87" i="3"/>
  <c r="BV97" i="3"/>
  <c r="BT83" i="3"/>
  <c r="BP79" i="3"/>
  <c r="BF96" i="3"/>
  <c r="CL176" i="1" s="1"/>
  <c r="BK73" i="3"/>
  <c r="BK94" i="3"/>
  <c r="GB5" i="4" a="1"/>
  <c r="FG7" i="4" a="1"/>
  <c r="FO11" i="4" a="1"/>
  <c r="GC12" i="4" a="1"/>
  <c r="GU14" i="4" a="1"/>
  <c r="HB16" i="4" a="1"/>
  <c r="GM15" i="4" a="1"/>
  <c r="GG16" i="4" a="1"/>
  <c r="BC96" i="3"/>
  <c r="BC78" i="3"/>
  <c r="BD60" i="3"/>
  <c r="HA7" i="4" a="1"/>
  <c r="GM8" i="4" a="1"/>
  <c r="HG7" i="4" a="1"/>
  <c r="GV8" i="4" a="1"/>
  <c r="FK8" i="4" a="1"/>
  <c r="GE11" i="4" a="1"/>
  <c r="GJ13" i="4" a="1"/>
  <c r="FL15" i="4" a="1"/>
  <c r="HF16" i="4" a="1"/>
  <c r="FV14" i="4" a="1"/>
  <c r="GM14" i="4" a="1"/>
  <c r="FM16" i="4" a="1"/>
  <c r="BC70" i="3"/>
  <c r="BC91" i="3"/>
  <c r="BD87" i="3"/>
  <c r="GQ12" i="4" a="1"/>
  <c r="BC95" i="3"/>
  <c r="BQ49" i="3"/>
  <c r="BM97" i="3"/>
  <c r="BP49" i="3"/>
  <c r="BH73" i="3"/>
  <c r="BV75" i="3"/>
  <c r="BS86" i="3"/>
  <c r="BV68" i="3"/>
  <c r="BJ60" i="3"/>
  <c r="HC8" i="4" a="1"/>
  <c r="FI8" i="4" a="1"/>
  <c r="BP87" i="3"/>
  <c r="BA89" i="3"/>
  <c r="BL90" i="3"/>
  <c r="BP78" i="3"/>
  <c r="BM74" i="3"/>
  <c r="BB70" i="3"/>
  <c r="BG57" i="3"/>
  <c r="BD55" i="3"/>
  <c r="BB91" i="3"/>
  <c r="BQ47" i="3"/>
  <c r="BL55" i="3"/>
  <c r="BE86" i="3"/>
  <c r="BI76" i="3"/>
  <c r="BQ92" i="3"/>
  <c r="BR92" i="3"/>
  <c r="BT90" i="3"/>
  <c r="BO65" i="3"/>
  <c r="BS95" i="3"/>
  <c r="BU80" i="3"/>
  <c r="BR78" i="3"/>
  <c r="BV57" i="3"/>
  <c r="BV73" i="3"/>
  <c r="BT85" i="3"/>
  <c r="BN74" i="3"/>
  <c r="BP82" i="3"/>
  <c r="BS66" i="3"/>
  <c r="BL54" i="3"/>
  <c r="BI77" i="3"/>
  <c r="BF72" i="3"/>
  <c r="CL148" i="1" s="1"/>
  <c r="BJ91" i="3"/>
  <c r="BK81" i="3"/>
  <c r="BK56" i="3"/>
  <c r="GQ5" i="4" a="1"/>
  <c r="GH6" i="4" a="1"/>
  <c r="FR15" i="4" a="1"/>
  <c r="GC7" i="4" a="1"/>
  <c r="GP9" i="4" a="1"/>
  <c r="FG5" i="4" a="1"/>
  <c r="GC8" i="4" a="1"/>
  <c r="GK5" i="4" a="1"/>
  <c r="FT5" i="4" a="1"/>
  <c r="FK7" i="4" a="1"/>
  <c r="FI12" i="4" a="1"/>
  <c r="HC7" i="4" a="1"/>
  <c r="FX8" i="4" a="1"/>
  <c r="FJ15" i="4" a="1"/>
  <c r="HH5" i="4" a="1"/>
  <c r="FL7" i="4" a="1"/>
  <c r="GR12" i="4" a="1"/>
  <c r="FW11" i="4" a="1"/>
  <c r="GE12" i="4" a="1"/>
  <c r="GG13" i="4" a="1"/>
  <c r="GF9" i="4" a="1"/>
  <c r="GF12" i="4" a="1"/>
  <c r="GM13" i="4" a="1"/>
  <c r="GR14" i="4" a="1"/>
  <c r="GR11" i="4" a="1"/>
  <c r="HF14" i="4" a="1"/>
  <c r="GX15" i="4" a="1"/>
  <c r="FZ16" i="4" a="1"/>
  <c r="HD16" i="4" a="1"/>
  <c r="HB8" i="4" a="1"/>
  <c r="FK14" i="4" a="1"/>
  <c r="GD12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T49" i="3"/>
  <c r="BF79" i="3"/>
  <c r="BQ77" i="3"/>
  <c r="BC58" i="3"/>
  <c r="BG61" i="3"/>
  <c r="BM67" i="3"/>
  <c r="BB47" i="3"/>
  <c r="BE90" i="3"/>
  <c r="BU79" i="3"/>
  <c r="BA64" i="3"/>
  <c r="BH65" i="3"/>
  <c r="BL76" i="3"/>
  <c r="BE76" i="3"/>
  <c r="BF94" i="3"/>
  <c r="BQ90" i="3"/>
  <c r="BR93" i="3"/>
  <c r="BN88" i="3"/>
  <c r="BO67" i="3"/>
  <c r="BS96" i="3"/>
  <c r="BU73" i="3"/>
  <c r="BR76" i="3"/>
  <c r="BV72" i="3"/>
  <c r="BV87" i="3"/>
  <c r="BT48" i="3"/>
  <c r="BN94" i="3"/>
  <c r="BP85" i="3"/>
  <c r="BS70" i="3"/>
  <c r="BL95" i="3"/>
  <c r="BI60" i="3"/>
  <c r="BF70" i="3"/>
  <c r="CL146" i="1" s="1"/>
  <c r="BJ54" i="3"/>
  <c r="BK69" i="3"/>
  <c r="BK95" i="3"/>
  <c r="HG5" i="4" a="1"/>
  <c r="HB9" i="4" a="1"/>
  <c r="FU5" i="4" a="1"/>
  <c r="GF5" i="4" a="1"/>
  <c r="GA6" i="4" a="1"/>
  <c r="GU13" i="4" a="1"/>
  <c r="HH11" i="4" a="1"/>
  <c r="GK16" i="4" a="1"/>
  <c r="HG9" i="4" a="1"/>
  <c r="Y113" i="2"/>
  <c r="BG71" i="3"/>
  <c r="BN65" i="3"/>
  <c r="BN57" i="3"/>
  <c r="BM85" i="3"/>
  <c r="BK58" i="3"/>
  <c r="GY6" i="4" a="1"/>
  <c r="GW12" i="4" a="1"/>
  <c r="GF7" i="4" a="1"/>
  <c r="FJ8" i="4" a="1"/>
  <c r="BJ90" i="3"/>
  <c r="BQ65" i="3"/>
  <c r="BC50" i="3"/>
  <c r="BG69" i="3"/>
  <c r="BM79" i="3"/>
  <c r="BB68" i="3"/>
  <c r="BE96" i="3"/>
  <c r="BP62" i="3"/>
  <c r="BA54" i="3"/>
  <c r="BH95" i="3"/>
  <c r="BL78" i="3"/>
  <c r="BE68" i="3"/>
  <c r="BF61" i="3"/>
  <c r="BQ67" i="3"/>
  <c r="BV64" i="3"/>
  <c r="BN78" i="3"/>
  <c r="BO70" i="3"/>
  <c r="BS92" i="3"/>
  <c r="BU86" i="3"/>
  <c r="BR75" i="3"/>
  <c r="BV67" i="3"/>
  <c r="BV66" i="3"/>
  <c r="BT97" i="3"/>
  <c r="BN71" i="3"/>
  <c r="BF48" i="3"/>
  <c r="BS74" i="3"/>
  <c r="BL85" i="3"/>
  <c r="BI91" i="3"/>
  <c r="BF50" i="3"/>
  <c r="CL82" i="1" s="1"/>
  <c r="BJ55" i="3"/>
  <c r="BK77" i="3"/>
  <c r="BK54" i="3"/>
  <c r="GN6" i="4" a="1"/>
  <c r="GB8" i="4" a="1"/>
  <c r="FY9" i="4" a="1"/>
  <c r="GE8" i="4" a="1"/>
  <c r="GB11" i="4" a="1"/>
  <c r="FX5" i="4" a="1"/>
  <c r="GX5" i="4" a="1"/>
  <c r="HF11" i="4" a="1"/>
  <c r="FP6" i="4" a="1"/>
  <c r="HA5" i="4" a="1"/>
  <c r="GD13" i="4" a="1"/>
  <c r="GT6" i="4" a="1"/>
  <c r="GR9" i="4" a="1"/>
  <c r="GD9" i="4" a="1"/>
  <c r="FP7" i="4" a="1"/>
  <c r="GJ8" i="4" a="1"/>
  <c r="FM14" i="4" a="1"/>
  <c r="GK11" i="4" a="1"/>
  <c r="GM12" i="4" a="1"/>
  <c r="GO13" i="4" a="1"/>
  <c r="GL11" i="4" a="1"/>
  <c r="GS12" i="4" a="1"/>
  <c r="GX13" i="4" a="1"/>
  <c r="GZ14" i="4" a="1"/>
  <c r="FV12" i="4" a="1"/>
  <c r="FP15" i="4" a="1"/>
  <c r="HD15" i="4" a="1"/>
  <c r="GF16" i="4" a="1"/>
  <c r="HH16" i="4" a="1"/>
  <c r="GQ9" i="4" a="1"/>
  <c r="GA14" i="4" a="1"/>
  <c r="HE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J56" i="3"/>
  <c r="BQ59" i="3"/>
  <c r="BC82" i="3"/>
  <c r="BG76" i="3"/>
  <c r="BM62" i="3"/>
  <c r="BB66" i="3"/>
  <c r="BM81" i="3"/>
  <c r="BP58" i="3"/>
  <c r="BA76" i="3"/>
  <c r="BH83" i="3"/>
  <c r="BL60" i="3"/>
  <c r="BE87" i="3"/>
  <c r="BF59" i="3"/>
  <c r="BQ64" i="3"/>
  <c r="BV59" i="3"/>
  <c r="BN92" i="3"/>
  <c r="BO90" i="3"/>
  <c r="BS91" i="3"/>
  <c r="BU83" i="3"/>
  <c r="BR95" i="3"/>
  <c r="BV93" i="3"/>
  <c r="BT72" i="3"/>
  <c r="BT66" i="3"/>
  <c r="BN96" i="3"/>
  <c r="AA112" i="2"/>
  <c r="BS76" i="3"/>
  <c r="BE89" i="3"/>
  <c r="BM47" i="3"/>
  <c r="BJ47" i="3"/>
  <c r="BJ50" i="3"/>
  <c r="BK59" i="3"/>
  <c r="BK96" i="3"/>
  <c r="FN6" i="4" a="1"/>
  <c r="HH9" i="4" a="1"/>
  <c r="FO5" i="4" a="1"/>
  <c r="GQ8" i="4" a="1"/>
  <c r="GD7" i="4" a="1"/>
  <c r="GL5" i="4" a="1"/>
  <c r="GB6" i="4" a="1"/>
  <c r="GB12" i="4" a="1"/>
  <c r="FO7" i="4" a="1"/>
  <c r="HC6" i="4" a="1"/>
  <c r="FX14" i="4" a="1"/>
  <c r="FM7" i="4" a="1"/>
  <c r="FN11" i="4" a="1"/>
  <c r="FK5" i="4" a="1"/>
  <c r="GN7" i="4" a="1"/>
  <c r="HG8" i="4" a="1"/>
  <c r="FG15" i="4" a="1"/>
  <c r="GN11" i="4" a="1"/>
  <c r="GP12" i="4" a="1"/>
  <c r="GR13" i="4" a="1"/>
  <c r="GQ11" i="4" a="1"/>
  <c r="HA12" i="4" a="1"/>
  <c r="HC13" i="4" a="1"/>
  <c r="HE14" i="4" a="1"/>
  <c r="GH16" i="4" a="1"/>
  <c r="GL14" i="4" a="1"/>
  <c r="GL12" i="4" a="1"/>
  <c r="HC14" i="4" a="1"/>
  <c r="GY9" i="4" a="1"/>
  <c r="BD66" i="3"/>
  <c r="BJ59" i="3"/>
  <c r="GY11" i="4" a="1"/>
  <c r="FN15" i="4" a="1"/>
  <c r="GW15" i="4" a="1"/>
  <c r="HF13" i="4" a="1"/>
  <c r="HH14" i="4" a="1"/>
  <c r="FS16" i="4" a="1"/>
  <c r="FU11" i="4" a="1"/>
  <c r="HB12" i="4" a="1"/>
  <c r="GQ16" i="4" a="1"/>
  <c r="GO11" i="4" a="1"/>
  <c r="GF15" i="4" a="1"/>
  <c r="GC11" i="4" a="1"/>
  <c r="GJ16" i="4" a="1"/>
  <c r="BC59" i="3"/>
  <c r="BC97" i="3"/>
  <c r="BD56" i="3"/>
  <c r="FH16" i="4" a="1"/>
  <c r="BC92" i="3"/>
  <c r="BB93" i="3"/>
  <c r="HB14" i="4" a="1"/>
  <c r="BD77" i="3"/>
  <c r="FH15" i="4" a="1"/>
  <c r="GS11" i="4" a="1"/>
  <c r="HG12" i="4" a="1"/>
  <c r="Y265" i="1" l="1"/>
  <c r="Y192" i="1"/>
  <c r="Y244" i="1"/>
  <c r="CH130" i="1"/>
  <c r="CI130" i="1" s="1"/>
  <c r="CL150" i="1"/>
  <c r="CL156" i="1"/>
  <c r="CH153" i="1"/>
  <c r="CI153" i="1" s="1"/>
  <c r="AA215" i="1"/>
  <c r="CL106" i="1"/>
  <c r="CL107" i="1" s="1"/>
  <c r="CL141" i="1"/>
  <c r="CL169" i="1"/>
  <c r="CL198" i="1" s="1"/>
  <c r="CL197" i="1" s="1"/>
  <c r="CL35" i="1"/>
  <c r="CL24" i="1"/>
  <c r="CL9" i="1" s="1"/>
  <c r="CK73" i="1"/>
  <c r="X193" i="1"/>
  <c r="X265" i="1"/>
  <c r="Z244" i="1"/>
  <c r="Z193" i="1"/>
  <c r="X18" i="1"/>
  <c r="X7" i="1" s="1"/>
  <c r="X244" i="1"/>
  <c r="CL174" i="1"/>
  <c r="CL181" i="1"/>
  <c r="CL117" i="1" s="1"/>
  <c r="CL161" i="1"/>
  <c r="CL133" i="1"/>
  <c r="CL142" i="1" s="1"/>
  <c r="CL151" i="1"/>
  <c r="CK18" i="1"/>
  <c r="CK24" i="1" s="1"/>
  <c r="X192" i="1"/>
  <c r="Z192" i="1"/>
  <c r="Z266" i="1"/>
  <c r="CJ153" i="1"/>
  <c r="CK153" i="1" s="1"/>
  <c r="CL215" i="1" s="1"/>
  <c r="CJ130" i="1"/>
  <c r="JZ16" i="4" s="1"/>
  <c r="KH14" i="4" s="1"/>
  <c r="KE15" i="4" s="1"/>
  <c r="CJ164" i="1"/>
  <c r="KE9" i="4" s="1"/>
  <c r="JQ15" i="4" s="1"/>
  <c r="KC8" i="4" s="1"/>
  <c r="KH9" i="4" s="1"/>
  <c r="Z81" i="1"/>
  <c r="JY9" i="4" s="1"/>
  <c r="KA16" i="4" s="1"/>
  <c r="JS16" i="4" s="1"/>
  <c r="KC15" i="4" s="1"/>
  <c r="KH16" i="4" s="1"/>
  <c r="KH21" i="4" s="1"/>
  <c r="KF14" i="4" s="1"/>
  <c r="JT7" i="4" s="1"/>
  <c r="JX9" i="4" s="1"/>
  <c r="CI82" i="1"/>
  <c r="JR8" i="4" s="1"/>
  <c r="KF9" i="4" s="1"/>
  <c r="CJ176" i="1"/>
  <c r="CK176" i="1" s="1"/>
  <c r="CM176" i="1" s="1"/>
  <c r="CN176" i="1" s="1"/>
  <c r="CO176" i="1" s="1"/>
  <c r="CP176" i="1" s="1"/>
  <c r="CQ176" i="1" s="1"/>
  <c r="CR176" i="1" s="1"/>
  <c r="CS176" i="1" s="1"/>
  <c r="CT176" i="1" s="1"/>
  <c r="CU176" i="1" s="1"/>
  <c r="CV176" i="1" s="1"/>
  <c r="CW176" i="1" s="1"/>
  <c r="JR14" i="4" s="1"/>
  <c r="KB9" i="4" s="1"/>
  <c r="CJ165" i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Y16" i="4" s="1"/>
  <c r="KF16" i="4" s="1"/>
  <c r="KD9" i="4" s="1"/>
  <c r="CJ138" i="1"/>
  <c r="CK138" i="1" s="1"/>
  <c r="JQ16" i="4" s="1"/>
  <c r="JQ21" i="4" s="1"/>
  <c r="CK85" i="1" s="1"/>
  <c r="JW9" i="4" s="1"/>
  <c r="CJ132" i="1"/>
  <c r="CJ159" i="1"/>
  <c r="KH15" i="4" s="1"/>
  <c r="JT16" i="4" s="1"/>
  <c r="JT21" i="4" s="1"/>
  <c r="CJ173" i="1"/>
  <c r="JV15" i="4" s="1"/>
  <c r="CJ160" i="1"/>
  <c r="CJ177" i="1"/>
  <c r="CK177" i="1" s="1"/>
  <c r="CM177" i="1" s="1"/>
  <c r="CN177" i="1" s="1"/>
  <c r="CO177" i="1" s="1"/>
  <c r="CP177" i="1" s="1"/>
  <c r="CQ177" i="1" s="1"/>
  <c r="CR177" i="1" s="1"/>
  <c r="CS177" i="1" s="1"/>
  <c r="CT177" i="1" s="1"/>
  <c r="CU177" i="1" s="1"/>
  <c r="CV177" i="1" s="1"/>
  <c r="CW177" i="1" s="1"/>
  <c r="CX177" i="1" s="1"/>
  <c r="CY177" i="1" s="1"/>
  <c r="CZ177" i="1" s="1"/>
  <c r="DA177" i="1" s="1"/>
  <c r="DB177" i="1" s="1"/>
  <c r="CJ157" i="1"/>
  <c r="CJ192" i="1" s="1"/>
  <c r="CK192" i="1" s="1"/>
  <c r="CM192" i="1" s="1"/>
  <c r="CN192" i="1" s="1"/>
  <c r="CO192" i="1" s="1"/>
  <c r="CP192" i="1" s="1"/>
  <c r="CQ192" i="1" s="1"/>
  <c r="CR192" i="1" s="1"/>
  <c r="CS192" i="1" s="1"/>
  <c r="CT192" i="1" s="1"/>
  <c r="CJ131" i="1"/>
  <c r="CK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KE16" i="4" s="1"/>
  <c r="KE21" i="4" s="1"/>
  <c r="JW16" i="4" s="1"/>
  <c r="JW21" i="4" s="1"/>
  <c r="JS8" i="4" s="1"/>
  <c r="KG9" i="4" s="1"/>
  <c r="KB8" i="4" s="1"/>
  <c r="KA8" i="4" s="1"/>
  <c r="KA15" i="4" s="1"/>
  <c r="CJ147" i="1"/>
  <c r="CK41" i="1" s="1"/>
  <c r="CJ167" i="1"/>
  <c r="KB16" i="4" s="1"/>
  <c r="KA7" i="4" s="1"/>
  <c r="JR9" i="4" s="1"/>
  <c r="KA9" i="4" s="1"/>
  <c r="CJ139" i="1"/>
  <c r="CK139" i="1" s="1"/>
  <c r="CM139" i="1" s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DA139" i="1" s="1"/>
  <c r="DB139" i="1" s="1"/>
  <c r="JR16" i="4" s="1"/>
  <c r="JR21" i="4" s="1"/>
  <c r="CL85" i="1" s="1"/>
  <c r="JW7" i="4" s="1"/>
  <c r="JQ7" i="4" s="1"/>
  <c r="X81" i="1"/>
  <c r="Y82" i="1"/>
  <c r="CJ166" i="1"/>
  <c r="CJ196" i="1" s="1"/>
  <c r="CK196" i="1" s="1"/>
  <c r="CM196" i="1" s="1"/>
  <c r="CN196" i="1" s="1"/>
  <c r="CO196" i="1" s="1"/>
  <c r="CP196" i="1" s="1"/>
  <c r="CQ196" i="1" s="1"/>
  <c r="CR196" i="1" s="1"/>
  <c r="CS196" i="1" s="1"/>
  <c r="CT196" i="1" s="1"/>
  <c r="CJ148" i="1"/>
  <c r="CK148" i="1" s="1"/>
  <c r="CM148" i="1" s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CJ162" i="1"/>
  <c r="CJ172" i="1"/>
  <c r="CJ163" i="1"/>
  <c r="KC16" i="4" s="1"/>
  <c r="JU16" i="4" s="1"/>
  <c r="JQ8" i="4" s="1"/>
  <c r="KF7" i="4" s="1"/>
  <c r="Z82" i="1"/>
  <c r="JS9" i="4" s="1"/>
  <c r="JQ9" i="4" s="1"/>
  <c r="JU8" i="4" s="1"/>
  <c r="KC7" i="4" s="1"/>
  <c r="CK82" i="1"/>
  <c r="CJ155" i="1"/>
  <c r="CH81" i="1"/>
  <c r="CJ82" i="1"/>
  <c r="CJ168" i="1"/>
  <c r="CJ137" i="1"/>
  <c r="CK137" i="1" s="1"/>
  <c r="CM137" i="1" s="1"/>
  <c r="CG81" i="1"/>
  <c r="KC9" i="4" s="1"/>
  <c r="JV9" i="4" s="1"/>
  <c r="JZ9" i="4" s="1"/>
  <c r="CJ81" i="1"/>
  <c r="CG82" i="1"/>
  <c r="JT9" i="4" s="1"/>
  <c r="CJ146" i="1"/>
  <c r="CK146" i="1" s="1"/>
  <c r="CM146" i="1" s="1"/>
  <c r="CN146" i="1" s="1"/>
  <c r="CO146" i="1" s="1"/>
  <c r="CP146" i="1" s="1"/>
  <c r="CI81" i="1"/>
  <c r="CK81" i="1"/>
  <c r="CJ140" i="1"/>
  <c r="CK140" i="1" s="1"/>
  <c r="CM140" i="1" s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J158" i="1"/>
  <c r="CJ193" i="1" s="1"/>
  <c r="CK193" i="1" s="1"/>
  <c r="CM193" i="1" s="1"/>
  <c r="CN193" i="1" s="1"/>
  <c r="CO193" i="1" s="1"/>
  <c r="CP193" i="1" s="1"/>
  <c r="CQ193" i="1" s="1"/>
  <c r="CR193" i="1" s="1"/>
  <c r="CS193" i="1" s="1"/>
  <c r="CT193" i="1" s="1"/>
  <c r="CH82" i="1"/>
  <c r="KD16" i="4" s="1"/>
  <c r="JV16" i="4" s="1"/>
  <c r="JU9" i="4" s="1"/>
  <c r="CH157" i="1"/>
  <c r="CH161" i="1" s="1"/>
  <c r="CH195" i="1" s="1"/>
  <c r="CK34" i="1"/>
  <c r="Z207" i="1"/>
  <c r="Z167" i="1"/>
  <c r="CH167" i="1" s="1"/>
  <c r="CH169" i="1" s="1"/>
  <c r="CH198" i="1" s="1"/>
  <c r="Y196" i="1"/>
  <c r="CK10" i="1"/>
  <c r="Y186" i="1"/>
  <c r="Y161" i="1"/>
  <c r="Z196" i="1"/>
  <c r="X161" i="1"/>
  <c r="X195" i="1" s="1"/>
  <c r="Z161" i="1"/>
  <c r="CK106" i="1"/>
  <c r="CN28" i="1"/>
  <c r="CJ10" i="1"/>
  <c r="CH10" i="1"/>
  <c r="CG10" i="1"/>
  <c r="CM28" i="1"/>
  <c r="CI10" i="1"/>
  <c r="Z265" i="1"/>
  <c r="X196" i="1"/>
  <c r="Y174" i="1"/>
  <c r="Z222" i="1" s="1"/>
  <c r="Y18" i="1"/>
  <c r="Y7" i="1" s="1"/>
  <c r="Y147" i="1"/>
  <c r="Y34" i="1"/>
  <c r="CJ150" i="1"/>
  <c r="CJ156" i="1"/>
  <c r="X186" i="1"/>
  <c r="CH172" i="1"/>
  <c r="CH174" i="1" s="1"/>
  <c r="CI222" i="1" s="1"/>
  <c r="Z174" i="1"/>
  <c r="AA222" i="1" s="1"/>
  <c r="X207" i="1"/>
  <c r="X266" i="1"/>
  <c r="Y207" i="1"/>
  <c r="Y266" i="1"/>
  <c r="CH132" i="1"/>
  <c r="CH133" i="1" s="1"/>
  <c r="Z133" i="1"/>
  <c r="CH148" i="1"/>
  <c r="CI148" i="1" s="1"/>
  <c r="Z144" i="1"/>
  <c r="CG207" i="1"/>
  <c r="CG266" i="1"/>
  <c r="Y169" i="1"/>
  <c r="CH266" i="1"/>
  <c r="CG265" i="1"/>
  <c r="X147" i="1"/>
  <c r="CI244" i="1"/>
  <c r="CI18" i="1"/>
  <c r="CJ106" i="1"/>
  <c r="Y215" i="1"/>
  <c r="Y193" i="1"/>
  <c r="CG18" i="1"/>
  <c r="Z186" i="1"/>
  <c r="Z18" i="1"/>
  <c r="X169" i="1"/>
  <c r="Y133" i="1"/>
  <c r="X141" i="1"/>
  <c r="X174" i="1"/>
  <c r="X133" i="1"/>
  <c r="X188" i="1" s="1"/>
  <c r="Y141" i="1"/>
  <c r="Z34" i="1"/>
  <c r="X34" i="1"/>
  <c r="CI145" i="1"/>
  <c r="CJ145" i="1" s="1"/>
  <c r="CH265" i="1"/>
  <c r="CJ34" i="1"/>
  <c r="CI141" i="1"/>
  <c r="CG34" i="1"/>
  <c r="CH18" i="1"/>
  <c r="CH34" i="1"/>
  <c r="CI265" i="1"/>
  <c r="CJ266" i="1"/>
  <c r="CH244" i="1"/>
  <c r="CJ244" i="1"/>
  <c r="CI266" i="1"/>
  <c r="CH193" i="1"/>
  <c r="CI193" i="1" s="1"/>
  <c r="CH196" i="1"/>
  <c r="CI196" i="1" s="1"/>
  <c r="CJ265" i="1"/>
  <c r="CJ18" i="1"/>
  <c r="Y81" i="1"/>
  <c r="X82" i="1"/>
  <c r="Z215" i="1"/>
  <c r="CI34" i="1"/>
  <c r="CI73" i="1"/>
  <c r="CJ207" i="1"/>
  <c r="Z141" i="1"/>
  <c r="CH73" i="1"/>
  <c r="CG73" i="1"/>
  <c r="CI215" i="1"/>
  <c r="CJ73" i="1"/>
  <c r="CH141" i="1"/>
  <c r="JP15" i="4"/>
  <c r="JP14" i="4"/>
  <c r="JP8" i="4"/>
  <c r="JP7" i="4"/>
  <c r="JP21" i="4"/>
  <c r="CJ85" i="1" s="1"/>
  <c r="JO21" i="4"/>
  <c r="CI85" i="1" s="1"/>
  <c r="JO7" i="4"/>
  <c r="JO15" i="4"/>
  <c r="JO14" i="4"/>
  <c r="JO8" i="4"/>
  <c r="JN21" i="4"/>
  <c r="CH85" i="1" s="1"/>
  <c r="JN15" i="4"/>
  <c r="JN14" i="4"/>
  <c r="JN7" i="4"/>
  <c r="JN8" i="4"/>
  <c r="CB21" i="1"/>
  <c r="KD21" i="4" l="1"/>
  <c r="JX16" i="4" s="1"/>
  <c r="KG16" i="4" s="1"/>
  <c r="JZ7" i="4" s="1"/>
  <c r="CH192" i="1"/>
  <c r="CI192" i="1" s="1"/>
  <c r="X106" i="1"/>
  <c r="X24" i="1"/>
  <c r="X9" i="1" s="1"/>
  <c r="CL8" i="1"/>
  <c r="Z195" i="1"/>
  <c r="AA209" i="1"/>
  <c r="Z188" i="1"/>
  <c r="AA220" i="1"/>
  <c r="Z7" i="1"/>
  <c r="AA19" i="1"/>
  <c r="AA201" i="1"/>
  <c r="AA262" i="1"/>
  <c r="AA219" i="1"/>
  <c r="JX8" i="4"/>
  <c r="KG21" i="4"/>
  <c r="JU15" i="4"/>
  <c r="JU20" i="4" s="1"/>
  <c r="JR15" i="4"/>
  <c r="JR20" i="4" s="1"/>
  <c r="CL87" i="1" s="1"/>
  <c r="KC14" i="4"/>
  <c r="KC19" i="4" s="1"/>
  <c r="JU21" i="4"/>
  <c r="KE7" i="4"/>
  <c r="CK35" i="1"/>
  <c r="CO35" i="1" s="1"/>
  <c r="Z194" i="1"/>
  <c r="X35" i="1"/>
  <c r="CJ144" i="1"/>
  <c r="CK144" i="1" s="1"/>
  <c r="KA21" i="4"/>
  <c r="CK107" i="1"/>
  <c r="CK110" i="1" s="1"/>
  <c r="JS21" i="4"/>
  <c r="JT15" i="4"/>
  <c r="JY8" i="4"/>
  <c r="CL36" i="1"/>
  <c r="CL12" i="1" s="1"/>
  <c r="CL11" i="1" s="1"/>
  <c r="CL25" i="1"/>
  <c r="CL259" i="1"/>
  <c r="CL261" i="1"/>
  <c r="CL170" i="1"/>
  <c r="CL178" i="1" s="1"/>
  <c r="CL179" i="1" s="1"/>
  <c r="CL195" i="1"/>
  <c r="CL100" i="1"/>
  <c r="CL102" i="1" s="1"/>
  <c r="CJ133" i="1"/>
  <c r="CJ100" i="1" s="1"/>
  <c r="CJ102" i="1" s="1"/>
  <c r="JS7" i="4"/>
  <c r="JR7" i="4"/>
  <c r="JR19" i="4" s="1"/>
  <c r="CL86" i="1" s="1"/>
  <c r="JV14" i="4"/>
  <c r="JY21" i="4"/>
  <c r="KF21" i="4"/>
  <c r="KD14" i="4"/>
  <c r="KD19" i="4" s="1"/>
  <c r="JT14" i="4"/>
  <c r="JT19" i="4" s="1"/>
  <c r="JW15" i="4"/>
  <c r="KF15" i="4"/>
  <c r="KF20" i="4" s="1"/>
  <c r="KE14" i="4"/>
  <c r="KE19" i="4" s="1"/>
  <c r="JV8" i="4"/>
  <c r="JV20" i="4" s="1"/>
  <c r="JW14" i="4"/>
  <c r="JW19" i="4" s="1"/>
  <c r="JY7" i="4"/>
  <c r="KD15" i="4"/>
  <c r="KD20" i="4" s="1"/>
  <c r="JU7" i="4"/>
  <c r="KG15" i="4"/>
  <c r="JX15" i="4"/>
  <c r="JQ14" i="4"/>
  <c r="JQ19" i="4" s="1"/>
  <c r="CK86" i="1" s="1"/>
  <c r="KG8" i="4"/>
  <c r="JS15" i="4"/>
  <c r="JZ8" i="4"/>
  <c r="JX7" i="4"/>
  <c r="KC21" i="4"/>
  <c r="JZ21" i="4"/>
  <c r="JY15" i="4"/>
  <c r="JZ15" i="4"/>
  <c r="JZ20" i="4" s="1"/>
  <c r="JZ14" i="4"/>
  <c r="JZ19" i="4" s="1"/>
  <c r="KA14" i="4"/>
  <c r="KA19" i="4" s="1"/>
  <c r="KB14" i="4"/>
  <c r="KE8" i="4"/>
  <c r="KD7" i="4"/>
  <c r="KD8" i="4"/>
  <c r="CK7" i="1"/>
  <c r="CL201" i="1"/>
  <c r="CL20" i="1"/>
  <c r="CL110" i="1"/>
  <c r="CK9" i="1"/>
  <c r="CL27" i="1"/>
  <c r="CL257" i="1"/>
  <c r="CL238" i="1"/>
  <c r="CH7" i="1"/>
  <c r="CL19" i="1"/>
  <c r="CJ215" i="1"/>
  <c r="CJ174" i="1"/>
  <c r="CJ169" i="1"/>
  <c r="CJ198" i="1" s="1"/>
  <c r="CJ197" i="1" s="1"/>
  <c r="CK197" i="1" s="1"/>
  <c r="CM197" i="1" s="1"/>
  <c r="CN197" i="1" s="1"/>
  <c r="CO197" i="1" s="1"/>
  <c r="CP197" i="1" s="1"/>
  <c r="CQ197" i="1" s="1"/>
  <c r="CK130" i="1"/>
  <c r="CM130" i="1" s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KB21" i="4"/>
  <c r="JU14" i="4"/>
  <c r="JX14" i="4"/>
  <c r="JX19" i="4" s="1"/>
  <c r="KH7" i="4"/>
  <c r="KH19" i="4" s="1"/>
  <c r="KB15" i="4"/>
  <c r="KB20" i="4" s="1"/>
  <c r="KB7" i="4"/>
  <c r="JW8" i="4"/>
  <c r="JV21" i="4"/>
  <c r="KF8" i="4"/>
  <c r="JV7" i="4"/>
  <c r="JT8" i="4"/>
  <c r="JS14" i="4"/>
  <c r="JS19" i="4" s="1"/>
  <c r="JY14" i="4"/>
  <c r="KG7" i="4"/>
  <c r="KH8" i="4"/>
  <c r="KH20" i="4" s="1"/>
  <c r="KG14" i="4"/>
  <c r="KG19" i="4" s="1"/>
  <c r="Z169" i="1"/>
  <c r="Y209" i="1"/>
  <c r="X170" i="1"/>
  <c r="CJ161" i="1"/>
  <c r="CJ195" i="1" s="1"/>
  <c r="Y35" i="1"/>
  <c r="CJ141" i="1"/>
  <c r="Y195" i="1"/>
  <c r="Y194" i="1" s="1"/>
  <c r="Z209" i="1"/>
  <c r="CK8" i="1"/>
  <c r="CK25" i="1"/>
  <c r="CK36" i="1"/>
  <c r="CG7" i="1"/>
  <c r="CK19" i="1"/>
  <c r="CJ7" i="1"/>
  <c r="CK20" i="1"/>
  <c r="CR28" i="1"/>
  <c r="CP28" i="1"/>
  <c r="CO28" i="1"/>
  <c r="CQ28" i="1"/>
  <c r="CI24" i="1"/>
  <c r="CI7" i="1"/>
  <c r="Z35" i="1"/>
  <c r="JS20" i="4"/>
  <c r="KA20" i="4"/>
  <c r="KC20" i="4"/>
  <c r="KG20" i="4"/>
  <c r="Z261" i="1"/>
  <c r="Y106" i="1"/>
  <c r="Y201" i="1"/>
  <c r="Y24" i="1"/>
  <c r="Y9" i="1" s="1"/>
  <c r="Y19" i="1"/>
  <c r="Y151" i="1"/>
  <c r="Y41" i="1"/>
  <c r="CK150" i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CJ151" i="1"/>
  <c r="Z147" i="1"/>
  <c r="CH144" i="1"/>
  <c r="AB146" i="1"/>
  <c r="CQ146" i="1"/>
  <c r="CR146" i="1" s="1"/>
  <c r="CS146" i="1" s="1"/>
  <c r="CT146" i="1" s="1"/>
  <c r="KE20" i="4"/>
  <c r="CG35" i="1"/>
  <c r="CG24" i="1"/>
  <c r="X142" i="1"/>
  <c r="JQ20" i="4"/>
  <c r="CK87" i="1" s="1"/>
  <c r="CI35" i="1"/>
  <c r="CM35" i="1" s="1"/>
  <c r="CQ35" i="1" s="1"/>
  <c r="Y198" i="1"/>
  <c r="Y170" i="1"/>
  <c r="X151" i="1"/>
  <c r="X259" i="1" s="1"/>
  <c r="X41" i="1"/>
  <c r="CH197" i="1"/>
  <c r="CI197" i="1" s="1"/>
  <c r="X261" i="1"/>
  <c r="Y222" i="1"/>
  <c r="Z201" i="1"/>
  <c r="Z19" i="1"/>
  <c r="Z24" i="1"/>
  <c r="Z106" i="1"/>
  <c r="Y188" i="1"/>
  <c r="Y261" i="1"/>
  <c r="X45" i="1"/>
  <c r="X181" i="1"/>
  <c r="X117" i="1" s="1"/>
  <c r="CH100" i="1"/>
  <c r="CH102" i="1" s="1"/>
  <c r="CI219" i="1"/>
  <c r="X198" i="1"/>
  <c r="Y210" i="1"/>
  <c r="CK215" i="1"/>
  <c r="Y262" i="1"/>
  <c r="Y219" i="1"/>
  <c r="Y181" i="1"/>
  <c r="Y117" i="1" s="1"/>
  <c r="CK141" i="1"/>
  <c r="KF19" i="4"/>
  <c r="Y45" i="1"/>
  <c r="Y142" i="1"/>
  <c r="Z181" i="1"/>
  <c r="Z117" i="1" s="1"/>
  <c r="Z219" i="1"/>
  <c r="CI20" i="1"/>
  <c r="CJ24" i="1"/>
  <c r="CJ107" i="1"/>
  <c r="CJ110" i="1" s="1"/>
  <c r="CH35" i="1"/>
  <c r="CJ238" i="1"/>
  <c r="CJ20" i="1"/>
  <c r="CJ35" i="1"/>
  <c r="CN35" i="1" s="1"/>
  <c r="CR35" i="1" s="1"/>
  <c r="CH24" i="1"/>
  <c r="CH20" i="1"/>
  <c r="Z142" i="1"/>
  <c r="Z45" i="1"/>
  <c r="Z262" i="1"/>
  <c r="CH170" i="1"/>
  <c r="CH181" i="1"/>
  <c r="CI262" i="1"/>
  <c r="CH261" i="1"/>
  <c r="X36" i="1"/>
  <c r="X12" i="1" s="1"/>
  <c r="X11" i="1" s="1"/>
  <c r="X25" i="1"/>
  <c r="X194" i="1"/>
  <c r="CH142" i="1"/>
  <c r="CN137" i="1"/>
  <c r="CX176" i="1"/>
  <c r="JP20" i="4"/>
  <c r="CJ87" i="1" s="1"/>
  <c r="JP19" i="4"/>
  <c r="CJ86" i="1" s="1"/>
  <c r="JO19" i="4"/>
  <c r="CI86" i="1" s="1"/>
  <c r="JO20" i="4"/>
  <c r="CI87" i="1" s="1"/>
  <c r="JN20" i="4"/>
  <c r="CH87" i="1" s="1"/>
  <c r="JN19" i="4"/>
  <c r="CH86" i="1" s="1"/>
  <c r="CH194" i="1"/>
  <c r="CI194" i="1" s="1"/>
  <c r="CH199" i="1"/>
  <c r="AA218" i="1" l="1"/>
  <c r="JY19" i="4"/>
  <c r="X8" i="1"/>
  <c r="JX21" i="4"/>
  <c r="CS35" i="1"/>
  <c r="CP35" i="1"/>
  <c r="CT35" i="1" s="1"/>
  <c r="Z170" i="1"/>
  <c r="AA210" i="1"/>
  <c r="AA211" i="1" s="1"/>
  <c r="AA212" i="1" s="1"/>
  <c r="Z9" i="1"/>
  <c r="AA26" i="1"/>
  <c r="JX20" i="4"/>
  <c r="JY20" i="4"/>
  <c r="JU19" i="4"/>
  <c r="KB19" i="4"/>
  <c r="JW20" i="4"/>
  <c r="JV19" i="4"/>
  <c r="JT20" i="4"/>
  <c r="CL39" i="1"/>
  <c r="Y178" i="1"/>
  <c r="CL245" i="1"/>
  <c r="CL246" i="1" s="1"/>
  <c r="CL42" i="1"/>
  <c r="CL46" i="1" s="1"/>
  <c r="CL37" i="1"/>
  <c r="CL263" i="1"/>
  <c r="CL194" i="1"/>
  <c r="CL199" i="1"/>
  <c r="CL202" i="1" s="1"/>
  <c r="CL111" i="1"/>
  <c r="CL115" i="1"/>
  <c r="CL118" i="1" s="1"/>
  <c r="CL103" i="1"/>
  <c r="CK222" i="1"/>
  <c r="CJ261" i="1"/>
  <c r="CJ142" i="1"/>
  <c r="CJ262" i="1"/>
  <c r="CJ219" i="1"/>
  <c r="CL262" i="1"/>
  <c r="CL219" i="1"/>
  <c r="CL104" i="1"/>
  <c r="CL112" i="1"/>
  <c r="CL116" i="1"/>
  <c r="CL119" i="1" s="1"/>
  <c r="CH9" i="1"/>
  <c r="CL26" i="1"/>
  <c r="Z198" i="1"/>
  <c r="CJ170" i="1"/>
  <c r="CJ178" i="1" s="1"/>
  <c r="CJ179" i="1" s="1"/>
  <c r="Z210" i="1"/>
  <c r="Y211" i="1"/>
  <c r="Z211" i="1"/>
  <c r="X178" i="1"/>
  <c r="X179" i="1" s="1"/>
  <c r="CK12" i="1"/>
  <c r="CK11" i="1" s="1"/>
  <c r="CK42" i="1"/>
  <c r="CK46" i="1" s="1"/>
  <c r="CK37" i="1"/>
  <c r="CI9" i="1"/>
  <c r="CI8" i="1" s="1"/>
  <c r="CI25" i="1"/>
  <c r="CI36" i="1"/>
  <c r="CG9" i="1"/>
  <c r="CG8" i="1" s="1"/>
  <c r="CK26" i="1"/>
  <c r="CK112" i="1"/>
  <c r="CK116" i="1"/>
  <c r="CK111" i="1"/>
  <c r="CK115" i="1"/>
  <c r="CJ9" i="1"/>
  <c r="CJ8" i="1" s="1"/>
  <c r="CK27" i="1"/>
  <c r="CS28" i="1"/>
  <c r="CV28" i="1"/>
  <c r="CT28" i="1"/>
  <c r="CU28" i="1"/>
  <c r="Y8" i="1"/>
  <c r="Z8" i="1"/>
  <c r="CH8" i="1"/>
  <c r="Y26" i="1"/>
  <c r="Y36" i="1"/>
  <c r="Y12" i="1" s="1"/>
  <c r="Y11" i="1" s="1"/>
  <c r="Y25" i="1"/>
  <c r="Y259" i="1"/>
  <c r="Y257" i="1"/>
  <c r="CJ257" i="1"/>
  <c r="CJ259" i="1"/>
  <c r="Z151" i="1"/>
  <c r="AA216" i="1" s="1"/>
  <c r="AA214" i="1" s="1"/>
  <c r="Z41" i="1"/>
  <c r="CI144" i="1"/>
  <c r="CI147" i="1" s="1"/>
  <c r="CH147" i="1"/>
  <c r="AC146" i="1"/>
  <c r="CU146" i="1"/>
  <c r="CV146" i="1" s="1"/>
  <c r="CW146" i="1" s="1"/>
  <c r="CX146" i="1" s="1"/>
  <c r="X257" i="1"/>
  <c r="Y216" i="1"/>
  <c r="Y214" i="1" s="1"/>
  <c r="Z26" i="1"/>
  <c r="Z25" i="1"/>
  <c r="Z36" i="1"/>
  <c r="CJ104" i="1"/>
  <c r="CJ103" i="1"/>
  <c r="CH104" i="1"/>
  <c r="CG36" i="1"/>
  <c r="CG25" i="1"/>
  <c r="CK198" i="1"/>
  <c r="Y197" i="1"/>
  <c r="Y199" i="1"/>
  <c r="CI198" i="1"/>
  <c r="CI165" i="1"/>
  <c r="CM153" i="1"/>
  <c r="CJ194" i="1"/>
  <c r="CK194" i="1" s="1"/>
  <c r="CJ199" i="1"/>
  <c r="Y179" i="1"/>
  <c r="CH103" i="1"/>
  <c r="CI27" i="1"/>
  <c r="CH25" i="1"/>
  <c r="X197" i="1"/>
  <c r="X199" i="1"/>
  <c r="CM138" i="1"/>
  <c r="CJ27" i="1"/>
  <c r="CJ36" i="1"/>
  <c r="CJ25" i="1"/>
  <c r="CK219" i="1"/>
  <c r="CK262" i="1"/>
  <c r="CH36" i="1"/>
  <c r="CL38" i="1" s="1"/>
  <c r="CH27" i="1"/>
  <c r="CI45" i="1"/>
  <c r="CH117" i="1"/>
  <c r="X245" i="1"/>
  <c r="X246" i="1" s="1"/>
  <c r="X42" i="1"/>
  <c r="X120" i="1"/>
  <c r="X126" i="1" s="1"/>
  <c r="X37" i="1"/>
  <c r="CJ116" i="1"/>
  <c r="CJ112" i="1"/>
  <c r="CH116" i="1"/>
  <c r="CI115" i="1"/>
  <c r="CH115" i="1"/>
  <c r="CI116" i="1"/>
  <c r="CJ115" i="1"/>
  <c r="CJ111" i="1"/>
  <c r="CO137" i="1"/>
  <c r="CI195" i="1"/>
  <c r="CI159" i="1"/>
  <c r="CY130" i="1"/>
  <c r="CY176" i="1"/>
  <c r="AA226" i="1" l="1"/>
  <c r="AA223" i="1"/>
  <c r="AA224" i="1" s="1"/>
  <c r="Z12" i="1"/>
  <c r="Z11" i="1" s="1"/>
  <c r="AA38" i="1"/>
  <c r="AA263" i="1"/>
  <c r="AA264" i="1" s="1"/>
  <c r="Z199" i="1"/>
  <c r="AA202" i="1" s="1"/>
  <c r="AA203" i="1" s="1"/>
  <c r="Z197" i="1"/>
  <c r="CL48" i="1"/>
  <c r="CL49" i="1"/>
  <c r="CL264" i="1"/>
  <c r="CM194" i="1"/>
  <c r="CN194" i="1" s="1"/>
  <c r="CO194" i="1" s="1"/>
  <c r="CP194" i="1" s="1"/>
  <c r="CQ194" i="1" s="1"/>
  <c r="CR194" i="1" s="1"/>
  <c r="CS194" i="1" s="1"/>
  <c r="CT194" i="1" s="1"/>
  <c r="CM7" i="1"/>
  <c r="CN7" i="1" s="1"/>
  <c r="CL239" i="1"/>
  <c r="CL120" i="1"/>
  <c r="CK120" i="1"/>
  <c r="CK126" i="1" s="1"/>
  <c r="CK48" i="1"/>
  <c r="CK49" i="1"/>
  <c r="CI12" i="1"/>
  <c r="CI11" i="1" s="1"/>
  <c r="CI245" i="1"/>
  <c r="CI246" i="1" s="1"/>
  <c r="CI37" i="1"/>
  <c r="CI42" i="1"/>
  <c r="CG12" i="1"/>
  <c r="CG11" i="1" s="1"/>
  <c r="CK38" i="1"/>
  <c r="CJ12" i="1"/>
  <c r="CJ11" i="1" s="1"/>
  <c r="CK39" i="1"/>
  <c r="CW28" i="1"/>
  <c r="CM25" i="1"/>
  <c r="CZ28" i="1"/>
  <c r="CX28" i="1"/>
  <c r="CY28" i="1"/>
  <c r="CI263" i="1"/>
  <c r="CI264" i="1" s="1"/>
  <c r="CH12" i="1"/>
  <c r="CH11" i="1" s="1"/>
  <c r="CJ41" i="1"/>
  <c r="CI151" i="1"/>
  <c r="CJ216" i="1" s="1"/>
  <c r="CJ214" i="1" s="1"/>
  <c r="Z202" i="1"/>
  <c r="Z203" i="1" s="1"/>
  <c r="Y263" i="1"/>
  <c r="Y264" i="1" s="1"/>
  <c r="Y38" i="1"/>
  <c r="Y120" i="1"/>
  <c r="Y126" i="1" s="1"/>
  <c r="Y42" i="1"/>
  <c r="Y37" i="1"/>
  <c r="Y245" i="1"/>
  <c r="Y246" i="1" s="1"/>
  <c r="Z38" i="1"/>
  <c r="Z216" i="1"/>
  <c r="Z214" i="1" s="1"/>
  <c r="Z178" i="1"/>
  <c r="Z179" i="1" s="1"/>
  <c r="Z259" i="1"/>
  <c r="Z257" i="1"/>
  <c r="CI41" i="1"/>
  <c r="CH151" i="1"/>
  <c r="CY146" i="1"/>
  <c r="CZ146" i="1" s="1"/>
  <c r="DA146" i="1" s="1"/>
  <c r="DB146" i="1" s="1"/>
  <c r="AE146" i="1" s="1"/>
  <c r="AD146" i="1"/>
  <c r="Z263" i="1"/>
  <c r="Z264" i="1" s="1"/>
  <c r="Z42" i="1"/>
  <c r="Z120" i="1"/>
  <c r="Z126" i="1" s="1"/>
  <c r="Z37" i="1"/>
  <c r="Z245" i="1"/>
  <c r="Z246" i="1" s="1"/>
  <c r="CG37" i="1"/>
  <c r="CG42" i="1"/>
  <c r="CG46" i="1" s="1"/>
  <c r="CG245" i="1"/>
  <c r="CG246" i="1" s="1"/>
  <c r="Y202" i="1"/>
  <c r="Y203" i="1" s="1"/>
  <c r="CM215" i="1"/>
  <c r="CN153" i="1"/>
  <c r="CK195" i="1"/>
  <c r="CK199" i="1" s="1"/>
  <c r="CJ39" i="1"/>
  <c r="CJ263" i="1"/>
  <c r="CJ264" i="1" s="1"/>
  <c r="CJ245" i="1"/>
  <c r="CJ246" i="1" s="1"/>
  <c r="CH37" i="1"/>
  <c r="CH42" i="1"/>
  <c r="CH46" i="1" s="1"/>
  <c r="CH39" i="1"/>
  <c r="CH263" i="1"/>
  <c r="CI39" i="1"/>
  <c r="CH245" i="1"/>
  <c r="CH246" i="1" s="1"/>
  <c r="CJ239" i="1"/>
  <c r="CJ120" i="1"/>
  <c r="CJ126" i="1" s="1"/>
  <c r="CJ37" i="1"/>
  <c r="CJ42" i="1"/>
  <c r="CJ46" i="1" s="1"/>
  <c r="CN138" i="1"/>
  <c r="CM141" i="1"/>
  <c r="CM262" i="1" s="1"/>
  <c r="CH118" i="1"/>
  <c r="CH119" i="1"/>
  <c r="X46" i="1"/>
  <c r="X63" i="1"/>
  <c r="CP137" i="1"/>
  <c r="CZ176" i="1"/>
  <c r="CZ130" i="1"/>
  <c r="CM53" i="1"/>
  <c r="CN53" i="1" s="1"/>
  <c r="CO53" i="1" s="1"/>
  <c r="CP53" i="1" s="1"/>
  <c r="CQ53" i="1" s="1"/>
  <c r="CR53" i="1" s="1"/>
  <c r="CS53" i="1" s="1"/>
  <c r="CT53" i="1" s="1"/>
  <c r="CU53" i="1" s="1"/>
  <c r="CM54" i="1"/>
  <c r="CL52" i="1" l="1"/>
  <c r="CL56" i="1"/>
  <c r="CL247" i="1"/>
  <c r="CL50" i="1"/>
  <c r="CL258" i="1" s="1"/>
  <c r="CO7" i="1"/>
  <c r="CL122" i="1"/>
  <c r="CL121" i="1"/>
  <c r="CL126" i="1"/>
  <c r="CI46" i="1"/>
  <c r="CL63" i="1"/>
  <c r="CN25" i="1"/>
  <c r="CK50" i="1"/>
  <c r="CK56" i="1"/>
  <c r="DA28" i="1"/>
  <c r="DB28" i="1"/>
  <c r="Y63" i="1"/>
  <c r="Y46" i="1"/>
  <c r="CI216" i="1"/>
  <c r="CI214" i="1" s="1"/>
  <c r="CH259" i="1"/>
  <c r="CH178" i="1"/>
  <c r="CH179" i="1" s="1"/>
  <c r="CJ49" i="1"/>
  <c r="CJ48" i="1"/>
  <c r="Z46" i="1"/>
  <c r="Z63" i="1"/>
  <c r="CG49" i="1"/>
  <c r="CK51" i="1" s="1"/>
  <c r="CG48" i="1"/>
  <c r="CN215" i="1"/>
  <c r="CO153" i="1"/>
  <c r="CM198" i="1"/>
  <c r="CH49" i="1"/>
  <c r="CL51" i="1" s="1"/>
  <c r="CH48" i="1"/>
  <c r="CO138" i="1"/>
  <c r="CN141" i="1"/>
  <c r="CN262" i="1" s="1"/>
  <c r="CM219" i="1"/>
  <c r="X48" i="1"/>
  <c r="X49" i="1"/>
  <c r="CQ137" i="1"/>
  <c r="DA130" i="1"/>
  <c r="DA176" i="1"/>
  <c r="CE73" i="1"/>
  <c r="AB53" i="1"/>
  <c r="AC53" i="1"/>
  <c r="CV53" i="1"/>
  <c r="CW53" i="1" s="1"/>
  <c r="CX53" i="1" s="1"/>
  <c r="CY53" i="1" s="1"/>
  <c r="AB43" i="1"/>
  <c r="CN54" i="1"/>
  <c r="CO54" i="1" s="1"/>
  <c r="CP54" i="1" s="1"/>
  <c r="CQ54" i="1" s="1"/>
  <c r="CI49" i="1" l="1"/>
  <c r="CI48" i="1"/>
  <c r="CL206" i="1"/>
  <c r="CL208" i="1" s="1"/>
  <c r="CL74" i="1"/>
  <c r="CL60" i="1"/>
  <c r="CP7" i="1"/>
  <c r="CQ7" i="1" s="1"/>
  <c r="CR7" i="1" s="1"/>
  <c r="CS7" i="1" s="1"/>
  <c r="CT7" i="1" s="1"/>
  <c r="CI50" i="1"/>
  <c r="CI258" i="1" s="1"/>
  <c r="CL240" i="1"/>
  <c r="CI56" i="1"/>
  <c r="CI247" i="1"/>
  <c r="CO25" i="1"/>
  <c r="Y48" i="1"/>
  <c r="Y49" i="1"/>
  <c r="Y247" i="1" s="1"/>
  <c r="CJ50" i="1"/>
  <c r="CJ258" i="1" s="1"/>
  <c r="CJ247" i="1"/>
  <c r="CJ56" i="1"/>
  <c r="CJ74" i="1" s="1"/>
  <c r="CK60" i="1"/>
  <c r="CK74" i="1"/>
  <c r="CJ52" i="1"/>
  <c r="CK52" i="1"/>
  <c r="Z48" i="1"/>
  <c r="Z49" i="1"/>
  <c r="AA51" i="1" s="1"/>
  <c r="CM8" i="1"/>
  <c r="CK145" i="1"/>
  <c r="CK207" i="1"/>
  <c r="CO215" i="1"/>
  <c r="CP153" i="1"/>
  <c r="CJ240" i="1"/>
  <c r="CG50" i="1"/>
  <c r="CG258" i="1" s="1"/>
  <c r="CG247" i="1"/>
  <c r="CG56" i="1"/>
  <c r="CH52" i="1"/>
  <c r="CI52" i="1"/>
  <c r="CH56" i="1"/>
  <c r="CH74" i="1" s="1"/>
  <c r="CH50" i="1"/>
  <c r="CH258" i="1" s="1"/>
  <c r="CH247" i="1"/>
  <c r="CN198" i="1"/>
  <c r="CM195" i="1"/>
  <c r="CM199" i="1" s="1"/>
  <c r="CP138" i="1"/>
  <c r="CO141" i="1"/>
  <c r="CO262" i="1" s="1"/>
  <c r="CN219" i="1"/>
  <c r="X247" i="1"/>
  <c r="X50" i="1"/>
  <c r="X258" i="1" s="1"/>
  <c r="X56" i="1"/>
  <c r="CB73" i="1"/>
  <c r="BL73" i="1"/>
  <c r="CR137" i="1"/>
  <c r="CC73" i="1"/>
  <c r="DB130" i="1"/>
  <c r="DB176" i="1"/>
  <c r="AL73" i="1"/>
  <c r="CF73" i="1"/>
  <c r="CD73" i="1"/>
  <c r="BY73" i="1"/>
  <c r="BZ73" i="1"/>
  <c r="CA73" i="1"/>
  <c r="CI60" i="1"/>
  <c r="CI74" i="1"/>
  <c r="CI206" i="1"/>
  <c r="CI208" i="1" s="1"/>
  <c r="CG206" i="1"/>
  <c r="CG208" i="1" s="1"/>
  <c r="CG60" i="1"/>
  <c r="CG74" i="1"/>
  <c r="AD53" i="1"/>
  <c r="AB54" i="1"/>
  <c r="CZ53" i="1"/>
  <c r="DA53" i="1" s="1"/>
  <c r="DB53" i="1" s="1"/>
  <c r="AE53" i="1" s="1"/>
  <c r="AC43" i="1"/>
  <c r="CR54" i="1"/>
  <c r="CS54" i="1" s="1"/>
  <c r="CT54" i="1" s="1"/>
  <c r="CU54" i="1" s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Z11" i="3"/>
  <c r="AT35" i="3"/>
  <c r="AX42" i="3"/>
  <c r="AZ46" i="3"/>
  <c r="AY42" i="3"/>
  <c r="AY37" i="3"/>
  <c r="ER11" i="4" a="1"/>
  <c r="EL13" i="4" a="1"/>
  <c r="EO6" i="4" a="1"/>
  <c r="EQ8" i="4" a="1"/>
  <c r="EW9" i="4" a="1"/>
  <c r="ES13" i="4" a="1"/>
  <c r="AZ26" i="3"/>
  <c r="X5" i="6" a="1"/>
  <c r="AF17" i="3"/>
  <c r="ER16" i="4" a="1"/>
  <c r="EM11" i="4" a="1"/>
  <c r="EM14" i="4" a="1"/>
  <c r="ET8" i="4" a="1"/>
  <c r="EN14" i="4" a="1"/>
  <c r="EU16" i="4" a="1"/>
  <c r="EO13" i="4" a="1"/>
  <c r="AW25" i="3"/>
  <c r="AU31" i="3"/>
  <c r="EQ11" i="4" a="1"/>
  <c r="EQ13" i="4" a="1"/>
  <c r="AX22" i="3"/>
  <c r="AV39" i="3"/>
  <c r="AV30" i="3"/>
  <c r="AS40" i="3"/>
  <c r="F6" i="6" a="1"/>
  <c r="AU14" i="3"/>
  <c r="AL6" i="6" a="1"/>
  <c r="M5" i="6" a="1"/>
  <c r="C6" i="4" a="1"/>
  <c r="EL8" i="4" a="1"/>
  <c r="EU13" i="4" a="1"/>
  <c r="EV14" i="4" a="1"/>
  <c r="AT39" i="3"/>
  <c r="AU22" i="3"/>
  <c r="AX35" i="3"/>
  <c r="K5" i="6" a="1"/>
  <c r="AD6" i="6" a="1"/>
  <c r="AB5" i="6" a="1"/>
  <c r="AV13" i="3"/>
  <c r="AZ34" i="3"/>
  <c r="EN16" i="4" a="1"/>
  <c r="EM8" i="4" a="1"/>
  <c r="EN12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F46" i="3"/>
  <c r="AA6" i="6" a="1"/>
  <c r="L5" i="6" a="1"/>
  <c r="AR5" i="3"/>
  <c r="EV16" i="4" a="1"/>
  <c r="ES11" i="4" a="1"/>
  <c r="EM15" i="4" a="1"/>
  <c r="EU9" i="4" a="1"/>
  <c r="EL11" i="4" a="1"/>
  <c r="EP14" i="4" a="1"/>
  <c r="AW26" i="3"/>
  <c r="EL16" i="4" a="1"/>
  <c r="AY9" i="3"/>
  <c r="AZ13" i="3"/>
  <c r="AU34" i="3"/>
  <c r="AZ16" i="3"/>
  <c r="AW30" i="3"/>
  <c r="AW10" i="3"/>
  <c r="AU26" i="3"/>
  <c r="AT6" i="6" a="1"/>
  <c r="AP7" i="3"/>
  <c r="EO7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Z9" i="3"/>
  <c r="AO6" i="6" a="1"/>
  <c r="AT32" i="3"/>
  <c r="AZ32" i="3"/>
  <c r="AZ27" i="3"/>
  <c r="AF23" i="3"/>
  <c r="AM5" i="6" a="1"/>
  <c r="EQ12" i="4" a="1"/>
  <c r="ES16" i="4" a="1"/>
  <c r="EV9" i="4" a="1"/>
  <c r="EL14" i="4" a="1"/>
  <c r="EP5" i="4" a="1"/>
  <c r="EV5" i="4" a="1"/>
  <c r="AS27" i="3"/>
  <c r="ES6" i="4" a="1"/>
  <c r="EP7" i="4" a="1"/>
  <c r="AQ5" i="6" a="1"/>
  <c r="AK5" i="6" a="1"/>
  <c r="AZ14" i="3"/>
  <c r="C6" i="6" a="1"/>
  <c r="AV9" i="3"/>
  <c r="AT12" i="3"/>
  <c r="AV19" i="3"/>
  <c r="AW24" i="3"/>
  <c r="AR5" i="6" a="1"/>
  <c r="EN13" i="4" a="1"/>
  <c r="AT5" i="6" a="1"/>
  <c r="EO9" i="4" a="1"/>
  <c r="EU6" i="4" a="1"/>
  <c r="EN9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R13" i="4" a="1"/>
  <c r="ET16" i="4" a="1"/>
  <c r="EP9" i="4" a="1"/>
  <c r="EV6" i="4" a="1"/>
  <c r="ES14" i="4" a="1"/>
  <c r="EU8" i="4" a="1"/>
  <c r="EO5" i="4" a="1"/>
  <c r="ET7" i="4" a="1"/>
  <c r="AY5" i="3"/>
  <c r="AW42" i="3"/>
  <c r="AS21" i="3"/>
  <c r="ER15" i="4" a="1"/>
  <c r="AF11" i="3"/>
  <c r="AX5" i="3"/>
  <c r="AT29" i="3"/>
  <c r="AS41" i="3"/>
  <c r="AF34" i="3"/>
  <c r="AU40" i="3"/>
  <c r="AV27" i="3"/>
  <c r="EP15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EM16" i="4" a="1"/>
  <c r="U5" i="6" a="1"/>
  <c r="EP8" i="4" a="1"/>
  <c r="EN8" i="4" a="1"/>
  <c r="EW13" i="4" a="1"/>
  <c r="EN15" i="4" a="1"/>
  <c r="EL15" i="4" a="1"/>
  <c r="AX36" i="3"/>
  <c r="AX25" i="3"/>
  <c r="N6" i="6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S6" i="6" a="1"/>
  <c r="AZ40" i="3"/>
  <c r="AS35" i="3"/>
  <c r="EP6" i="4" a="1"/>
  <c r="AY30" i="3"/>
  <c r="AW37" i="3"/>
  <c r="AW39" i="3"/>
  <c r="AF30" i="3"/>
  <c r="AF40" i="3"/>
  <c r="AY17" i="3"/>
  <c r="AZ37" i="3"/>
  <c r="AS22" i="3"/>
  <c r="AV12" i="3"/>
  <c r="EU14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E5" i="6" a="1"/>
  <c r="AX14" i="3"/>
  <c r="EW16" i="4" a="1"/>
  <c r="EW7" i="4" a="1"/>
  <c r="AY7" i="3"/>
  <c r="AX21" i="3"/>
  <c r="AZ7" i="3"/>
  <c r="AY23" i="3"/>
  <c r="AS13" i="3"/>
  <c r="EV7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X29" i="3"/>
  <c r="AT40" i="3"/>
  <c r="AT14" i="3"/>
  <c r="AS38" i="3"/>
  <c r="AS33" i="3"/>
  <c r="AD5" i="6" a="1"/>
  <c r="AW18" i="3"/>
  <c r="T6" i="6" a="1"/>
  <c r="EU11" i="4" a="1"/>
  <c r="EW11" i="4" a="1"/>
  <c r="AS6" i="3"/>
  <c r="AF5" i="6" a="1"/>
  <c r="EU5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Z24" i="3"/>
  <c r="AX9" i="3"/>
  <c r="J6" i="6" a="1"/>
  <c r="AU12" i="3"/>
  <c r="AY15" i="3"/>
  <c r="AX46" i="3"/>
  <c r="AU7" i="3"/>
  <c r="ET12" i="4" a="1"/>
  <c r="EM5" i="4" a="1"/>
  <c r="EN7" i="4" a="1"/>
  <c r="EV13" i="4" a="1"/>
  <c r="ET15" i="4" a="1"/>
  <c r="AU30" i="3"/>
  <c r="EP12" i="4" a="1"/>
  <c r="EM13" i="4" a="1"/>
  <c r="EW12" i="4" a="1"/>
  <c r="EQ5" i="4" a="1"/>
  <c r="EU15" i="4" a="1"/>
  <c r="EL7" i="4" a="1"/>
  <c r="AW9" i="3"/>
  <c r="ET5" i="4" a="1"/>
  <c r="AU32" i="3"/>
  <c r="AV5" i="6" a="1"/>
  <c r="AS17" i="3"/>
  <c r="AF18" i="3"/>
  <c r="AX37" i="3"/>
  <c r="CL77" i="1" l="1"/>
  <c r="CI132" i="1"/>
  <c r="CI133" i="1" s="1"/>
  <c r="CL62" i="1"/>
  <c r="CK147" i="1"/>
  <c r="CL41" i="1" s="1"/>
  <c r="CM41" i="1" s="1"/>
  <c r="CN41" i="1" s="1"/>
  <c r="CO41" i="1" s="1"/>
  <c r="CP41" i="1" s="1"/>
  <c r="CR41" i="1" s="1"/>
  <c r="CS41" i="1" s="1"/>
  <c r="CT41" i="1" s="1"/>
  <c r="CU41" i="1" s="1"/>
  <c r="CV41" i="1" s="1"/>
  <c r="CW41" i="1" s="1"/>
  <c r="CX41" i="1" s="1"/>
  <c r="CY41" i="1" s="1"/>
  <c r="CZ41" i="1" s="1"/>
  <c r="DA41" i="1" s="1"/>
  <c r="DB41" i="1" s="1"/>
  <c r="CL145" i="1"/>
  <c r="CL144" i="1" s="1"/>
  <c r="CJ62" i="1"/>
  <c r="CJ60" i="1"/>
  <c r="CJ206" i="1"/>
  <c r="CJ208" i="1" s="1"/>
  <c r="Y51" i="1"/>
  <c r="Z51" i="1"/>
  <c r="Y56" i="1"/>
  <c r="CP25" i="1"/>
  <c r="CQ25" i="1" s="1"/>
  <c r="Y50" i="1"/>
  <c r="Y258" i="1" s="1"/>
  <c r="Z247" i="1"/>
  <c r="CH206" i="1"/>
  <c r="CH208" i="1" s="1"/>
  <c r="Z50" i="1"/>
  <c r="Z258" i="1" s="1"/>
  <c r="CH60" i="1"/>
  <c r="Z56" i="1"/>
  <c r="Z220" i="1" s="1"/>
  <c r="Z218" i="1" s="1"/>
  <c r="CP215" i="1"/>
  <c r="CQ153" i="1"/>
  <c r="CK77" i="1"/>
  <c r="CN8" i="1"/>
  <c r="CK151" i="1"/>
  <c r="CO198" i="1"/>
  <c r="CN195" i="1"/>
  <c r="CN199" i="1" s="1"/>
  <c r="CQ138" i="1"/>
  <c r="CP141" i="1"/>
  <c r="CP262" i="1" s="1"/>
  <c r="CO219" i="1"/>
  <c r="BY30" i="1"/>
  <c r="CA17" i="1"/>
  <c r="CE30" i="1"/>
  <c r="CA30" i="1"/>
  <c r="CF30" i="1"/>
  <c r="CD30" i="1"/>
  <c r="BZ30" i="1"/>
  <c r="BL30" i="1"/>
  <c r="CC30" i="1"/>
  <c r="CB30" i="1"/>
  <c r="CF17" i="1"/>
  <c r="CD17" i="1"/>
  <c r="BY17" i="1"/>
  <c r="CE17" i="1"/>
  <c r="BZ17" i="1"/>
  <c r="CC17" i="1"/>
  <c r="CB17" i="1"/>
  <c r="BL17" i="1"/>
  <c r="Y206" i="1"/>
  <c r="Y208" i="1" s="1"/>
  <c r="Y212" i="1" s="1"/>
  <c r="Y226" i="1" s="1"/>
  <c r="Y220" i="1"/>
  <c r="Y218" i="1" s="1"/>
  <c r="Y62" i="1"/>
  <c r="Y60" i="1"/>
  <c r="X206" i="1"/>
  <c r="X208" i="1" s="1"/>
  <c r="X60" i="1"/>
  <c r="X62" i="1"/>
  <c r="Z206" i="1"/>
  <c r="Z208" i="1" s="1"/>
  <c r="Z212" i="1" s="1"/>
  <c r="Z226" i="1" s="1"/>
  <c r="CD33" i="1"/>
  <c r="CC53" i="1"/>
  <c r="CA16" i="1"/>
  <c r="CA244" i="1" s="1"/>
  <c r="CD47" i="1"/>
  <c r="AH7" i="6" s="1"/>
  <c r="CD43" i="1"/>
  <c r="CF44" i="1"/>
  <c r="BY53" i="1"/>
  <c r="BL53" i="1"/>
  <c r="CD54" i="1"/>
  <c r="AV7" i="6" s="1"/>
  <c r="CB28" i="1"/>
  <c r="CB10" i="1" s="1"/>
  <c r="R7" i="6" s="1"/>
  <c r="X7" i="6" s="1"/>
  <c r="CD53" i="1"/>
  <c r="CD23" i="1"/>
  <c r="V7" i="6" s="1"/>
  <c r="BY23" i="1"/>
  <c r="CB16" i="1"/>
  <c r="CB244" i="1" s="1"/>
  <c r="BY59" i="1"/>
  <c r="BL16" i="1"/>
  <c r="AW7" i="6" s="1"/>
  <c r="BY29" i="1"/>
  <c r="CA21" i="1"/>
  <c r="CB31" i="1"/>
  <c r="BZ44" i="1"/>
  <c r="O7" i="6" s="1"/>
  <c r="BL55" i="1"/>
  <c r="AQ7" i="6" s="1"/>
  <c r="CF16" i="1"/>
  <c r="JJ9" i="4" s="1"/>
  <c r="BY54" i="1"/>
  <c r="AM7" i="6" s="1"/>
  <c r="JM16" i="4" s="1"/>
  <c r="CF55" i="1"/>
  <c r="CA32" i="1"/>
  <c r="BL31" i="1"/>
  <c r="BL54" i="1"/>
  <c r="CF43" i="1"/>
  <c r="BL44" i="1"/>
  <c r="BZ53" i="1"/>
  <c r="CC33" i="1"/>
  <c r="CC29" i="1"/>
  <c r="JM9" i="4" s="1"/>
  <c r="CA29" i="1"/>
  <c r="JL16" i="4" s="1"/>
  <c r="BZ32" i="1"/>
  <c r="CB29" i="1"/>
  <c r="CC21" i="1"/>
  <c r="JK16" i="4" s="1"/>
  <c r="CA59" i="1"/>
  <c r="BZ22" i="1"/>
  <c r="CE23" i="1"/>
  <c r="CC22" i="1"/>
  <c r="C7" i="6" s="1"/>
  <c r="T7" i="6" s="1"/>
  <c r="BY32" i="1"/>
  <c r="CC54" i="1"/>
  <c r="CC16" i="1"/>
  <c r="CC244" i="1" s="1"/>
  <c r="CB43" i="1"/>
  <c r="JL9" i="4" s="1"/>
  <c r="CF47" i="1"/>
  <c r="AL7" i="6" s="1"/>
  <c r="BZ40" i="1"/>
  <c r="BZ207" i="1" s="1"/>
  <c r="BZ43" i="1"/>
  <c r="J7" i="6" s="1"/>
  <c r="BY55" i="1"/>
  <c r="Z7" i="6" s="1"/>
  <c r="BL28" i="1"/>
  <c r="BL10" i="1" s="1"/>
  <c r="CF21" i="1"/>
  <c r="CF31" i="1"/>
  <c r="BZ21" i="1"/>
  <c r="CA23" i="1"/>
  <c r="CD22" i="1"/>
  <c r="BL29" i="1"/>
  <c r="BY22" i="1"/>
  <c r="CE40" i="1"/>
  <c r="CE207" i="1" s="1"/>
  <c r="AD7" i="6" s="1"/>
  <c r="CF33" i="1"/>
  <c r="CE28" i="1"/>
  <c r="CE10" i="1" s="1"/>
  <c r="CA55" i="1"/>
  <c r="CD44" i="1"/>
  <c r="CB32" i="1"/>
  <c r="CD55" i="1"/>
  <c r="AP7" i="6" s="1"/>
  <c r="Y7" i="6" s="1"/>
  <c r="CA33" i="1"/>
  <c r="AA7" i="6" s="1"/>
  <c r="AJ7" i="6" s="1"/>
  <c r="BY16" i="1"/>
  <c r="BY31" i="1"/>
  <c r="CB47" i="1"/>
  <c r="CE33" i="1"/>
  <c r="I7" i="6" s="1"/>
  <c r="AK7" i="6" s="1"/>
  <c r="CE22" i="1"/>
  <c r="K7" i="6" s="1"/>
  <c r="F7" i="6" s="1"/>
  <c r="CB53" i="1"/>
  <c r="CF32" i="1"/>
  <c r="AC7" i="6" s="1"/>
  <c r="AE7" i="6" s="1"/>
  <c r="M7" i="6" s="1"/>
  <c r="Q7" i="6" s="1"/>
  <c r="CA54" i="1"/>
  <c r="BZ54" i="1"/>
  <c r="CA44" i="1"/>
  <c r="CF54" i="1"/>
  <c r="AU7" i="6" s="1"/>
  <c r="BL23" i="1"/>
  <c r="CE32" i="1"/>
  <c r="CB40" i="1"/>
  <c r="CB207" i="1" s="1"/>
  <c r="CC55" i="1"/>
  <c r="CC59" i="1"/>
  <c r="AX7" i="6" s="1"/>
  <c r="BZ31" i="1"/>
  <c r="AT7" i="6" s="1"/>
  <c r="S7" i="6" s="1"/>
  <c r="BY21" i="1"/>
  <c r="CE43" i="1"/>
  <c r="CA53" i="1"/>
  <c r="CB55" i="1"/>
  <c r="CA43" i="1"/>
  <c r="CF59" i="1"/>
  <c r="CF29" i="1"/>
  <c r="CA28" i="1"/>
  <c r="CA10" i="1" s="1"/>
  <c r="AN7" i="6" s="1"/>
  <c r="CE54" i="1"/>
  <c r="CC23" i="1"/>
  <c r="CE59" i="1"/>
  <c r="CF23" i="1"/>
  <c r="G7" i="6" s="1"/>
  <c r="BL40" i="1"/>
  <c r="AF7" i="6" s="1"/>
  <c r="CC28" i="1"/>
  <c r="CC10" i="1" s="1"/>
  <c r="CD28" i="1"/>
  <c r="CD10" i="1" s="1"/>
  <c r="JJ16" i="4" s="1"/>
  <c r="BY33" i="1"/>
  <c r="CB54" i="1"/>
  <c r="CE16" i="1"/>
  <c r="AB7" i="6" s="1"/>
  <c r="BL22" i="1"/>
  <c r="CD59" i="1"/>
  <c r="BY28" i="1"/>
  <c r="BY10" i="1" s="1"/>
  <c r="BZ23" i="1"/>
  <c r="CD29" i="1"/>
  <c r="L7" i="6" s="1"/>
  <c r="BL47" i="1"/>
  <c r="BZ16" i="1"/>
  <c r="BZ244" i="1" s="1"/>
  <c r="CA40" i="1"/>
  <c r="BZ47" i="1"/>
  <c r="BY40" i="1"/>
  <c r="BY207" i="1" s="1"/>
  <c r="AI7" i="6" s="1"/>
  <c r="CC47" i="1"/>
  <c r="D7" i="6" s="1"/>
  <c r="BZ29" i="1"/>
  <c r="AG7" i="6" s="1"/>
  <c r="BZ28" i="1"/>
  <c r="BZ10" i="1" s="1"/>
  <c r="BL59" i="1"/>
  <c r="W7" i="6" s="1"/>
  <c r="CB59" i="1"/>
  <c r="CE55" i="1"/>
  <c r="CF28" i="1"/>
  <c r="CF10" i="1" s="1"/>
  <c r="CC31" i="1"/>
  <c r="CD31" i="1"/>
  <c r="CE21" i="1"/>
  <c r="BY43" i="1"/>
  <c r="CC43" i="1"/>
  <c r="BZ59" i="1"/>
  <c r="AS7" i="6" s="1"/>
  <c r="BZ55" i="1"/>
  <c r="CE44" i="1"/>
  <c r="CD21" i="1"/>
  <c r="BL43" i="1"/>
  <c r="CB22" i="1"/>
  <c r="CC40" i="1"/>
  <c r="CC207" i="1" s="1"/>
  <c r="BY47" i="1"/>
  <c r="H7" i="6" s="1"/>
  <c r="CA31" i="1"/>
  <c r="BZ33" i="1"/>
  <c r="CD16" i="1"/>
  <c r="CD244" i="1" s="1"/>
  <c r="AR7" i="6" s="1"/>
  <c r="CF22" i="1"/>
  <c r="BL21" i="1"/>
  <c r="BL32" i="1"/>
  <c r="JK9" i="4" s="1"/>
  <c r="AO7" i="6" s="1"/>
  <c r="CA47" i="1"/>
  <c r="BL33" i="1"/>
  <c r="CA22" i="1"/>
  <c r="CE53" i="1"/>
  <c r="CD32" i="1"/>
  <c r="P7" i="6" s="1"/>
  <c r="E7" i="6" s="1"/>
  <c r="U7" i="6" s="1"/>
  <c r="CC32" i="1"/>
  <c r="AY7" i="6" s="1"/>
  <c r="CD40" i="1"/>
  <c r="CB23" i="1"/>
  <c r="CC44" i="1"/>
  <c r="CB44" i="1"/>
  <c r="CE31" i="1"/>
  <c r="CE29" i="1"/>
  <c r="CF40" i="1"/>
  <c r="CF207" i="1" s="1"/>
  <c r="CB33" i="1"/>
  <c r="BY44" i="1"/>
  <c r="CF53" i="1"/>
  <c r="N7" i="6" s="1"/>
  <c r="CS137" i="1"/>
  <c r="CJ77" i="1"/>
  <c r="CJ63" i="1"/>
  <c r="AC54" i="1"/>
  <c r="CV54" i="1"/>
  <c r="CW54" i="1" s="1"/>
  <c r="CX54" i="1" s="1"/>
  <c r="CY54" i="1" s="1"/>
  <c r="AD43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U58" i="3"/>
  <c r="AY56" i="3"/>
  <c r="AW77" i="3"/>
  <c r="AU91" i="3"/>
  <c r="AX67" i="3"/>
  <c r="AU77" i="3"/>
  <c r="AT65" i="3"/>
  <c r="AY85" i="3"/>
  <c r="AV84" i="3"/>
  <c r="AX85" i="3"/>
  <c r="AS78" i="3"/>
  <c r="AZ89" i="3"/>
  <c r="AU88" i="3"/>
  <c r="C72" i="3"/>
  <c r="AU85" i="3"/>
  <c r="AY50" i="3"/>
  <c r="C55" i="3"/>
  <c r="AZ97" i="3"/>
  <c r="AV71" i="3"/>
  <c r="AS93" i="3"/>
  <c r="AW87" i="3"/>
  <c r="AF60" i="3"/>
  <c r="AV87" i="3"/>
  <c r="AX62" i="3"/>
  <c r="AY75" i="3"/>
  <c r="AT63" i="3"/>
  <c r="C61" i="3"/>
  <c r="C74" i="3"/>
  <c r="AW55" i="3"/>
  <c r="AW65" i="3"/>
  <c r="AT83" i="3"/>
  <c r="AX70" i="3"/>
  <c r="C57" i="3"/>
  <c r="AT93" i="3"/>
  <c r="AV95" i="3"/>
  <c r="AU76" i="3"/>
  <c r="AW84" i="3"/>
  <c r="AS81" i="3"/>
  <c r="AU64" i="3"/>
  <c r="AX87" i="3"/>
  <c r="AY77" i="3"/>
  <c r="AX78" i="3"/>
  <c r="C63" i="3"/>
  <c r="AY86" i="3"/>
  <c r="AU49" i="3"/>
  <c r="AT95" i="3"/>
  <c r="C64" i="3"/>
  <c r="AW66" i="3"/>
  <c r="AU50" i="3"/>
  <c r="C81" i="3"/>
  <c r="AY57" i="3"/>
  <c r="AX83" i="3"/>
  <c r="AU96" i="3"/>
  <c r="AV70" i="3"/>
  <c r="AX71" i="3"/>
  <c r="AV88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T92" i="3"/>
  <c r="AZ82" i="3"/>
  <c r="C77" i="3"/>
  <c r="AZ93" i="3"/>
  <c r="AW74" i="3"/>
  <c r="C67" i="3"/>
  <c r="AV97" i="3"/>
  <c r="AZ49" i="3"/>
  <c r="AX75" i="3"/>
  <c r="AY73" i="3"/>
  <c r="AW64" i="3"/>
  <c r="AW47" i="3"/>
  <c r="AX96" i="3"/>
  <c r="AT68" i="3"/>
  <c r="AV82" i="3"/>
  <c r="AW62" i="3"/>
  <c r="AU63" i="3"/>
  <c r="AT86" i="3"/>
  <c r="AZ90" i="3"/>
  <c r="AX82" i="3"/>
  <c r="AF76" i="3"/>
  <c r="AZ55" i="3"/>
  <c r="AZ50" i="3"/>
  <c r="AX86" i="3"/>
  <c r="AZ48" i="3"/>
  <c r="AT85" i="3"/>
  <c r="C87" i="3"/>
  <c r="AY60" i="3"/>
  <c r="AZ95" i="3"/>
  <c r="AY91" i="3"/>
  <c r="AW80" i="3"/>
  <c r="AS69" i="3"/>
  <c r="AW71" i="3"/>
  <c r="AZ87" i="3"/>
  <c r="AF90" i="3"/>
  <c r="C96" i="3"/>
  <c r="AU62" i="3"/>
  <c r="AV86" i="3"/>
  <c r="C92" i="3"/>
  <c r="AS64" i="3"/>
  <c r="AY74" i="3"/>
  <c r="AU60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S80" i="3"/>
  <c r="AV76" i="3"/>
  <c r="AT88" i="3"/>
  <c r="AS59" i="3"/>
  <c r="AY67" i="3"/>
  <c r="AV59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AS89" i="3"/>
  <c r="AU57" i="3"/>
  <c r="AF55" i="3"/>
  <c r="AT79" i="3"/>
  <c r="AT75" i="3"/>
  <c r="AS95" i="3"/>
  <c r="AV79" i="3"/>
  <c r="AF70" i="3"/>
  <c r="AS97" i="3"/>
  <c r="AY58" i="3"/>
  <c r="AV61" i="3"/>
  <c r="AF47" i="3"/>
  <c r="AU65" i="3"/>
  <c r="AF56" i="3"/>
  <c r="AZ65" i="3"/>
  <c r="AY93" i="3"/>
  <c r="AX93" i="3"/>
  <c r="AS84" i="3"/>
  <c r="AY88" i="3"/>
  <c r="AT76" i="3"/>
  <c r="AF91" i="3"/>
  <c r="AY78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AF82" i="3"/>
  <c r="AF79" i="3"/>
  <c r="AW79" i="3"/>
  <c r="AZ56" i="3"/>
  <c r="C58" i="3"/>
  <c r="AT60" i="3"/>
  <c r="AV80" i="3"/>
  <c r="C65" i="3"/>
  <c r="AU87" i="3"/>
  <c r="AV65" i="3"/>
  <c r="AY47" i="3"/>
  <c r="AU66" i="3"/>
  <c r="AT82" i="3"/>
  <c r="AW72" i="3"/>
  <c r="AF94" i="3"/>
  <c r="C86" i="3"/>
  <c r="AS66" i="3"/>
  <c r="AV47" i="3"/>
  <c r="AY89" i="3"/>
  <c r="C66" i="3"/>
  <c r="AT67" i="3"/>
  <c r="AZ70" i="3"/>
  <c r="AU56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C76" i="3"/>
  <c r="AS60" i="3"/>
  <c r="AX64" i="3"/>
  <c r="AS88" i="3"/>
  <c r="AS71" i="3"/>
  <c r="AY90" i="3"/>
  <c r="AV56" i="3"/>
  <c r="AU74" i="3"/>
  <c r="AY80" i="3"/>
  <c r="AT81" i="3"/>
  <c r="AU67" i="3"/>
  <c r="AV62" i="3"/>
  <c r="AS61" i="3"/>
  <c r="AX59" i="3"/>
  <c r="AU83" i="3"/>
  <c r="AX47" i="3"/>
  <c r="AU79" i="3"/>
  <c r="C62" i="3"/>
  <c r="AX92" i="3"/>
  <c r="AU92" i="3"/>
  <c r="AZ64" i="3"/>
  <c r="AV74" i="3"/>
  <c r="C85" i="3"/>
  <c r="AT89" i="3"/>
  <c r="AY63" i="3"/>
  <c r="AZ59" i="3"/>
  <c r="AT56" i="3"/>
  <c r="AX61" i="3"/>
  <c r="AV50" i="3"/>
  <c r="AT55" i="3"/>
  <c r="C78" i="3"/>
  <c r="AS68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74" i="3"/>
  <c r="AW60" i="3"/>
  <c r="AW78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X76" i="3"/>
  <c r="CI220" i="1" l="1"/>
  <c r="CI218" i="1" s="1"/>
  <c r="CJ220" i="1"/>
  <c r="CJ218" i="1" s="1"/>
  <c r="CI100" i="1"/>
  <c r="CI142" i="1"/>
  <c r="CL93" i="1"/>
  <c r="CL94" i="1"/>
  <c r="CL95" i="1"/>
  <c r="CM144" i="1"/>
  <c r="CN144" i="1" s="1"/>
  <c r="CO144" i="1" s="1"/>
  <c r="CP144" i="1" s="1"/>
  <c r="CK216" i="1"/>
  <c r="CK214" i="1" s="1"/>
  <c r="CL216" i="1"/>
  <c r="CL214" i="1" s="1"/>
  <c r="Z60" i="1"/>
  <c r="CR25" i="1"/>
  <c r="CS25" i="1" s="1"/>
  <c r="CT25" i="1" s="1"/>
  <c r="Z62" i="1"/>
  <c r="CQ215" i="1"/>
  <c r="CR153" i="1"/>
  <c r="CK93" i="1"/>
  <c r="CK94" i="1"/>
  <c r="CK95" i="1"/>
  <c r="CO8" i="1"/>
  <c r="CP198" i="1"/>
  <c r="CO195" i="1"/>
  <c r="CO199" i="1" s="1"/>
  <c r="CR138" i="1"/>
  <c r="CQ141" i="1"/>
  <c r="CQ262" i="1" s="1"/>
  <c r="CP219" i="1"/>
  <c r="BZ138" i="1"/>
  <c r="CA138" i="1" s="1"/>
  <c r="BL81" i="1"/>
  <c r="CF82" i="1"/>
  <c r="CB159" i="1"/>
  <c r="CC159" i="1" s="1"/>
  <c r="CD166" i="1"/>
  <c r="CD196" i="1" s="1"/>
  <c r="CE196" i="1" s="1"/>
  <c r="CB177" i="1"/>
  <c r="CC177" i="1" s="1"/>
  <c r="BL137" i="1"/>
  <c r="BM137" i="1" s="1"/>
  <c r="CD146" i="1"/>
  <c r="CD137" i="1"/>
  <c r="CE137" i="1" s="1"/>
  <c r="CF140" i="1"/>
  <c r="CG140" i="1" s="1"/>
  <c r="CB140" i="1"/>
  <c r="CC140" i="1" s="1"/>
  <c r="CB165" i="1"/>
  <c r="CC165" i="1" s="1"/>
  <c r="CB157" i="1"/>
  <c r="CB192" i="1" s="1"/>
  <c r="CC192" i="1" s="1"/>
  <c r="BZ166" i="1"/>
  <c r="BZ196" i="1" s="1"/>
  <c r="CA196" i="1" s="1"/>
  <c r="BZ177" i="1"/>
  <c r="CA177" i="1" s="1"/>
  <c r="BZ167" i="1"/>
  <c r="CA167" i="1" s="1"/>
  <c r="BZ173" i="1"/>
  <c r="BZ163" i="1"/>
  <c r="CA163" i="1" s="1"/>
  <c r="BZ145" i="1"/>
  <c r="BL158" i="1"/>
  <c r="BL193" i="1" s="1"/>
  <c r="BM193" i="1" s="1"/>
  <c r="BL166" i="1"/>
  <c r="BL196" i="1" s="1"/>
  <c r="BM196" i="1" s="1"/>
  <c r="BL135" i="1"/>
  <c r="BM135" i="1" s="1"/>
  <c r="CA81" i="1"/>
  <c r="CF81" i="1"/>
  <c r="CF159" i="1"/>
  <c r="CG159" i="1" s="1"/>
  <c r="CF146" i="1"/>
  <c r="CB82" i="1"/>
  <c r="CF157" i="1"/>
  <c r="CF192" i="1" s="1"/>
  <c r="CG192" i="1" s="1"/>
  <c r="CG157" i="1" s="1"/>
  <c r="CF135" i="1"/>
  <c r="CG135" i="1" s="1"/>
  <c r="CB162" i="1"/>
  <c r="CC162" i="1" s="1"/>
  <c r="CF177" i="1"/>
  <c r="CG177" i="1" s="1"/>
  <c r="CB138" i="1"/>
  <c r="CC138" i="1" s="1"/>
  <c r="CB176" i="1"/>
  <c r="CC176" i="1" s="1"/>
  <c r="CD82" i="1"/>
  <c r="CB172" i="1"/>
  <c r="CD158" i="1"/>
  <c r="CD193" i="1" s="1"/>
  <c r="CE193" i="1" s="1"/>
  <c r="CD135" i="1"/>
  <c r="CE135" i="1" s="1"/>
  <c r="BL138" i="1"/>
  <c r="CD144" i="1"/>
  <c r="CD164" i="1"/>
  <c r="CE164" i="1" s="1"/>
  <c r="CD172" i="1"/>
  <c r="CD155" i="1"/>
  <c r="CE155" i="1" s="1"/>
  <c r="CF153" i="1"/>
  <c r="CF139" i="1"/>
  <c r="CG139" i="1" s="1"/>
  <c r="CB155" i="1"/>
  <c r="CC155" i="1" s="1"/>
  <c r="BL167" i="1"/>
  <c r="BM167" i="1" s="1"/>
  <c r="BL176" i="1"/>
  <c r="BM176" i="1" s="1"/>
  <c r="BL177" i="1"/>
  <c r="CB139" i="1"/>
  <c r="CC139" i="1" s="1"/>
  <c r="CE82" i="1"/>
  <c r="BZ172" i="1"/>
  <c r="BZ176" i="1"/>
  <c r="CA176" i="1" s="1"/>
  <c r="BZ132" i="1"/>
  <c r="BZ140" i="1"/>
  <c r="CA140" i="1" s="1"/>
  <c r="CF158" i="1"/>
  <c r="CF193" i="1" s="1"/>
  <c r="CG193" i="1" s="1"/>
  <c r="CG158" i="1" s="1"/>
  <c r="CF145" i="1"/>
  <c r="CF162" i="1"/>
  <c r="CB132" i="1"/>
  <c r="CB158" i="1"/>
  <c r="CB193" i="1" s="1"/>
  <c r="CC193" i="1" s="1"/>
  <c r="CD173" i="1"/>
  <c r="CD165" i="1"/>
  <c r="CE165" i="1" s="1"/>
  <c r="CB81" i="1"/>
  <c r="BZ168" i="1"/>
  <c r="CA168" i="1" s="1"/>
  <c r="BZ146" i="1"/>
  <c r="BZ130" i="1"/>
  <c r="BZ160" i="1"/>
  <c r="CA160" i="1" s="1"/>
  <c r="BZ82" i="1"/>
  <c r="BZ137" i="1"/>
  <c r="CA137" i="1" s="1"/>
  <c r="BZ139" i="1"/>
  <c r="CA139" i="1" s="1"/>
  <c r="BZ155" i="1"/>
  <c r="CA155" i="1" s="1"/>
  <c r="BZ144" i="1"/>
  <c r="BL146" i="1"/>
  <c r="BL162" i="1"/>
  <c r="BM162" i="1" s="1"/>
  <c r="CF137" i="1"/>
  <c r="CF166" i="1"/>
  <c r="CF196" i="1" s="1"/>
  <c r="CG196" i="1" s="1"/>
  <c r="CG166" i="1" s="1"/>
  <c r="CD167" i="1"/>
  <c r="CE167" i="1" s="1"/>
  <c r="CF167" i="1"/>
  <c r="CG167" i="1" s="1"/>
  <c r="CB144" i="1"/>
  <c r="CB167" i="1"/>
  <c r="CC167" i="1" s="1"/>
  <c r="BY82" i="1"/>
  <c r="CD176" i="1"/>
  <c r="CE176" i="1" s="1"/>
  <c r="CD148" i="1"/>
  <c r="CE148" i="1" s="1"/>
  <c r="BL173" i="1"/>
  <c r="CB166" i="1"/>
  <c r="CB196" i="1" s="1"/>
  <c r="CC196" i="1" s="1"/>
  <c r="CB131" i="1"/>
  <c r="CC131" i="1" s="1"/>
  <c r="BL163" i="1"/>
  <c r="BM163" i="1" s="1"/>
  <c r="CD140" i="1"/>
  <c r="CE140" i="1" s="1"/>
  <c r="CD160" i="1"/>
  <c r="CE160" i="1" s="1"/>
  <c r="CD132" i="1"/>
  <c r="CD159" i="1"/>
  <c r="CE159" i="1" s="1"/>
  <c r="CD168" i="1"/>
  <c r="CE168" i="1" s="1"/>
  <c r="CD153" i="1"/>
  <c r="CE153" i="1" s="1"/>
  <c r="CF130" i="1"/>
  <c r="CF131" i="1"/>
  <c r="CG131" i="1" s="1"/>
  <c r="CF164" i="1"/>
  <c r="CG164" i="1" s="1"/>
  <c r="CF176" i="1"/>
  <c r="CG176" i="1" s="1"/>
  <c r="CB173" i="1"/>
  <c r="CB153" i="1"/>
  <c r="AI82" i="1"/>
  <c r="BL160" i="1"/>
  <c r="BM160" i="1" s="1"/>
  <c r="BL148" i="1"/>
  <c r="BM148" i="1" s="1"/>
  <c r="BL139" i="1"/>
  <c r="BM139" i="1" s="1"/>
  <c r="CB137" i="1"/>
  <c r="CC137" i="1" s="1"/>
  <c r="BL159" i="1"/>
  <c r="BM159" i="1" s="1"/>
  <c r="BZ148" i="1"/>
  <c r="CA148" i="1" s="1"/>
  <c r="BZ81" i="1"/>
  <c r="BL165" i="1"/>
  <c r="BM165" i="1" s="1"/>
  <c r="CB145" i="1"/>
  <c r="CF160" i="1"/>
  <c r="CG160" i="1" s="1"/>
  <c r="CB160" i="1"/>
  <c r="CC160" i="1" s="1"/>
  <c r="CD81" i="1"/>
  <c r="CC82" i="1"/>
  <c r="CD131" i="1"/>
  <c r="CE131" i="1" s="1"/>
  <c r="BL132" i="1"/>
  <c r="CD138" i="1"/>
  <c r="CE138" i="1" s="1"/>
  <c r="CF172" i="1"/>
  <c r="CF165" i="1"/>
  <c r="CG165" i="1" s="1"/>
  <c r="CE81" i="1"/>
  <c r="BZ158" i="1"/>
  <c r="BZ193" i="1" s="1"/>
  <c r="CA193" i="1" s="1"/>
  <c r="BZ135" i="1"/>
  <c r="CA135" i="1" s="1"/>
  <c r="BZ157" i="1"/>
  <c r="BZ192" i="1" s="1"/>
  <c r="CA192" i="1" s="1"/>
  <c r="BZ131" i="1"/>
  <c r="CA131" i="1" s="1"/>
  <c r="BZ162" i="1"/>
  <c r="BZ164" i="1"/>
  <c r="CA164" i="1" s="1"/>
  <c r="BZ159" i="1"/>
  <c r="CA159" i="1" s="1"/>
  <c r="BZ153" i="1"/>
  <c r="CA153" i="1" s="1"/>
  <c r="BZ165" i="1"/>
  <c r="CA165" i="1" s="1"/>
  <c r="BL168" i="1"/>
  <c r="BM168" i="1" s="1"/>
  <c r="BL157" i="1"/>
  <c r="BL192" i="1" s="1"/>
  <c r="BM192" i="1" s="1"/>
  <c r="BL144" i="1"/>
  <c r="BL145" i="1"/>
  <c r="CA82" i="1"/>
  <c r="CF168" i="1"/>
  <c r="CG168" i="1" s="1"/>
  <c r="CF163" i="1"/>
  <c r="CG163" i="1" s="1"/>
  <c r="CF173" i="1"/>
  <c r="CB130" i="1"/>
  <c r="CC130" i="1" s="1"/>
  <c r="CF144" i="1"/>
  <c r="CF132" i="1"/>
  <c r="CG132" i="1" s="1"/>
  <c r="CF138" i="1"/>
  <c r="CG138" i="1" s="1"/>
  <c r="CD139" i="1"/>
  <c r="CE139" i="1" s="1"/>
  <c r="CB168" i="1"/>
  <c r="CC168" i="1" s="1"/>
  <c r="CB148" i="1"/>
  <c r="CC148" i="1" s="1"/>
  <c r="CB164" i="1"/>
  <c r="CC164" i="1" s="1"/>
  <c r="CD130" i="1"/>
  <c r="BL153" i="1"/>
  <c r="CB146" i="1"/>
  <c r="BL140" i="1"/>
  <c r="BM140" i="1" s="1"/>
  <c r="CD145" i="1"/>
  <c r="CD157" i="1"/>
  <c r="CD192" i="1" s="1"/>
  <c r="CE192" i="1" s="1"/>
  <c r="CD163" i="1"/>
  <c r="CE163" i="1" s="1"/>
  <c r="CD162" i="1"/>
  <c r="CE162" i="1" s="1"/>
  <c r="CD177" i="1"/>
  <c r="CE177" i="1" s="1"/>
  <c r="CF148" i="1"/>
  <c r="CG148" i="1" s="1"/>
  <c r="CF155" i="1"/>
  <c r="CG155" i="1" s="1"/>
  <c r="CC81" i="1"/>
  <c r="CB163" i="1"/>
  <c r="CC163" i="1" s="1"/>
  <c r="CB135" i="1"/>
  <c r="CC135" i="1" s="1"/>
  <c r="BL172" i="1"/>
  <c r="BL130" i="1"/>
  <c r="BM130" i="1" s="1"/>
  <c r="BL164" i="1"/>
  <c r="BM164" i="1" s="1"/>
  <c r="BL155" i="1"/>
  <c r="BM155" i="1" s="1"/>
  <c r="BL131" i="1"/>
  <c r="BM131" i="1" s="1"/>
  <c r="BL266" i="1"/>
  <c r="CH106" i="1"/>
  <c r="CH107" i="1" s="1"/>
  <c r="CB150" i="1"/>
  <c r="CC150" i="1" s="1"/>
  <c r="CF150" i="1"/>
  <c r="CG150" i="1" s="1"/>
  <c r="CD150" i="1"/>
  <c r="CE150" i="1" s="1"/>
  <c r="BL150" i="1"/>
  <c r="BM150" i="1" s="1"/>
  <c r="BZ150" i="1"/>
  <c r="CA150" i="1" s="1"/>
  <c r="BL156" i="1"/>
  <c r="CD156" i="1"/>
  <c r="CB156" i="1"/>
  <c r="CF156" i="1"/>
  <c r="BZ156" i="1"/>
  <c r="CA265" i="1"/>
  <c r="JJ21" i="4"/>
  <c r="CD85" i="1" s="1"/>
  <c r="CA18" i="1"/>
  <c r="JK14" i="4"/>
  <c r="BL18" i="1"/>
  <c r="BY18" i="1"/>
  <c r="BL207" i="1"/>
  <c r="CF18" i="1"/>
  <c r="CF265" i="1"/>
  <c r="JL21" i="4"/>
  <c r="CF85" i="1" s="1"/>
  <c r="Y223" i="1"/>
  <c r="Y224" i="1" s="1"/>
  <c r="CF106" i="1"/>
  <c r="CF107" i="1" s="1"/>
  <c r="CB34" i="1"/>
  <c r="CE244" i="1"/>
  <c r="CC266" i="1"/>
  <c r="CA34" i="1"/>
  <c r="CE265" i="1"/>
  <c r="CC265" i="1"/>
  <c r="JM7" i="4"/>
  <c r="CA266" i="1"/>
  <c r="JJ8" i="4"/>
  <c r="Z223" i="1"/>
  <c r="Z224" i="1" s="1"/>
  <c r="CF34" i="1"/>
  <c r="BZ265" i="1"/>
  <c r="BZ18" i="1"/>
  <c r="BZ7" i="1" s="1"/>
  <c r="CA207" i="1"/>
  <c r="CD266" i="1"/>
  <c r="CB106" i="1"/>
  <c r="CB107" i="1" s="1"/>
  <c r="JK21" i="4"/>
  <c r="CE85" i="1" s="1"/>
  <c r="JK15" i="4"/>
  <c r="CD265" i="1"/>
  <c r="JL14" i="4"/>
  <c r="CC34" i="1"/>
  <c r="BY34" i="1"/>
  <c r="CI106" i="1"/>
  <c r="CI107" i="1" s="1"/>
  <c r="CI110" i="1" s="1"/>
  <c r="CF244" i="1"/>
  <c r="BY266" i="1"/>
  <c r="JL8" i="4"/>
  <c r="CE34" i="1"/>
  <c r="BL265" i="1"/>
  <c r="CE106" i="1"/>
  <c r="CE107" i="1" s="1"/>
  <c r="CD18" i="1"/>
  <c r="CC18" i="1"/>
  <c r="CC7" i="1" s="1"/>
  <c r="CD207" i="1"/>
  <c r="CE18" i="1"/>
  <c r="CE7" i="1" s="1"/>
  <c r="CG106" i="1"/>
  <c r="CG107" i="1" s="1"/>
  <c r="CD106" i="1"/>
  <c r="CD107" i="1" s="1"/>
  <c r="CB18" i="1"/>
  <c r="CB265" i="1"/>
  <c r="CC106" i="1"/>
  <c r="CC107" i="1" s="1"/>
  <c r="JJ15" i="4"/>
  <c r="CB266" i="1"/>
  <c r="BY265" i="1"/>
  <c r="CD34" i="1"/>
  <c r="JM8" i="4"/>
  <c r="JL7" i="4"/>
  <c r="CF266" i="1"/>
  <c r="JJ7" i="4"/>
  <c r="JK8" i="4"/>
  <c r="JM21" i="4"/>
  <c r="CG85" i="1" s="1"/>
  <c r="BZ266" i="1"/>
  <c r="CE266" i="1"/>
  <c r="JK7" i="4"/>
  <c r="BL34" i="1"/>
  <c r="JL15" i="4"/>
  <c r="BZ34" i="1"/>
  <c r="JM14" i="4"/>
  <c r="JM15" i="4"/>
  <c r="JJ14" i="4"/>
  <c r="CJ93" i="1"/>
  <c r="CI102" i="1"/>
  <c r="CI104" i="1"/>
  <c r="CI103" i="1"/>
  <c r="CT137" i="1"/>
  <c r="CJ94" i="1"/>
  <c r="CJ95" i="1"/>
  <c r="AD54" i="1"/>
  <c r="CZ54" i="1"/>
  <c r="DA54" i="1" s="1"/>
  <c r="DB54" i="1" s="1"/>
  <c r="AE43" i="1"/>
  <c r="U16" i="1"/>
  <c r="V16" i="1"/>
  <c r="W16" i="1"/>
  <c r="CF7" i="1" l="1"/>
  <c r="AA66" i="1"/>
  <c r="AB144" i="1"/>
  <c r="CQ144" i="1"/>
  <c r="CR144" i="1" s="1"/>
  <c r="CS144" i="1" s="1"/>
  <c r="CT144" i="1" s="1"/>
  <c r="CR215" i="1"/>
  <c r="CS153" i="1"/>
  <c r="CU7" i="1"/>
  <c r="CU35" i="1"/>
  <c r="CV35" i="1" s="1"/>
  <c r="CW35" i="1" s="1"/>
  <c r="CX35" i="1" s="1"/>
  <c r="CP8" i="1"/>
  <c r="CQ8" i="1" s="1"/>
  <c r="CA24" i="1"/>
  <c r="CA7" i="1"/>
  <c r="BL24" i="1"/>
  <c r="BL25" i="1" s="1"/>
  <c r="BL7" i="1"/>
  <c r="BY24" i="1"/>
  <c r="BY7" i="1"/>
  <c r="CD24" i="1"/>
  <c r="CD25" i="1" s="1"/>
  <c r="CD7" i="1"/>
  <c r="CB24" i="1"/>
  <c r="CB9" i="1" s="1"/>
  <c r="CB7" i="1"/>
  <c r="CQ198" i="1"/>
  <c r="CR197" i="1"/>
  <c r="CP195" i="1"/>
  <c r="CP199" i="1" s="1"/>
  <c r="CS138" i="1"/>
  <c r="CR141" i="1"/>
  <c r="CR262" i="1" s="1"/>
  <c r="CQ219" i="1"/>
  <c r="BZ174" i="1"/>
  <c r="BL174" i="1"/>
  <c r="CB215" i="1"/>
  <c r="CA130" i="1"/>
  <c r="BZ133" i="1"/>
  <c r="BZ100" i="1" s="1"/>
  <c r="BL133" i="1"/>
  <c r="BL100" i="1" s="1"/>
  <c r="CB174" i="1"/>
  <c r="CC222" i="1" s="1"/>
  <c r="CG137" i="1"/>
  <c r="CG141" i="1" s="1"/>
  <c r="CF141" i="1"/>
  <c r="CD147" i="1"/>
  <c r="CE41" i="1" s="1"/>
  <c r="CC153" i="1"/>
  <c r="CD215" i="1" s="1"/>
  <c r="CE130" i="1"/>
  <c r="CD133" i="1"/>
  <c r="CD100" i="1" s="1"/>
  <c r="CD102" i="1" s="1"/>
  <c r="BM153" i="1"/>
  <c r="BM215" i="1" s="1"/>
  <c r="CD174" i="1"/>
  <c r="CF215" i="1"/>
  <c r="CE141" i="1"/>
  <c r="BM138" i="1"/>
  <c r="BM141" i="1" s="1"/>
  <c r="BL141" i="1"/>
  <c r="CG153" i="1"/>
  <c r="CG162" i="1"/>
  <c r="CG169" i="1" s="1"/>
  <c r="CF169" i="1"/>
  <c r="CF198" i="1" s="1"/>
  <c r="CF197" i="1" s="1"/>
  <c r="CG130" i="1"/>
  <c r="CG133" i="1" s="1"/>
  <c r="CF133" i="1"/>
  <c r="CF100" i="1" s="1"/>
  <c r="CF102" i="1" s="1"/>
  <c r="CA162" i="1"/>
  <c r="BZ169" i="1"/>
  <c r="BZ198" i="1" s="1"/>
  <c r="BZ197" i="1" s="1"/>
  <c r="BZ147" i="1"/>
  <c r="BZ151" i="1" s="1"/>
  <c r="CA141" i="1"/>
  <c r="CB147" i="1"/>
  <c r="CF174" i="1"/>
  <c r="BL147" i="1"/>
  <c r="CF147" i="1"/>
  <c r="CF151" i="1" s="1"/>
  <c r="CC141" i="1"/>
  <c r="CB141" i="1"/>
  <c r="CE215" i="1"/>
  <c r="BZ141" i="1"/>
  <c r="CB169" i="1"/>
  <c r="CB198" i="1" s="1"/>
  <c r="CB197" i="1" s="1"/>
  <c r="BL169" i="1"/>
  <c r="BL198" i="1" s="1"/>
  <c r="BL197" i="1" s="1"/>
  <c r="CD169" i="1"/>
  <c r="CD198" i="1" s="1"/>
  <c r="CD197" i="1" s="1"/>
  <c r="CB133" i="1"/>
  <c r="CD141" i="1"/>
  <c r="CH110" i="1"/>
  <c r="CH111" i="1"/>
  <c r="CH112" i="1"/>
  <c r="BM156" i="1"/>
  <c r="BL161" i="1"/>
  <c r="CE156" i="1"/>
  <c r="CD161" i="1"/>
  <c r="CC156" i="1"/>
  <c r="CB161" i="1"/>
  <c r="CG156" i="1"/>
  <c r="CG161" i="1" s="1"/>
  <c r="CG195" i="1" s="1"/>
  <c r="CG194" i="1" s="1"/>
  <c r="CF161" i="1"/>
  <c r="CA156" i="1"/>
  <c r="BZ161" i="1"/>
  <c r="CD110" i="1"/>
  <c r="CA35" i="1"/>
  <c r="CA20" i="1"/>
  <c r="JK19" i="4"/>
  <c r="CE86" i="1" s="1"/>
  <c r="BL35" i="1"/>
  <c r="CC19" i="1"/>
  <c r="CC35" i="1"/>
  <c r="CI238" i="1"/>
  <c r="CF24" i="1"/>
  <c r="AA67" i="1" s="1"/>
  <c r="CG20" i="1"/>
  <c r="CJ19" i="1"/>
  <c r="BY35" i="1"/>
  <c r="JL20" i="4"/>
  <c r="CF87" i="1" s="1"/>
  <c r="CF112" i="1" s="1"/>
  <c r="BZ24" i="1"/>
  <c r="CF35" i="1"/>
  <c r="Y66" i="1"/>
  <c r="JJ19" i="4"/>
  <c r="CD86" i="1" s="1"/>
  <c r="CD115" i="1" s="1"/>
  <c r="JM20" i="4"/>
  <c r="CG87" i="1" s="1"/>
  <c r="CD35" i="1"/>
  <c r="JM19" i="4"/>
  <c r="CG86" i="1" s="1"/>
  <c r="CE166" i="1"/>
  <c r="CE169" i="1" s="1"/>
  <c r="CE198" i="1" s="1"/>
  <c r="CE197" i="1" s="1"/>
  <c r="CF110" i="1"/>
  <c r="JJ20" i="4"/>
  <c r="CD87" i="1" s="1"/>
  <c r="CD116" i="1" s="1"/>
  <c r="JL19" i="4"/>
  <c r="CF86" i="1" s="1"/>
  <c r="JK20" i="4"/>
  <c r="CE87" i="1" s="1"/>
  <c r="CE116" i="1" s="1"/>
  <c r="CA36" i="1"/>
  <c r="CD201" i="1"/>
  <c r="CD19" i="1"/>
  <c r="BZ20" i="1"/>
  <c r="CD238" i="1"/>
  <c r="BZ35" i="1"/>
  <c r="CE157" i="1"/>
  <c r="CE201" i="1"/>
  <c r="CG201" i="1"/>
  <c r="CF19" i="1"/>
  <c r="CH238" i="1"/>
  <c r="CJ201" i="1"/>
  <c r="CE35" i="1"/>
  <c r="CC24" i="1"/>
  <c r="CF238" i="1"/>
  <c r="CB20" i="1"/>
  <c r="CH257" i="1"/>
  <c r="Z66" i="1"/>
  <c r="CE19" i="1"/>
  <c r="CG110" i="1"/>
  <c r="CE110" i="1"/>
  <c r="CG238" i="1"/>
  <c r="CF20" i="1"/>
  <c r="CF201" i="1"/>
  <c r="CE238" i="1"/>
  <c r="CC20" i="1"/>
  <c r="CC238" i="1"/>
  <c r="CE158" i="1"/>
  <c r="CB35" i="1"/>
  <c r="CD20" i="1"/>
  <c r="CH19" i="1"/>
  <c r="CI201" i="1"/>
  <c r="CI111" i="1"/>
  <c r="CE24" i="1"/>
  <c r="CI19" i="1"/>
  <c r="CI112" i="1"/>
  <c r="CG19" i="1"/>
  <c r="CE20" i="1"/>
  <c r="CH201" i="1"/>
  <c r="CA215" i="1"/>
  <c r="CU25" i="1"/>
  <c r="CU137" i="1"/>
  <c r="AE54" i="1"/>
  <c r="V244" i="1"/>
  <c r="W244" i="1"/>
  <c r="U244" i="1"/>
  <c r="AC144" i="1" l="1"/>
  <c r="CU144" i="1"/>
  <c r="CV144" i="1" s="1"/>
  <c r="CW144" i="1" s="1"/>
  <c r="CX144" i="1" s="1"/>
  <c r="CS215" i="1"/>
  <c r="CT153" i="1"/>
  <c r="CC215" i="1"/>
  <c r="CD36" i="1"/>
  <c r="CD37" i="1" s="1"/>
  <c r="CB27" i="1"/>
  <c r="CB36" i="1"/>
  <c r="CB25" i="1"/>
  <c r="BL9" i="1"/>
  <c r="BL8" i="1" s="1"/>
  <c r="BL36" i="1"/>
  <c r="BY9" i="1"/>
  <c r="BY8" i="1" s="1"/>
  <c r="BY25" i="1"/>
  <c r="BY36" i="1"/>
  <c r="CR8" i="1"/>
  <c r="CS8" i="1" s="1"/>
  <c r="CV7" i="1"/>
  <c r="CA9" i="1"/>
  <c r="CA8" i="1" s="1"/>
  <c r="CA25" i="1"/>
  <c r="CD9" i="1"/>
  <c r="CH26" i="1"/>
  <c r="CD8" i="1"/>
  <c r="CB8" i="1"/>
  <c r="CF36" i="1"/>
  <c r="AA68" i="1" s="1"/>
  <c r="CF9" i="1"/>
  <c r="CD26" i="1"/>
  <c r="BZ9" i="1"/>
  <c r="CA245" i="1"/>
  <c r="CA246" i="1" s="1"/>
  <c r="CA12" i="1"/>
  <c r="CC27" i="1"/>
  <c r="CC9" i="1"/>
  <c r="CH38" i="1"/>
  <c r="CD12" i="1"/>
  <c r="CE27" i="1"/>
  <c r="CE9" i="1"/>
  <c r="CS197" i="1"/>
  <c r="CT197" i="1" s="1"/>
  <c r="CR198" i="1"/>
  <c r="CG262" i="1"/>
  <c r="CQ195" i="1"/>
  <c r="CQ199" i="1" s="1"/>
  <c r="CH215" i="1"/>
  <c r="CG215" i="1"/>
  <c r="CA222" i="1"/>
  <c r="BZ261" i="1"/>
  <c r="CT138" i="1"/>
  <c r="CS141" i="1"/>
  <c r="CS262" i="1" s="1"/>
  <c r="CD219" i="1"/>
  <c r="CF262" i="1"/>
  <c r="BM222" i="1"/>
  <c r="BL261" i="1"/>
  <c r="CF219" i="1"/>
  <c r="CF142" i="1"/>
  <c r="CR219" i="1"/>
  <c r="BL142" i="1"/>
  <c r="BL181" i="1"/>
  <c r="BL117" i="1" s="1"/>
  <c r="CA41" i="1"/>
  <c r="CA147" i="1"/>
  <c r="CB151" i="1"/>
  <c r="CC41" i="1"/>
  <c r="CC147" i="1"/>
  <c r="BZ181" i="1"/>
  <c r="BZ142" i="1"/>
  <c r="CF103" i="1"/>
  <c r="CD151" i="1"/>
  <c r="CE147" i="1"/>
  <c r="CE222" i="1"/>
  <c r="CD261" i="1"/>
  <c r="CA262" i="1"/>
  <c r="CA219" i="1"/>
  <c r="BM219" i="1"/>
  <c r="BM262" i="1"/>
  <c r="CH220" i="1"/>
  <c r="CG100" i="1"/>
  <c r="CG103" i="1" s="1"/>
  <c r="CG220" i="1"/>
  <c r="CG222" i="1"/>
  <c r="CF181" i="1"/>
  <c r="CF261" i="1"/>
  <c r="BM147" i="1"/>
  <c r="BM151" i="1" s="1"/>
  <c r="BL151" i="1"/>
  <c r="BL259" i="1" s="1"/>
  <c r="CG41" i="1"/>
  <c r="CG147" i="1"/>
  <c r="CH262" i="1"/>
  <c r="CH264" i="1" s="1"/>
  <c r="CH219" i="1"/>
  <c r="CG142" i="1"/>
  <c r="CG219" i="1"/>
  <c r="CB262" i="1"/>
  <c r="CB142" i="1"/>
  <c r="CB181" i="1"/>
  <c r="CB219" i="1"/>
  <c r="CB100" i="1"/>
  <c r="CB261" i="1"/>
  <c r="CC262" i="1"/>
  <c r="CC219" i="1"/>
  <c r="CE219" i="1"/>
  <c r="CD262" i="1"/>
  <c r="CD142" i="1"/>
  <c r="CD181" i="1"/>
  <c r="CE262" i="1"/>
  <c r="BL195" i="1"/>
  <c r="BL170" i="1"/>
  <c r="CD195" i="1"/>
  <c r="CD170" i="1"/>
  <c r="CB195" i="1"/>
  <c r="CB170" i="1"/>
  <c r="CF195" i="1"/>
  <c r="CF170" i="1"/>
  <c r="CF178" i="1" s="1"/>
  <c r="BZ195" i="1"/>
  <c r="BZ170" i="1"/>
  <c r="BZ178" i="1" s="1"/>
  <c r="CE111" i="1"/>
  <c r="CE115" i="1"/>
  <c r="BZ27" i="1"/>
  <c r="BZ36" i="1"/>
  <c r="BZ12" i="1" s="1"/>
  <c r="BZ25" i="1"/>
  <c r="CA27" i="1"/>
  <c r="CG198" i="1"/>
  <c r="CH210" i="1"/>
  <c r="CG210" i="1"/>
  <c r="CJ26" i="1"/>
  <c r="CF25" i="1"/>
  <c r="CG27" i="1"/>
  <c r="CF26" i="1"/>
  <c r="BZ259" i="1"/>
  <c r="CF259" i="1"/>
  <c r="CF257" i="1"/>
  <c r="CF116" i="1"/>
  <c r="CF104" i="1"/>
  <c r="CG116" i="1"/>
  <c r="CG112" i="1"/>
  <c r="CG115" i="1"/>
  <c r="CG111" i="1"/>
  <c r="CF115" i="1"/>
  <c r="CF111" i="1"/>
  <c r="CG26" i="1"/>
  <c r="CC25" i="1"/>
  <c r="Y67" i="1"/>
  <c r="CC36" i="1"/>
  <c r="CD27" i="1"/>
  <c r="CC26" i="1"/>
  <c r="CD104" i="1"/>
  <c r="CD111" i="1"/>
  <c r="CE161" i="1"/>
  <c r="CD103" i="1"/>
  <c r="CE210" i="1"/>
  <c r="CG209" i="1"/>
  <c r="CD112" i="1"/>
  <c r="CF210" i="1"/>
  <c r="CA42" i="1"/>
  <c r="CA46" i="1" s="1"/>
  <c r="CA49" i="1" s="1"/>
  <c r="CA56" i="1" s="1"/>
  <c r="CA206" i="1" s="1"/>
  <c r="CA208" i="1" s="1"/>
  <c r="CA37" i="1"/>
  <c r="CE112" i="1"/>
  <c r="CG170" i="1"/>
  <c r="CH209" i="1"/>
  <c r="CB39" i="1"/>
  <c r="CB263" i="1"/>
  <c r="CD245" i="1"/>
  <c r="CD246" i="1" s="1"/>
  <c r="CD42" i="1"/>
  <c r="CD46" i="1" s="1"/>
  <c r="CD49" i="1" s="1"/>
  <c r="CD247" i="1" s="1"/>
  <c r="CF27" i="1"/>
  <c r="CE26" i="1"/>
  <c r="CI26" i="1"/>
  <c r="Z67" i="1"/>
  <c r="CE36" i="1"/>
  <c r="CE25" i="1"/>
  <c r="CV25" i="1"/>
  <c r="CY35" i="1"/>
  <c r="CZ35" i="1" s="1"/>
  <c r="CU192" i="1"/>
  <c r="CV137" i="1"/>
  <c r="CU193" i="1"/>
  <c r="CU196" i="1"/>
  <c r="AB163" i="1"/>
  <c r="A1" i="1"/>
  <c r="CB12" i="1" l="1"/>
  <c r="CB11" i="1" s="1"/>
  <c r="CB37" i="1"/>
  <c r="CB245" i="1"/>
  <c r="CB246" i="1" s="1"/>
  <c r="CB42" i="1"/>
  <c r="CB46" i="1" s="1"/>
  <c r="AD144" i="1"/>
  <c r="CY144" i="1"/>
  <c r="CZ144" i="1" s="1"/>
  <c r="DA144" i="1" s="1"/>
  <c r="DB144" i="1" s="1"/>
  <c r="AE144" i="1" s="1"/>
  <c r="CT215" i="1"/>
  <c r="CU153" i="1"/>
  <c r="BL12" i="1"/>
  <c r="BL11" i="1" s="1"/>
  <c r="BL42" i="1"/>
  <c r="BL46" i="1" s="1"/>
  <c r="BL37" i="1"/>
  <c r="BY12" i="1"/>
  <c r="BY11" i="1" s="1"/>
  <c r="BY42" i="1"/>
  <c r="BY46" i="1" s="1"/>
  <c r="BY37" i="1"/>
  <c r="CG39" i="1"/>
  <c r="CI120" i="1"/>
  <c r="CI126" i="1" s="1"/>
  <c r="CF38" i="1"/>
  <c r="CF12" i="1"/>
  <c r="CF11" i="1" s="1"/>
  <c r="CI239" i="1"/>
  <c r="CG263" i="1"/>
  <c r="CG264" i="1" s="1"/>
  <c r="CF37" i="1"/>
  <c r="CF245" i="1"/>
  <c r="CF246" i="1" s="1"/>
  <c r="CJ38" i="1"/>
  <c r="CF42" i="1"/>
  <c r="CW7" i="1"/>
  <c r="CX7" i="1" s="1"/>
  <c r="CF8" i="1"/>
  <c r="BZ8" i="1"/>
  <c r="BZ11" i="1"/>
  <c r="CC8" i="1"/>
  <c r="CE8" i="1"/>
  <c r="CD11" i="1"/>
  <c r="CA11" i="1"/>
  <c r="CT8" i="1"/>
  <c r="CU8" i="1" s="1"/>
  <c r="CV8" i="1" s="1"/>
  <c r="CC42" i="1"/>
  <c r="CC12" i="1"/>
  <c r="CC11" i="1" s="1"/>
  <c r="CG239" i="1"/>
  <c r="CE12" i="1"/>
  <c r="CE11" i="1" s="1"/>
  <c r="CS198" i="1"/>
  <c r="CF179" i="1"/>
  <c r="CR195" i="1"/>
  <c r="CR199" i="1" s="1"/>
  <c r="CA151" i="1"/>
  <c r="CB41" i="1"/>
  <c r="CB178" i="1"/>
  <c r="CB179" i="1" s="1"/>
  <c r="CD178" i="1"/>
  <c r="CD179" i="1" s="1"/>
  <c r="CU138" i="1"/>
  <c r="CT141" i="1"/>
  <c r="CT262" i="1" s="1"/>
  <c r="CB259" i="1"/>
  <c r="CB257" i="1"/>
  <c r="CE151" i="1"/>
  <c r="CF41" i="1"/>
  <c r="CS219" i="1"/>
  <c r="CB264" i="1"/>
  <c r="CG218" i="1"/>
  <c r="BZ179" i="1"/>
  <c r="CD41" i="1"/>
  <c r="CC151" i="1"/>
  <c r="BZ117" i="1"/>
  <c r="CA45" i="1"/>
  <c r="CD257" i="1"/>
  <c r="CD259" i="1"/>
  <c r="CH218" i="1"/>
  <c r="CG102" i="1"/>
  <c r="CG104" i="1"/>
  <c r="CF117" i="1"/>
  <c r="CG45" i="1"/>
  <c r="CH41" i="1"/>
  <c r="CG151" i="1"/>
  <c r="CB117" i="1"/>
  <c r="CC45" i="1"/>
  <c r="CD117" i="1"/>
  <c r="CE45" i="1"/>
  <c r="CF194" i="1"/>
  <c r="CF199" i="1"/>
  <c r="CJ202" i="1" s="1"/>
  <c r="BL199" i="1"/>
  <c r="BL194" i="1"/>
  <c r="CD199" i="1"/>
  <c r="CD194" i="1"/>
  <c r="CB199" i="1"/>
  <c r="CB194" i="1"/>
  <c r="BZ194" i="1"/>
  <c r="BZ199" i="1"/>
  <c r="CG211" i="1"/>
  <c r="CG212" i="1" s="1"/>
  <c r="BZ37" i="1"/>
  <c r="BZ42" i="1"/>
  <c r="CA263" i="1"/>
  <c r="CA264" i="1" s="1"/>
  <c r="CA39" i="1"/>
  <c r="BZ245" i="1"/>
  <c r="BZ246" i="1" s="1"/>
  <c r="CD38" i="1"/>
  <c r="BZ39" i="1"/>
  <c r="BZ263" i="1"/>
  <c r="CB120" i="1"/>
  <c r="CB126" i="1" s="1"/>
  <c r="CH211" i="1"/>
  <c r="CH212" i="1" s="1"/>
  <c r="CD120" i="1"/>
  <c r="CD126" i="1" s="1"/>
  <c r="CC263" i="1"/>
  <c r="CC264" i="1" s="1"/>
  <c r="CE209" i="1"/>
  <c r="CE211" i="1" s="1"/>
  <c r="CE170" i="1"/>
  <c r="CG197" i="1"/>
  <c r="CG199" i="1"/>
  <c r="CC245" i="1"/>
  <c r="CC246" i="1" s="1"/>
  <c r="CG38" i="1"/>
  <c r="Y68" i="1"/>
  <c r="CC37" i="1"/>
  <c r="CC239" i="1"/>
  <c r="CD263" i="1"/>
  <c r="CD264" i="1" s="1"/>
  <c r="CC120" i="1"/>
  <c r="CC126" i="1" s="1"/>
  <c r="CD239" i="1"/>
  <c r="CC39" i="1"/>
  <c r="CD39" i="1"/>
  <c r="CC38" i="1"/>
  <c r="CE195" i="1"/>
  <c r="CF209" i="1"/>
  <c r="CF211" i="1" s="1"/>
  <c r="CA48" i="1"/>
  <c r="CA74" i="1"/>
  <c r="CA132" i="1"/>
  <c r="CA133" i="1" s="1"/>
  <c r="CA100" i="1" s="1"/>
  <c r="CH51" i="1"/>
  <c r="CD48" i="1"/>
  <c r="CA60" i="1"/>
  <c r="CA247" i="1"/>
  <c r="CA50" i="1"/>
  <c r="CA258" i="1" s="1"/>
  <c r="CD50" i="1"/>
  <c r="CD258" i="1" s="1"/>
  <c r="CF120" i="1"/>
  <c r="CF126" i="1" s="1"/>
  <c r="CD56" i="1"/>
  <c r="CD60" i="1" s="1"/>
  <c r="CE39" i="1"/>
  <c r="CE120" i="1"/>
  <c r="CE126" i="1" s="1"/>
  <c r="CE239" i="1"/>
  <c r="CB48" i="1"/>
  <c r="CB49" i="1"/>
  <c r="CE263" i="1"/>
  <c r="CE264" i="1" s="1"/>
  <c r="CF263" i="1"/>
  <c r="CF264" i="1" s="1"/>
  <c r="CE245" i="1"/>
  <c r="CE246" i="1" s="1"/>
  <c r="Z68" i="1"/>
  <c r="CE38" i="1"/>
  <c r="CH120" i="1"/>
  <c r="CH126" i="1" s="1"/>
  <c r="CE37" i="1"/>
  <c r="CG120" i="1"/>
  <c r="CG126" i="1" s="1"/>
  <c r="CE42" i="1"/>
  <c r="CH239" i="1"/>
  <c r="CF39" i="1"/>
  <c r="CI38" i="1"/>
  <c r="CF239" i="1"/>
  <c r="DA35" i="1"/>
  <c r="DB35" i="1" s="1"/>
  <c r="CW25" i="1"/>
  <c r="CX25" i="1" s="1"/>
  <c r="CW137" i="1"/>
  <c r="CV192" i="1"/>
  <c r="CV196" i="1"/>
  <c r="CV193" i="1"/>
  <c r="AC163" i="1"/>
  <c r="CU215" i="1" l="1"/>
  <c r="CV153" i="1"/>
  <c r="CW153" i="1" s="1"/>
  <c r="BL49" i="1"/>
  <c r="BL50" i="1" s="1"/>
  <c r="BL258" i="1" s="1"/>
  <c r="BL48" i="1"/>
  <c r="BY48" i="1"/>
  <c r="BY49" i="1"/>
  <c r="BY56" i="1" s="1"/>
  <c r="CF46" i="1"/>
  <c r="CF49" i="1" s="1"/>
  <c r="CI63" i="1"/>
  <c r="CC46" i="1"/>
  <c r="CD63" i="1"/>
  <c r="CY7" i="1"/>
  <c r="CW8" i="1"/>
  <c r="CU197" i="1"/>
  <c r="CT198" i="1"/>
  <c r="CD119" i="1"/>
  <c r="CD122" i="1" s="1"/>
  <c r="CD118" i="1"/>
  <c r="CD121" i="1" s="1"/>
  <c r="CS195" i="1"/>
  <c r="CS199" i="1" s="1"/>
  <c r="CA216" i="1"/>
  <c r="CA214" i="1" s="1"/>
  <c r="CB216" i="1"/>
  <c r="CB214" i="1" s="1"/>
  <c r="CE216" i="1"/>
  <c r="CE214" i="1" s="1"/>
  <c r="CF216" i="1"/>
  <c r="CF214" i="1" s="1"/>
  <c r="CH216" i="1"/>
  <c r="CH214" i="1" s="1"/>
  <c r="CH226" i="1" s="1"/>
  <c r="CG216" i="1"/>
  <c r="CG214" i="1" s="1"/>
  <c r="CV138" i="1"/>
  <c r="CU141" i="1"/>
  <c r="CU262" i="1" s="1"/>
  <c r="CT219" i="1"/>
  <c r="CD216" i="1"/>
  <c r="CD214" i="1" s="1"/>
  <c r="CC216" i="1"/>
  <c r="CC214" i="1" s="1"/>
  <c r="CF202" i="1"/>
  <c r="CF118" i="1"/>
  <c r="CF121" i="1" s="1"/>
  <c r="CF119" i="1"/>
  <c r="CF122" i="1" s="1"/>
  <c r="CD202" i="1"/>
  <c r="CH202" i="1"/>
  <c r="BZ46" i="1"/>
  <c r="CB63" i="1"/>
  <c r="CE194" i="1"/>
  <c r="CE199" i="1"/>
  <c r="CA220" i="1"/>
  <c r="CA218" i="1" s="1"/>
  <c r="CA142" i="1"/>
  <c r="CD206" i="1"/>
  <c r="CD208" i="1" s="1"/>
  <c r="CD74" i="1"/>
  <c r="CH121" i="1"/>
  <c r="CH122" i="1"/>
  <c r="CF63" i="1"/>
  <c r="CH63" i="1"/>
  <c r="CG63" i="1"/>
  <c r="CE46" i="1"/>
  <c r="CB56" i="1"/>
  <c r="CB52" i="1"/>
  <c r="CB247" i="1"/>
  <c r="CB50" i="1"/>
  <c r="CB258" i="1" s="1"/>
  <c r="BL56" i="1"/>
  <c r="CM72" i="1"/>
  <c r="CN72" i="1" s="1"/>
  <c r="CO72" i="1" s="1"/>
  <c r="CP72" i="1" s="1"/>
  <c r="CY25" i="1"/>
  <c r="CZ25" i="1" s="1"/>
  <c r="CX137" i="1"/>
  <c r="CW193" i="1"/>
  <c r="CW192" i="1"/>
  <c r="CW196" i="1"/>
  <c r="CV215" i="1"/>
  <c r="AE163" i="1"/>
  <c r="AD163" i="1"/>
  <c r="CF247" i="1" l="1"/>
  <c r="AA69" i="1"/>
  <c r="CQ72" i="1"/>
  <c r="CR72" i="1" s="1"/>
  <c r="CS72" i="1" s="1"/>
  <c r="CT72" i="1" s="1"/>
  <c r="AB72" i="1"/>
  <c r="AA72" i="1" s="1"/>
  <c r="Z72" i="1" s="1"/>
  <c r="Y72" i="1" s="1"/>
  <c r="X72" i="1" s="1"/>
  <c r="W72" i="1" s="1"/>
  <c r="V72" i="1" s="1"/>
  <c r="U72" i="1" s="1"/>
  <c r="T72" i="1" s="1"/>
  <c r="S72" i="1" s="1"/>
  <c r="R72" i="1" s="1"/>
  <c r="Q72" i="1" s="1"/>
  <c r="P72" i="1" s="1"/>
  <c r="O72" i="1" s="1"/>
  <c r="N72" i="1" s="1"/>
  <c r="M72" i="1" s="1"/>
  <c r="L72" i="1" s="1"/>
  <c r="K72" i="1" s="1"/>
  <c r="J72" i="1" s="1"/>
  <c r="I72" i="1" s="1"/>
  <c r="H72" i="1" s="1"/>
  <c r="G72" i="1" s="1"/>
  <c r="F72" i="1" s="1"/>
  <c r="E72" i="1" s="1"/>
  <c r="CF48" i="1"/>
  <c r="BY50" i="1"/>
  <c r="BY258" i="1" s="1"/>
  <c r="CG226" i="1"/>
  <c r="CG223" i="1"/>
  <c r="CG173" i="1" s="1"/>
  <c r="CG174" i="1" s="1"/>
  <c r="CG224" i="1" s="1"/>
  <c r="CC48" i="1"/>
  <c r="CC49" i="1"/>
  <c r="CX8" i="1"/>
  <c r="CY8" i="1" s="1"/>
  <c r="CZ7" i="1"/>
  <c r="CV197" i="1"/>
  <c r="CU198" i="1"/>
  <c r="CT195" i="1"/>
  <c r="CT199" i="1" s="1"/>
  <c r="CU194" i="1"/>
  <c r="CW138" i="1"/>
  <c r="CV141" i="1"/>
  <c r="CV262" i="1" s="1"/>
  <c r="CU219" i="1"/>
  <c r="CF51" i="1"/>
  <c r="CF50" i="1"/>
  <c r="CF258" i="1" s="1"/>
  <c r="BZ49" i="1"/>
  <c r="BZ48" i="1"/>
  <c r="CJ51" i="1"/>
  <c r="CG52" i="1"/>
  <c r="CI240" i="1"/>
  <c r="CF56" i="1"/>
  <c r="CB74" i="1"/>
  <c r="CB60" i="1"/>
  <c r="CB206" i="1"/>
  <c r="CB208" i="1" s="1"/>
  <c r="CB220" i="1"/>
  <c r="CB218" i="1" s="1"/>
  <c r="CE49" i="1"/>
  <c r="CE48" i="1"/>
  <c r="BY206" i="1"/>
  <c r="BY208" i="1" s="1"/>
  <c r="BY60" i="1"/>
  <c r="BY74" i="1"/>
  <c r="BL206" i="1"/>
  <c r="BL208" i="1" s="1"/>
  <c r="BL74" i="1"/>
  <c r="BL60" i="1"/>
  <c r="DA25" i="1"/>
  <c r="DB25" i="1" s="1"/>
  <c r="CX196" i="1"/>
  <c r="CX193" i="1"/>
  <c r="CX192" i="1"/>
  <c r="CX153" i="1"/>
  <c r="CY137" i="1"/>
  <c r="CW215" i="1"/>
  <c r="AB139" i="1"/>
  <c r="AB149" i="1"/>
  <c r="AB148" i="1"/>
  <c r="AB140" i="1"/>
  <c r="AB135" i="1"/>
  <c r="AB164" i="1"/>
  <c r="AB156" i="1"/>
  <c r="AB131" i="1"/>
  <c r="AC72" i="1" l="1"/>
  <c r="CU72" i="1"/>
  <c r="CV72" i="1" s="1"/>
  <c r="CW72" i="1" s="1"/>
  <c r="CX72" i="1" s="1"/>
  <c r="CC52" i="1"/>
  <c r="CD52" i="1"/>
  <c r="CC56" i="1"/>
  <c r="CC247" i="1"/>
  <c r="CC51" i="1"/>
  <c r="CD240" i="1"/>
  <c r="Y69" i="1"/>
  <c r="CC50" i="1"/>
  <c r="CC258" i="1" s="1"/>
  <c r="CG51" i="1"/>
  <c r="CZ8" i="1"/>
  <c r="DA8" i="1" s="1"/>
  <c r="DB8" i="1" s="1"/>
  <c r="CW197" i="1"/>
  <c r="CV198" i="1"/>
  <c r="DA7" i="1"/>
  <c r="DB7" i="1" s="1"/>
  <c r="CU195" i="1"/>
  <c r="CU199" i="1" s="1"/>
  <c r="CV194" i="1"/>
  <c r="CX138" i="1"/>
  <c r="CW141" i="1"/>
  <c r="CW262" i="1" s="1"/>
  <c r="CV219" i="1"/>
  <c r="BZ50" i="1"/>
  <c r="BZ258" i="1" s="1"/>
  <c r="BZ52" i="1"/>
  <c r="CC240" i="1"/>
  <c r="BZ56" i="1"/>
  <c r="BZ247" i="1"/>
  <c r="CD51" i="1"/>
  <c r="CA52" i="1"/>
  <c r="CG261" i="1"/>
  <c r="CH222" i="1"/>
  <c r="CH223" i="1" s="1"/>
  <c r="CH224" i="1" s="1"/>
  <c r="CG257" i="1"/>
  <c r="CG259" i="1"/>
  <c r="CG178" i="1"/>
  <c r="CG179" i="1" s="1"/>
  <c r="CG181" i="1"/>
  <c r="CF206" i="1"/>
  <c r="CF208" i="1" s="1"/>
  <c r="CF212" i="1" s="1"/>
  <c r="CF226" i="1" s="1"/>
  <c r="CF60" i="1"/>
  <c r="CF74" i="1"/>
  <c r="CI77" i="1" s="1"/>
  <c r="CI62" i="1"/>
  <c r="CG240" i="1"/>
  <c r="CI51" i="1"/>
  <c r="CH240" i="1"/>
  <c r="CE52" i="1"/>
  <c r="CE50" i="1"/>
  <c r="CE258" i="1" s="1"/>
  <c r="CE51" i="1"/>
  <c r="CF52" i="1"/>
  <c r="CE56" i="1"/>
  <c r="CF240" i="1"/>
  <c r="CE240" i="1"/>
  <c r="Z69" i="1"/>
  <c r="CE247" i="1"/>
  <c r="CY193" i="1"/>
  <c r="CZ137" i="1"/>
  <c r="CY192" i="1"/>
  <c r="CY153" i="1"/>
  <c r="CY215" i="1" s="1"/>
  <c r="CX215" i="1"/>
  <c r="CY196" i="1"/>
  <c r="AC149" i="1"/>
  <c r="AC139" i="1"/>
  <c r="AB177" i="1"/>
  <c r="AC135" i="1"/>
  <c r="AC164" i="1"/>
  <c r="AB160" i="1"/>
  <c r="AB167" i="1"/>
  <c r="AC156" i="1"/>
  <c r="AC140" i="1"/>
  <c r="AB168" i="1"/>
  <c r="AC131" i="1"/>
  <c r="AC148" i="1"/>
  <c r="AD72" i="1" l="1"/>
  <c r="CY72" i="1"/>
  <c r="CZ72" i="1" s="1"/>
  <c r="DA72" i="1" s="1"/>
  <c r="DB72" i="1" s="1"/>
  <c r="AE72" i="1" s="1"/>
  <c r="CC206" i="1"/>
  <c r="CC208" i="1" s="1"/>
  <c r="CC74" i="1"/>
  <c r="CD77" i="1" s="1"/>
  <c r="CC132" i="1"/>
  <c r="CC133" i="1" s="1"/>
  <c r="CC60" i="1"/>
  <c r="CD62" i="1"/>
  <c r="CX197" i="1"/>
  <c r="CW198" i="1"/>
  <c r="CV195" i="1"/>
  <c r="CV199" i="1" s="1"/>
  <c r="CW194" i="1"/>
  <c r="CY138" i="1"/>
  <c r="CX141" i="1"/>
  <c r="CX262" i="1" s="1"/>
  <c r="CW219" i="1"/>
  <c r="CB62" i="1"/>
  <c r="BZ74" i="1"/>
  <c r="BZ60" i="1"/>
  <c r="BZ206" i="1"/>
  <c r="BZ208" i="1" s="1"/>
  <c r="CH45" i="1"/>
  <c r="CG117" i="1"/>
  <c r="CI95" i="1"/>
  <c r="CI93" i="1"/>
  <c r="CI94" i="1"/>
  <c r="CL98" i="1" s="1"/>
  <c r="CE60" i="1"/>
  <c r="CE132" i="1"/>
  <c r="CE133" i="1" s="1"/>
  <c r="CE62" i="1" s="1"/>
  <c r="CE206" i="1"/>
  <c r="CE208" i="1" s="1"/>
  <c r="CE212" i="1" s="1"/>
  <c r="CE226" i="1" s="1"/>
  <c r="CE74" i="1"/>
  <c r="CF62" i="1"/>
  <c r="CG62" i="1"/>
  <c r="CH62" i="1"/>
  <c r="DA137" i="1"/>
  <c r="CZ153" i="1"/>
  <c r="CZ215" i="1" s="1"/>
  <c r="CZ196" i="1"/>
  <c r="CZ193" i="1"/>
  <c r="CZ192" i="1"/>
  <c r="AE149" i="1"/>
  <c r="AD149" i="1"/>
  <c r="AE139" i="1"/>
  <c r="AD139" i="1"/>
  <c r="AC177" i="1"/>
  <c r="AE164" i="1"/>
  <c r="AD164" i="1"/>
  <c r="AE156" i="1"/>
  <c r="AD156" i="1"/>
  <c r="AD131" i="1"/>
  <c r="AE131" i="1"/>
  <c r="AC167" i="1"/>
  <c r="AE140" i="1"/>
  <c r="AD140" i="1"/>
  <c r="AE148" i="1"/>
  <c r="AD148" i="1"/>
  <c r="AC168" i="1"/>
  <c r="AC160" i="1"/>
  <c r="AE135" i="1"/>
  <c r="AD135" i="1"/>
  <c r="CD95" i="1" l="1"/>
  <c r="CD93" i="1"/>
  <c r="CD94" i="1"/>
  <c r="CD220" i="1"/>
  <c r="CD218" i="1" s="1"/>
  <c r="CC142" i="1"/>
  <c r="CC63" i="1" s="1"/>
  <c r="CC100" i="1"/>
  <c r="CC220" i="1"/>
  <c r="CC218" i="1" s="1"/>
  <c r="CC62" i="1"/>
  <c r="CX198" i="1"/>
  <c r="CY197" i="1"/>
  <c r="CW195" i="1"/>
  <c r="CW199" i="1" s="1"/>
  <c r="CX194" i="1"/>
  <c r="CZ138" i="1"/>
  <c r="CY141" i="1"/>
  <c r="CY262" i="1" s="1"/>
  <c r="CX219" i="1"/>
  <c r="CC77" i="1"/>
  <c r="CB77" i="1"/>
  <c r="CG119" i="1"/>
  <c r="CG122" i="1" s="1"/>
  <c r="CG118" i="1"/>
  <c r="CG121" i="1" s="1"/>
  <c r="CF77" i="1"/>
  <c r="CH77" i="1"/>
  <c r="CL78" i="1" s="1"/>
  <c r="CG77" i="1"/>
  <c r="CK78" i="1" s="1"/>
  <c r="CE77" i="1"/>
  <c r="CE100" i="1"/>
  <c r="CF220" i="1"/>
  <c r="CF218" i="1" s="1"/>
  <c r="CE142" i="1"/>
  <c r="CE63" i="1" s="1"/>
  <c r="CE220" i="1"/>
  <c r="CE218" i="1" s="1"/>
  <c r="CE223" i="1" s="1"/>
  <c r="CE173" i="1" s="1"/>
  <c r="CE174" i="1" s="1"/>
  <c r="CE178" i="1" s="1"/>
  <c r="DA192" i="1"/>
  <c r="DA193" i="1"/>
  <c r="DA153" i="1"/>
  <c r="DB153" i="1" s="1"/>
  <c r="DB215" i="1" s="1"/>
  <c r="DA196" i="1"/>
  <c r="DB137" i="1"/>
  <c r="AE177" i="1"/>
  <c r="AD177" i="1"/>
  <c r="AE167" i="1"/>
  <c r="AD167" i="1"/>
  <c r="AE168" i="1"/>
  <c r="AD168" i="1"/>
  <c r="AE160" i="1"/>
  <c r="AD160" i="1"/>
  <c r="BY244" i="1"/>
  <c r="CZ197" i="1" l="1"/>
  <c r="CY198" i="1"/>
  <c r="DA138" i="1"/>
  <c r="CZ141" i="1"/>
  <c r="CZ262" i="1" s="1"/>
  <c r="CX195" i="1"/>
  <c r="CX199" i="1" s="1"/>
  <c r="CY194" i="1"/>
  <c r="CY219" i="1"/>
  <c r="CE102" i="1"/>
  <c r="CE103" i="1"/>
  <c r="CE104" i="1"/>
  <c r="CE257" i="1"/>
  <c r="CE93" i="1"/>
  <c r="CE94" i="1"/>
  <c r="CI78" i="1"/>
  <c r="CE95" i="1"/>
  <c r="CE261" i="1"/>
  <c r="CG78" i="1"/>
  <c r="CG93" i="1"/>
  <c r="CG95" i="1"/>
  <c r="CG94" i="1"/>
  <c r="CE181" i="1"/>
  <c r="CE117" i="1" s="1"/>
  <c r="CE119" i="1" s="1"/>
  <c r="CE122" i="1" s="1"/>
  <c r="CF222" i="1"/>
  <c r="CF223" i="1" s="1"/>
  <c r="CF224" i="1" s="1"/>
  <c r="CE259" i="1"/>
  <c r="CH78" i="1"/>
  <c r="CH94" i="1"/>
  <c r="CK98" i="1" s="1"/>
  <c r="CH93" i="1"/>
  <c r="CH95" i="1"/>
  <c r="CE224" i="1"/>
  <c r="CF78" i="1"/>
  <c r="CJ78" i="1"/>
  <c r="CF95" i="1"/>
  <c r="CF93" i="1"/>
  <c r="CF94" i="1"/>
  <c r="DA215" i="1"/>
  <c r="DB193" i="1"/>
  <c r="DB192" i="1"/>
  <c r="DB196" i="1"/>
  <c r="CE179" i="1"/>
  <c r="AB28" i="1"/>
  <c r="AA10" i="1"/>
  <c r="DA197" i="1" l="1"/>
  <c r="CZ198" i="1"/>
  <c r="DB138" i="1"/>
  <c r="DB141" i="1" s="1"/>
  <c r="DA141" i="1"/>
  <c r="CZ219" i="1"/>
  <c r="CY195" i="1"/>
  <c r="CY199" i="1" s="1"/>
  <c r="CZ194" i="1"/>
  <c r="CJ98" i="1"/>
  <c r="CH98" i="1"/>
  <c r="CF45" i="1"/>
  <c r="CI98" i="1"/>
  <c r="CG98" i="1"/>
  <c r="CE118" i="1"/>
  <c r="CE121" i="1" s="1"/>
  <c r="AC28" i="1"/>
  <c r="BY245" i="1"/>
  <c r="BY246" i="1" s="1"/>
  <c r="DA198" i="1" l="1"/>
  <c r="DB197" i="1"/>
  <c r="DB198" i="1" s="1"/>
  <c r="DB219" i="1"/>
  <c r="DB262" i="1"/>
  <c r="DA219" i="1"/>
  <c r="DA262" i="1"/>
  <c r="CZ195" i="1"/>
  <c r="CZ199" i="1" s="1"/>
  <c r="DA194" i="1"/>
  <c r="AD28" i="1"/>
  <c r="BY247" i="1"/>
  <c r="DA195" i="1" l="1"/>
  <c r="DA199" i="1" s="1"/>
  <c r="DB194" i="1"/>
  <c r="DB195" i="1" s="1"/>
  <c r="DB199" i="1" s="1"/>
  <c r="AE28" i="1"/>
  <c r="BI73" i="1" l="1"/>
  <c r="AT73" i="1"/>
  <c r="BT73" i="1"/>
  <c r="AV73" i="1"/>
  <c r="AX73" i="1"/>
  <c r="AR73" i="1"/>
  <c r="AO73" i="1" l="1"/>
  <c r="BK73" i="1"/>
  <c r="AN73" i="1"/>
  <c r="AW73" i="1"/>
  <c r="BB73" i="1"/>
  <c r="BM73" i="1"/>
  <c r="BQ73" i="1"/>
  <c r="AJ73" i="1"/>
  <c r="BS73" i="1"/>
  <c r="BR73" i="1"/>
  <c r="BO73" i="1"/>
  <c r="AM73" i="1"/>
  <c r="AI73" i="1"/>
  <c r="AP73" i="1"/>
  <c r="AZ73" i="1"/>
  <c r="AS73" i="1"/>
  <c r="BN73" i="1"/>
  <c r="BU73" i="1"/>
  <c r="BA73" i="1"/>
  <c r="BC73" i="1"/>
  <c r="AU73" i="1"/>
  <c r="BW73" i="1"/>
  <c r="BP73" i="1"/>
  <c r="BJ73" i="1"/>
  <c r="BH73" i="1"/>
  <c r="BX73" i="1"/>
  <c r="BG73" i="1"/>
  <c r="AQ73" i="1"/>
  <c r="AY73" i="1"/>
  <c r="AK73" i="1"/>
  <c r="BE73" i="1"/>
  <c r="BD73" i="1"/>
  <c r="BV73" i="1"/>
  <c r="BF73" i="1"/>
  <c r="BL244" i="1" l="1"/>
  <c r="AB153" i="1" l="1"/>
  <c r="CN85" i="1" l="1"/>
  <c r="AB215" i="1"/>
  <c r="CO85" i="1" l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F23" i="2"/>
  <c r="M14" i="2"/>
  <c r="F13" i="2"/>
  <c r="U19" i="2"/>
  <c r="Q18" i="2"/>
  <c r="K11" i="2"/>
  <c r="O7" i="2"/>
  <c r="X28" i="2"/>
  <c r="C8" i="2"/>
  <c r="V34" i="2"/>
  <c r="O8" i="2"/>
  <c r="T35" i="2"/>
  <c r="X19" i="2"/>
  <c r="H9" i="2"/>
  <c r="U29" i="2"/>
  <c r="Q46" i="2"/>
  <c r="Q56" i="2"/>
  <c r="D8" i="2"/>
  <c r="I8" i="2"/>
  <c r="P22" i="2"/>
  <c r="J22" i="2"/>
  <c r="W12" i="2"/>
  <c r="R21" i="2"/>
  <c r="H6" i="2"/>
  <c r="S19" i="2"/>
  <c r="R8" i="2"/>
  <c r="I24" i="2"/>
  <c r="L18" i="2"/>
  <c r="V22" i="2"/>
  <c r="O34" i="2"/>
  <c r="V9" i="2"/>
  <c r="E23" i="2"/>
  <c r="R17" i="2"/>
  <c r="AR49" i="3"/>
  <c r="U33" i="2"/>
  <c r="R22" i="2"/>
  <c r="AR95" i="3"/>
  <c r="I34" i="2"/>
  <c r="U9" i="2"/>
  <c r="AG45" i="3"/>
  <c r="S46" i="3"/>
  <c r="E41" i="3"/>
  <c r="E18" i="3"/>
  <c r="W46" i="3"/>
  <c r="G14" i="3"/>
  <c r="O45" i="3"/>
  <c r="AD46" i="3"/>
  <c r="P46" i="3"/>
  <c r="D6" i="3"/>
  <c r="F5" i="3"/>
  <c r="AR28" i="3"/>
  <c r="U46" i="3"/>
  <c r="F26" i="3"/>
  <c r="CI14" i="4" a="1"/>
  <c r="AL12" i="4" a="1"/>
  <c r="Z8" i="4" a="1"/>
  <c r="AI9" i="4" a="1"/>
  <c r="CB7" i="4" a="1"/>
  <c r="AS6" i="4" a="1"/>
  <c r="BE11" i="4" a="1"/>
  <c r="BQ7" i="4" a="1"/>
  <c r="DV7" i="4" a="1"/>
  <c r="CO6" i="4" a="1"/>
  <c r="AZ7" i="4" a="1"/>
  <c r="EK5" i="4" a="1"/>
  <c r="R13" i="4" a="1"/>
  <c r="AK13" i="4" a="1"/>
  <c r="CN8" i="4" a="1"/>
  <c r="DY16" i="4" a="1"/>
  <c r="K14" i="4" a="1"/>
  <c r="CJ9" i="4" a="1"/>
  <c r="CC8" i="4" a="1"/>
  <c r="X5" i="4" a="1"/>
  <c r="W13" i="4" a="1"/>
  <c r="CP14" i="4" a="1"/>
  <c r="CF14" i="4" a="1"/>
  <c r="CM6" i="4" a="1"/>
  <c r="AP16" i="4" a="1"/>
  <c r="BY15" i="4" a="1"/>
  <c r="AZ8" i="4" a="1"/>
  <c r="DS6" i="4" a="1"/>
  <c r="BB16" i="4" a="1"/>
  <c r="EG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Q69" i="2"/>
  <c r="Q6" i="2"/>
  <c r="G16" i="2"/>
  <c r="C6" i="2"/>
  <c r="K87" i="2"/>
  <c r="T12" i="2"/>
  <c r="V24" i="2"/>
  <c r="K23" i="2"/>
  <c r="V23" i="2"/>
  <c r="C34" i="2"/>
  <c r="O22" i="2"/>
  <c r="N19" i="2"/>
  <c r="P6" i="2"/>
  <c r="G35" i="2"/>
  <c r="F9" i="2"/>
  <c r="D33" i="2"/>
  <c r="X21" i="2"/>
  <c r="C18" i="2"/>
  <c r="P5" i="2"/>
  <c r="T21" i="2"/>
  <c r="AR55" i="3"/>
  <c r="W70" i="2"/>
  <c r="C23" i="2"/>
  <c r="F22" i="2"/>
  <c r="H33" i="2"/>
  <c r="C30" i="2"/>
  <c r="G7" i="3"/>
  <c r="F22" i="3"/>
  <c r="F19" i="3"/>
  <c r="E32" i="3"/>
  <c r="F14" i="3"/>
  <c r="AH46" i="3"/>
  <c r="E35" i="3"/>
  <c r="D42" i="3"/>
  <c r="E13" i="3"/>
  <c r="G28" i="3"/>
  <c r="AR18" i="3"/>
  <c r="G29" i="3"/>
  <c r="D31" i="3"/>
  <c r="L45" i="3"/>
  <c r="ED16" i="4" a="1"/>
  <c r="AX8" i="4" a="1"/>
  <c r="BK8" i="4" a="1"/>
  <c r="AM11" i="4" a="1"/>
  <c r="AN7" i="4" a="1"/>
  <c r="AH13" i="4" a="1"/>
  <c r="DG8" i="4" a="1"/>
  <c r="BD6" i="4" a="1"/>
  <c r="D6" i="4" a="1"/>
  <c r="BW15" i="4" a="1"/>
  <c r="DH12" i="4" a="1"/>
  <c r="BN11" i="4" a="1"/>
  <c r="DN9" i="4" a="1"/>
  <c r="J5" i="4" a="1"/>
  <c r="BL12" i="4" a="1"/>
  <c r="BH12" i="4" a="1"/>
  <c r="R11" i="4" a="1"/>
  <c r="CD8" i="4" a="1"/>
  <c r="CA8" i="4" a="1"/>
  <c r="AC12" i="4" a="1"/>
  <c r="BZ9" i="4" a="1"/>
  <c r="BQ9" i="4" a="1"/>
  <c r="O6" i="4" a="1"/>
  <c r="BK12" i="4" a="1"/>
  <c r="AK5" i="4" a="1"/>
  <c r="AH15" i="4" a="1"/>
  <c r="CL9" i="4" a="1"/>
  <c r="DJ14" i="4" a="1"/>
  <c r="DR12" i="4" a="1"/>
  <c r="BK11" i="4" a="1"/>
  <c r="DZ6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F10" i="2"/>
  <c r="W46" i="2"/>
  <c r="D32" i="2"/>
  <c r="O17" i="2"/>
  <c r="I16" i="2"/>
  <c r="K13" i="2"/>
  <c r="T15" i="2"/>
  <c r="K17" i="2"/>
  <c r="D7" i="2"/>
  <c r="L32" i="2"/>
  <c r="H36" i="2"/>
  <c r="R20" i="2"/>
  <c r="X63" i="2"/>
  <c r="G27" i="2"/>
  <c r="K9" i="2"/>
  <c r="Q31" i="2"/>
  <c r="M36" i="2"/>
  <c r="G11" i="2"/>
  <c r="U5" i="2"/>
  <c r="N21" i="2"/>
  <c r="C10" i="2"/>
  <c r="X36" i="2"/>
  <c r="C65" i="2"/>
  <c r="V19" i="2"/>
  <c r="N20" i="2"/>
  <c r="U31" i="2"/>
  <c r="AR34" i="3"/>
  <c r="D13" i="3"/>
  <c r="F25" i="3"/>
  <c r="AR33" i="3"/>
  <c r="G46" i="3"/>
  <c r="AR32" i="3"/>
  <c r="E37" i="3"/>
  <c r="AR46" i="3"/>
  <c r="AC45" i="3"/>
  <c r="F9" i="3"/>
  <c r="E30" i="3"/>
  <c r="D25" i="3"/>
  <c r="D7" i="3"/>
  <c r="F38" i="3"/>
  <c r="DV16" i="4" a="1"/>
  <c r="BF11" i="4" a="1"/>
  <c r="BM8" i="4" a="1"/>
  <c r="CF16" i="4" a="1"/>
  <c r="AI16" i="4" a="1"/>
  <c r="D8" i="4" a="1"/>
  <c r="AK8" i="4" a="1"/>
  <c r="C15" i="4" a="1"/>
  <c r="AB13" i="4" a="1"/>
  <c r="CF9" i="4" a="1"/>
  <c r="CB13" i="4" a="1"/>
  <c r="EK15" i="4" a="1"/>
  <c r="EG16" i="4" a="1"/>
  <c r="U16" i="4" a="1"/>
  <c r="AC14" i="4" a="1"/>
  <c r="DZ16" i="4" a="1"/>
  <c r="BP11" i="4" a="1"/>
  <c r="CH7" i="4" a="1"/>
  <c r="DQ8" i="4" a="1"/>
  <c r="J7" i="4" a="1"/>
  <c r="AX6" i="4" a="1"/>
  <c r="BR13" i="4" a="1"/>
  <c r="BE7" i="4" a="1"/>
  <c r="DB16" i="4" a="1"/>
  <c r="EI6" i="4" a="1"/>
  <c r="DG16" i="4" a="1"/>
  <c r="DU5" i="4" a="1"/>
  <c r="AY6" i="4" a="1"/>
  <c r="DP5" i="4" a="1"/>
  <c r="CA12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T26" i="2"/>
  <c r="Q58" i="2"/>
  <c r="L23" i="2"/>
  <c r="N36" i="2"/>
  <c r="F6" i="2"/>
  <c r="V28" i="2"/>
  <c r="G33" i="2"/>
  <c r="S17" i="2"/>
  <c r="N33" i="2"/>
  <c r="N14" i="2"/>
  <c r="J19" i="2"/>
  <c r="P28" i="2"/>
  <c r="I35" i="2"/>
  <c r="P13" i="2"/>
  <c r="H27" i="2"/>
  <c r="K59" i="2"/>
  <c r="N6" i="2"/>
  <c r="V31" i="2"/>
  <c r="T20" i="2"/>
  <c r="R36" i="2"/>
  <c r="T8" i="2"/>
  <c r="D11" i="2"/>
  <c r="M31" i="2"/>
  <c r="V8" i="2"/>
  <c r="X29" i="2"/>
  <c r="L27" i="2"/>
  <c r="AA46" i="3"/>
  <c r="G11" i="3"/>
  <c r="G5" i="3"/>
  <c r="F33" i="3"/>
  <c r="R46" i="3"/>
  <c r="AR30" i="3"/>
  <c r="F6" i="3"/>
  <c r="M46" i="3"/>
  <c r="G10" i="3"/>
  <c r="AO6" i="3"/>
  <c r="E12" i="3"/>
  <c r="Y46" i="3"/>
  <c r="AR23" i="3"/>
  <c r="R45" i="3"/>
  <c r="DO5" i="4" a="1"/>
  <c r="CY15" i="4" a="1"/>
  <c r="AK11" i="4" a="1"/>
  <c r="BJ12" i="4" a="1"/>
  <c r="AI14" i="4" a="1"/>
  <c r="BX8" i="4" a="1"/>
  <c r="BH5" i="4" a="1"/>
  <c r="L9" i="4" a="1"/>
  <c r="BV13" i="4" a="1"/>
  <c r="CQ14" i="4" a="1"/>
  <c r="T7" i="4" a="1"/>
  <c r="CT8" i="4" a="1"/>
  <c r="AB11" i="4" a="1"/>
  <c r="R14" i="4" a="1"/>
  <c r="BT13" i="4" a="1"/>
  <c r="V12" i="4" a="1"/>
  <c r="P14" i="4" a="1"/>
  <c r="AQ15" i="4" a="1"/>
  <c r="CK14" i="4" a="1"/>
  <c r="CX15" i="4" a="1"/>
  <c r="CI13" i="4" a="1"/>
  <c r="DD9" i="4" a="1"/>
  <c r="BD5" i="4" a="1"/>
  <c r="DF13" i="4" a="1"/>
  <c r="BS12" i="4" a="1"/>
  <c r="U9" i="4" a="1"/>
  <c r="EA8" i="4" a="1"/>
  <c r="DI13" i="4" a="1"/>
  <c r="BK15" i="4" a="1"/>
  <c r="CS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T5" i="2"/>
  <c r="N11" i="2"/>
  <c r="L17" i="2"/>
  <c r="W21" i="2"/>
  <c r="U30" i="2"/>
  <c r="J26" i="2"/>
  <c r="U34" i="2"/>
  <c r="I20" i="2"/>
  <c r="T30" i="2"/>
  <c r="L19" i="2"/>
  <c r="G14" i="2"/>
  <c r="V10" i="2"/>
  <c r="V36" i="2"/>
  <c r="O11" i="2"/>
  <c r="L31" i="2"/>
  <c r="E28" i="2"/>
  <c r="P32" i="2"/>
  <c r="J20" i="2"/>
  <c r="T6" i="2"/>
  <c r="V11" i="2"/>
  <c r="E7" i="2"/>
  <c r="R26" i="2"/>
  <c r="M30" i="2"/>
  <c r="N8" i="2"/>
  <c r="D14" i="2"/>
  <c r="X12" i="2"/>
  <c r="AJ46" i="3"/>
  <c r="E25" i="3"/>
  <c r="E26" i="3"/>
  <c r="AD18" i="3"/>
  <c r="V45" i="3"/>
  <c r="D11" i="3"/>
  <c r="AR38" i="3"/>
  <c r="G15" i="3"/>
  <c r="D22" i="3"/>
  <c r="AJ45" i="3"/>
  <c r="E29" i="3"/>
  <c r="AD16" i="3"/>
  <c r="D35" i="3"/>
  <c r="AR16" i="3"/>
  <c r="AZ15" i="4" a="1"/>
  <c r="BF9" i="4" a="1"/>
  <c r="BF13" i="4" a="1"/>
  <c r="AO12" i="4" a="1"/>
  <c r="CM16" i="4" a="1"/>
  <c r="DU7" i="4" a="1"/>
  <c r="BD15" i="4" a="1"/>
  <c r="W11" i="4" a="1"/>
  <c r="CX14" i="4" a="1"/>
  <c r="CS14" i="4" a="1"/>
  <c r="T16" i="4" a="1"/>
  <c r="EG5" i="4" a="1"/>
  <c r="AR11" i="4" a="1"/>
  <c r="DH8" i="4" a="1"/>
  <c r="AG15" i="4" a="1"/>
  <c r="AQ13" i="4" a="1"/>
  <c r="AE7" i="4" a="1"/>
  <c r="CN14" i="4" a="1"/>
  <c r="AG9" i="4" a="1"/>
  <c r="X15" i="4" a="1"/>
  <c r="AD5" i="4" a="1"/>
  <c r="CU9" i="4" a="1"/>
  <c r="EC11" i="4" a="1"/>
  <c r="CP13" i="4" a="1"/>
  <c r="T8" i="4" a="1"/>
  <c r="CS15" i="4" a="1"/>
  <c r="CQ8" i="4" a="1"/>
  <c r="CA9" i="4" a="1"/>
  <c r="CN15" i="4" a="1"/>
  <c r="AM6" i="4" a="1"/>
  <c r="W8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U27" i="2"/>
  <c r="O32" i="2"/>
  <c r="R10" i="2"/>
  <c r="K33" i="2"/>
  <c r="O15" i="2"/>
  <c r="X8" i="2"/>
  <c r="D29" i="2"/>
  <c r="S16" i="2"/>
  <c r="D28" i="2"/>
  <c r="R23" i="2"/>
  <c r="S20" i="2"/>
  <c r="G10" i="2"/>
  <c r="R9" i="2"/>
  <c r="G24" i="2"/>
  <c r="T19" i="2"/>
  <c r="T14" i="2"/>
  <c r="F29" i="2"/>
  <c r="G9" i="2"/>
  <c r="C14" i="2"/>
  <c r="Q59" i="2"/>
  <c r="J5" i="2"/>
  <c r="R19" i="2"/>
  <c r="S24" i="2"/>
  <c r="X26" i="2"/>
  <c r="H35" i="2"/>
  <c r="J34" i="2"/>
  <c r="E40" i="3"/>
  <c r="E11" i="3"/>
  <c r="AQ46" i="3"/>
  <c r="L46" i="3"/>
  <c r="N45" i="3"/>
  <c r="AR27" i="3"/>
  <c r="AK46" i="3"/>
  <c r="D8" i="3"/>
  <c r="AN46" i="3"/>
  <c r="D38" i="3"/>
  <c r="G19" i="3"/>
  <c r="AR29" i="3"/>
  <c r="E19" i="3"/>
  <c r="AD11" i="3"/>
  <c r="BB8" i="4" a="1"/>
  <c r="CI7" i="4" a="1"/>
  <c r="AJ12" i="4" a="1"/>
  <c r="BX9" i="4" a="1"/>
  <c r="AX11" i="4" a="1"/>
  <c r="AC11" i="4" a="1"/>
  <c r="AD8" i="4" a="1"/>
  <c r="I14" i="4" a="1"/>
  <c r="CD5" i="4" a="1"/>
  <c r="EI14" i="4" a="1"/>
  <c r="S15" i="4" a="1"/>
  <c r="AH8" i="4" a="1"/>
  <c r="EA5" i="4" a="1"/>
  <c r="AD11" i="4" a="1"/>
  <c r="M5" i="4" a="1"/>
  <c r="DC12" i="4" a="1"/>
  <c r="CV6" i="4" a="1"/>
  <c r="CV12" i="4" a="1"/>
  <c r="P9" i="4" a="1"/>
  <c r="BI5" i="4" a="1"/>
  <c r="DL13" i="4" a="1"/>
  <c r="C7" i="4" a="1"/>
  <c r="DP11" i="4" a="1"/>
  <c r="EB8" i="4" a="1"/>
  <c r="V5" i="4" a="1"/>
  <c r="EE12" i="4" a="1"/>
  <c r="EA15" i="4" a="1"/>
  <c r="K26" i="2"/>
  <c r="I14" i="2"/>
  <c r="M18" i="2"/>
  <c r="S12" i="2"/>
  <c r="O19" i="2"/>
  <c r="U25" i="2"/>
  <c r="K10" i="2"/>
  <c r="F35" i="2"/>
  <c r="P36" i="2"/>
  <c r="T29" i="2"/>
  <c r="J7" i="2"/>
  <c r="N31" i="2"/>
  <c r="T24" i="2"/>
  <c r="F20" i="2"/>
  <c r="E8" i="2"/>
  <c r="F19" i="2"/>
  <c r="S8" i="2"/>
  <c r="H10" i="2"/>
  <c r="O23" i="2"/>
  <c r="E17" i="2"/>
  <c r="M24" i="2"/>
  <c r="E5" i="2"/>
  <c r="R7" i="2"/>
  <c r="K14" i="2"/>
  <c r="Q54" i="2"/>
  <c r="AR86" i="3"/>
  <c r="F39" i="3"/>
  <c r="F20" i="3"/>
  <c r="AD15" i="3"/>
  <c r="E10" i="3"/>
  <c r="AR40" i="3"/>
  <c r="K46" i="3"/>
  <c r="D32" i="3"/>
  <c r="D27" i="3"/>
  <c r="F27" i="3"/>
  <c r="Z46" i="3"/>
  <c r="F30" i="3"/>
  <c r="AR10" i="3"/>
  <c r="D41" i="3"/>
  <c r="AR35" i="3"/>
  <c r="BV7" i="4" a="1"/>
  <c r="CY6" i="4" a="1"/>
  <c r="F12" i="4" a="1"/>
  <c r="EI16" i="4" a="1"/>
  <c r="BU12" i="4" a="1"/>
  <c r="CR8" i="4" a="1"/>
  <c r="BO8" i="4" a="1"/>
  <c r="BP7" i="4" a="1"/>
  <c r="AF16" i="4" a="1"/>
  <c r="CN16" i="4" a="1"/>
  <c r="AC16" i="4" a="1"/>
  <c r="BN16" i="4" a="1"/>
  <c r="DM15" i="4" a="1"/>
  <c r="BU8" i="4" a="1"/>
  <c r="CV9" i="4" a="1"/>
  <c r="AO11" i="4" a="1"/>
  <c r="DA7" i="4" a="1"/>
  <c r="CU6" i="4" a="1"/>
  <c r="M14" i="4" a="1"/>
  <c r="C8" i="4" a="1"/>
  <c r="AL5" i="4" a="1"/>
  <c r="BF12" i="4" a="1"/>
  <c r="AB9" i="4" a="1"/>
  <c r="AH5" i="4" a="1"/>
  <c r="DF11" i="4" a="1"/>
  <c r="Q5" i="4" a="1"/>
  <c r="Y6" i="4" a="1"/>
  <c r="D15" i="4" a="1"/>
  <c r="BV15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19" i="2"/>
  <c r="O6" i="2"/>
  <c r="Q16" i="2"/>
  <c r="K32" i="2"/>
  <c r="Q30" i="2"/>
  <c r="L33" i="2"/>
  <c r="O25" i="2"/>
  <c r="I19" i="2"/>
  <c r="W31" i="2"/>
  <c r="S9" i="2"/>
  <c r="R34" i="2"/>
  <c r="V5" i="2"/>
  <c r="U13" i="2"/>
  <c r="E10" i="2"/>
  <c r="N7" i="2"/>
  <c r="E24" i="2"/>
  <c r="D31" i="2"/>
  <c r="L6" i="2"/>
  <c r="J32" i="2"/>
  <c r="Q36" i="2"/>
  <c r="J11" i="2"/>
  <c r="Q57" i="2"/>
  <c r="E20" i="2"/>
  <c r="I11" i="2"/>
  <c r="H5" i="2"/>
  <c r="V15" i="2"/>
  <c r="J46" i="3"/>
  <c r="AR12" i="3"/>
  <c r="AA45" i="3"/>
  <c r="D40" i="3"/>
  <c r="D15" i="3"/>
  <c r="AR15" i="3"/>
  <c r="D9" i="3"/>
  <c r="F11" i="3"/>
  <c r="F37" i="3"/>
  <c r="AR14" i="3"/>
  <c r="E46" i="3"/>
  <c r="G20" i="3"/>
  <c r="D46" i="3"/>
  <c r="F28" i="3"/>
  <c r="EJ14" i="4" a="1"/>
  <c r="DM5" i="4" a="1"/>
  <c r="EJ5" i="4" a="1"/>
  <c r="CF7" i="4" a="1"/>
  <c r="E14" i="4" a="1"/>
  <c r="BV5" i="4" a="1"/>
  <c r="BU7" i="4" a="1"/>
  <c r="AJ14" i="4" a="1"/>
  <c r="EC7" i="4" a="1"/>
  <c r="DC9" i="4" a="1"/>
  <c r="AK14" i="4" a="1"/>
  <c r="K15" i="4" a="1"/>
  <c r="AQ12" i="4" a="1"/>
  <c r="X7" i="4" a="1"/>
  <c r="AE16" i="4" a="1"/>
  <c r="CO9" i="4" a="1"/>
  <c r="CZ15" i="4" a="1"/>
  <c r="DE15" i="4" a="1"/>
  <c r="BI6" i="4" a="1"/>
  <c r="BO12" i="4" a="1"/>
  <c r="DP16" i="4" a="1"/>
  <c r="X8" i="4" a="1"/>
  <c r="CN7" i="4" a="1"/>
  <c r="BI7" i="4" a="1"/>
  <c r="DK13" i="4" a="1"/>
  <c r="AI8" i="4" a="1"/>
  <c r="CM7" i="4" a="1"/>
  <c r="F8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H8" i="2"/>
  <c r="U12" i="2"/>
  <c r="X11" i="2"/>
  <c r="W17" i="2"/>
  <c r="I31" i="2"/>
  <c r="D20" i="2"/>
  <c r="G31" i="2"/>
  <c r="W35" i="2"/>
  <c r="W30" i="2"/>
  <c r="C22" i="2"/>
  <c r="C59" i="2"/>
  <c r="P8" i="2"/>
  <c r="I17" i="2"/>
  <c r="T9" i="2"/>
  <c r="L21" i="2"/>
  <c r="P35" i="2"/>
  <c r="W15" i="2"/>
  <c r="E12" i="2"/>
  <c r="M11" i="2"/>
  <c r="T11" i="2"/>
  <c r="F26" i="2"/>
  <c r="J23" i="2"/>
  <c r="AR75" i="3"/>
  <c r="W19" i="2"/>
  <c r="I21" i="2"/>
  <c r="O14" i="2"/>
  <c r="G23" i="2"/>
  <c r="N9" i="2"/>
  <c r="P7" i="2"/>
  <c r="L12" i="2"/>
  <c r="E19" i="2"/>
  <c r="N27" i="2"/>
  <c r="P23" i="2"/>
  <c r="D24" i="2"/>
  <c r="J25" i="2"/>
  <c r="K7" i="2"/>
  <c r="M28" i="2"/>
  <c r="D10" i="2"/>
  <c r="V18" i="2"/>
  <c r="X27" i="2"/>
  <c r="M13" i="2"/>
  <c r="H26" i="2"/>
  <c r="D16" i="2"/>
  <c r="Q78" i="2"/>
  <c r="V35" i="2"/>
  <c r="R33" i="2"/>
  <c r="R29" i="2"/>
  <c r="I9" i="2"/>
  <c r="Q14" i="2"/>
  <c r="R13" i="2"/>
  <c r="N35" i="2"/>
  <c r="G32" i="2"/>
  <c r="Q8" i="2"/>
  <c r="Q27" i="2"/>
  <c r="J31" i="2"/>
  <c r="G25" i="2"/>
  <c r="M32" i="2"/>
  <c r="I22" i="2"/>
  <c r="X30" i="2"/>
  <c r="M7" i="2"/>
  <c r="P25" i="2"/>
  <c r="AR69" i="3"/>
  <c r="U28" i="2"/>
  <c r="F32" i="2"/>
  <c r="AR80" i="3"/>
  <c r="M9" i="2"/>
  <c r="E22" i="2"/>
  <c r="E45" i="2"/>
  <c r="H45" i="3"/>
  <c r="AR36" i="3"/>
  <c r="E20" i="3"/>
  <c r="F12" i="3"/>
  <c r="G45" i="3"/>
  <c r="AD45" i="3"/>
  <c r="G21" i="3"/>
  <c r="F24" i="3"/>
  <c r="G23" i="3"/>
  <c r="AR31" i="3"/>
  <c r="G30" i="3"/>
  <c r="E27" i="3"/>
  <c r="E8" i="3"/>
  <c r="F11" i="4" a="1"/>
  <c r="AB12" i="4" a="1"/>
  <c r="Y16" i="4" a="1"/>
  <c r="CM12" i="4" a="1"/>
  <c r="Z15" i="4" a="1"/>
  <c r="DE11" i="4" a="1"/>
  <c r="DL14" i="4" a="1"/>
  <c r="DR16" i="4" a="1"/>
  <c r="G17" i="2"/>
  <c r="F75" i="2"/>
  <c r="S25" i="2"/>
  <c r="L20" i="2"/>
  <c r="W5" i="2"/>
  <c r="U11" i="2"/>
  <c r="O12" i="2"/>
  <c r="J15" i="2"/>
  <c r="C28" i="2"/>
  <c r="H23" i="2"/>
  <c r="S15" i="2"/>
  <c r="K16" i="2"/>
  <c r="X20" i="2"/>
  <c r="R14" i="2"/>
  <c r="G28" i="2"/>
  <c r="H11" i="2"/>
  <c r="H15" i="2"/>
  <c r="U26" i="2"/>
  <c r="R27" i="2"/>
  <c r="AS49" i="3"/>
  <c r="V20" i="2"/>
  <c r="R11" i="2"/>
  <c r="AR91" i="3"/>
  <c r="K27" i="2"/>
  <c r="D25" i="2"/>
  <c r="I26" i="2"/>
  <c r="F10" i="3"/>
  <c r="S45" i="3"/>
  <c r="G26" i="3"/>
  <c r="AN45" i="3"/>
  <c r="E23" i="3"/>
  <c r="AD14" i="3"/>
  <c r="G18" i="3"/>
  <c r="F34" i="3"/>
  <c r="N46" i="3"/>
  <c r="F16" i="3"/>
  <c r="F15" i="3"/>
  <c r="G8" i="3"/>
  <c r="G22" i="3"/>
  <c r="BO14" i="4" a="1"/>
  <c r="DO14" i="4" a="1"/>
  <c r="Y5" i="4" a="1"/>
  <c r="BC9" i="4" a="1"/>
  <c r="DK7" i="4" a="1"/>
  <c r="EG12" i="4" a="1"/>
  <c r="BF7" i="4" a="1"/>
  <c r="CG16" i="4" a="1"/>
  <c r="DP14" i="4" a="1"/>
  <c r="BC12" i="4" a="1"/>
  <c r="BK13" i="4" a="1"/>
  <c r="CG12" i="4" a="1"/>
  <c r="CA15" i="4" a="1"/>
  <c r="ED14" i="4" a="1"/>
  <c r="Q20" i="2"/>
  <c r="AD10" i="3"/>
  <c r="P45" i="3"/>
  <c r="F35" i="3"/>
  <c r="DT12" i="4" a="1"/>
  <c r="CT14" i="4" a="1"/>
  <c r="W5" i="4" a="1"/>
  <c r="AO5" i="4" a="1"/>
  <c r="AK7" i="4" a="1"/>
  <c r="EK8" i="4" a="1"/>
  <c r="CR5" i="4" a="1"/>
  <c r="DV15" i="4" a="1"/>
  <c r="AI5" i="4" a="1"/>
  <c r="DQ15" i="4" a="1"/>
  <c r="BI9" i="4" a="1"/>
  <c r="DS5" i="4" a="1"/>
  <c r="BC15" i="4" a="1"/>
  <c r="I7" i="4" a="1"/>
  <c r="CZ9" i="4" a="1"/>
  <c r="CD15" i="4" a="1"/>
  <c r="CQ11" i="4" a="1"/>
  <c r="BR6" i="4" a="1"/>
  <c r="T9" i="4" a="1"/>
  <c r="AY5" i="4" a="1"/>
  <c r="BP9" i="4" a="1"/>
  <c r="CO15" i="4" a="1"/>
  <c r="DC16" i="4" a="1"/>
  <c r="BX6" i="4" a="1"/>
  <c r="BQ16" i="4" a="1"/>
  <c r="BT14" i="4" a="1"/>
  <c r="BL7" i="4" a="1"/>
  <c r="K8" i="4" a="1"/>
  <c r="BG6" i="4" a="1"/>
  <c r="U15" i="4" a="1"/>
  <c r="AW13" i="4" a="1"/>
  <c r="EC13" i="4" a="1"/>
  <c r="DD8" i="4" a="1"/>
  <c r="Y9" i="4" a="1"/>
  <c r="AW9" i="4" a="1"/>
  <c r="CA16" i="4" a="1"/>
  <c r="CB8" i="4" a="1"/>
  <c r="V13" i="4" a="1"/>
  <c r="DJ5" i="4" a="1"/>
  <c r="BN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AS11" i="4" a="1"/>
  <c r="DL12" i="4" a="1"/>
  <c r="DD5" i="4" a="1"/>
  <c r="CX8" i="4" a="1"/>
  <c r="DH7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AL14" i="4" a="1"/>
  <c r="DL8" i="4" a="1"/>
  <c r="Z11" i="4" a="1"/>
  <c r="W14" i="4" a="1"/>
  <c r="DF8" i="4" a="1"/>
  <c r="CQ9" i="4" a="1"/>
  <c r="T11" i="4" a="1"/>
  <c r="I25" i="2"/>
  <c r="D24" i="3"/>
  <c r="H46" i="3"/>
  <c r="G25" i="3"/>
  <c r="DK5" i="4" a="1"/>
  <c r="BG8" i="4" a="1"/>
  <c r="BK6" i="4" a="1"/>
  <c r="BT9" i="4" a="1"/>
  <c r="CU8" i="4" a="1"/>
  <c r="EA13" i="4" a="1"/>
  <c r="DQ14" i="4" a="1"/>
  <c r="BG11" i="4" a="1"/>
  <c r="D7" i="4" a="1"/>
  <c r="DA14" i="4" a="1"/>
  <c r="DP7" i="4" a="1"/>
  <c r="DK16" i="4" a="1"/>
  <c r="CD6" i="4" a="1"/>
  <c r="BV11" i="4" a="1"/>
  <c r="AH12" i="4" a="1"/>
  <c r="F9" i="4" a="1"/>
  <c r="EC8" i="4" a="1"/>
  <c r="CI12" i="4" a="1"/>
  <c r="AB6" i="4" a="1"/>
  <c r="J12" i="4" a="1"/>
  <c r="DH13" i="4" a="1"/>
  <c r="AL7" i="4" a="1"/>
  <c r="BR7" i="4" a="1"/>
  <c r="CO5" i="4" a="1"/>
  <c r="CY9" i="4" a="1"/>
  <c r="I9" i="4" a="1"/>
  <c r="DX14" i="4" a="1"/>
  <c r="CW11" i="4" a="1"/>
  <c r="DL7" i="4" a="1"/>
  <c r="DV8" i="4" a="1"/>
  <c r="S5" i="4" a="1"/>
  <c r="CH12" i="4" a="1"/>
  <c r="AO13" i="4" a="1"/>
  <c r="E15" i="4" a="1"/>
  <c r="BT12" i="4" a="1"/>
  <c r="DV12" i="4" a="1"/>
  <c r="BG13" i="4" a="1"/>
  <c r="ED15" i="4" a="1"/>
  <c r="K11" i="4" a="1"/>
  <c r="BD7" i="4" a="1"/>
  <c r="BO11" i="4" a="1"/>
  <c r="E11" i="4" a="1"/>
  <c r="AT7" i="4" a="1"/>
  <c r="DP13" i="4" a="1"/>
  <c r="CO12" i="4" a="1"/>
  <c r="J17" i="2"/>
  <c r="AC46" i="3"/>
  <c r="E31" i="3"/>
  <c r="AF7" i="4" a="1"/>
  <c r="BZ15" i="4" a="1"/>
  <c r="DI14" i="4" a="1"/>
  <c r="BS7" i="4" a="1"/>
  <c r="AV16" i="4" a="1"/>
  <c r="AD7" i="4" a="1"/>
  <c r="BO5" i="4" a="1"/>
  <c r="AR12" i="4" a="1"/>
  <c r="BB6" i="4" a="1"/>
  <c r="K16" i="4" a="1"/>
  <c r="U5" i="4" a="1"/>
  <c r="AZ6" i="4" a="1"/>
  <c r="BW16" i="4" a="1"/>
  <c r="BQ11" i="4" a="1"/>
  <c r="DT6" i="4" a="1"/>
  <c r="AU5" i="4" a="1"/>
  <c r="DN6" i="4" a="1"/>
  <c r="CA11" i="4" a="1"/>
  <c r="CF11" i="4" a="1"/>
  <c r="O8" i="4" a="1"/>
  <c r="CQ5" i="4" a="1"/>
  <c r="AV5" i="4" a="1"/>
  <c r="H14" i="4" a="1"/>
  <c r="CI11" i="4" a="1"/>
  <c r="DT13" i="4" a="1"/>
  <c r="DU16" i="4" a="1"/>
  <c r="ED7" i="4" a="1"/>
  <c r="AV14" i="4" a="1"/>
  <c r="BT8" i="4" a="1"/>
  <c r="DA9" i="4" a="1"/>
  <c r="N6" i="4" a="1"/>
  <c r="DT14" i="4" a="1"/>
  <c r="BY9" i="4" a="1"/>
  <c r="CX12" i="4" a="1"/>
  <c r="BF5" i="4" a="1"/>
  <c r="BZ12" i="4" a="1"/>
  <c r="CG9" i="4" a="1"/>
  <c r="EF8" i="4" a="1"/>
  <c r="AW11" i="4" a="1"/>
  <c r="CJ7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T14" i="4" a="1"/>
  <c r="N5" i="4" a="1"/>
  <c r="EH14" i="4" a="1"/>
  <c r="CP9" i="4" a="1"/>
  <c r="W9" i="4" a="1"/>
  <c r="CE14" i="4" a="1"/>
  <c r="CK8" i="4" a="1"/>
  <c r="CP5" i="4" a="1"/>
  <c r="CK7" i="4" a="1"/>
  <c r="CV16" i="4" a="1"/>
  <c r="L15" i="4" a="1"/>
  <c r="AR60" i="3"/>
  <c r="D26" i="3"/>
  <c r="AD12" i="3"/>
  <c r="CX7" i="4" a="1"/>
  <c r="DB14" i="4" a="1"/>
  <c r="DR5" i="4" a="1"/>
  <c r="DO12" i="4" a="1"/>
  <c r="DE12" i="4" a="1"/>
  <c r="F16" i="4" a="1"/>
  <c r="DQ11" i="4" a="1"/>
  <c r="CG8" i="4" a="1"/>
  <c r="CE6" i="4" a="1"/>
  <c r="BQ8" i="4" a="1"/>
  <c r="CS7" i="4" a="1"/>
  <c r="CB5" i="4" a="1"/>
  <c r="K9" i="4" a="1"/>
  <c r="BS14" i="4" a="1"/>
  <c r="AW5" i="4" a="1"/>
  <c r="DB7" i="4" a="1"/>
  <c r="AG11" i="4" a="1"/>
  <c r="CY8" i="4" a="1"/>
  <c r="EE6" i="4" a="1"/>
  <c r="I15" i="4" a="1"/>
  <c r="CV13" i="4" a="1"/>
  <c r="AQ16" i="4" a="1"/>
  <c r="BN6" i="4" a="1"/>
  <c r="BW13" i="4" a="1"/>
  <c r="DC8" i="4" a="1"/>
  <c r="AE9" i="4" a="1"/>
  <c r="BK5" i="4" a="1"/>
  <c r="EA14" i="4" a="1"/>
  <c r="EF6" i="4" a="1"/>
  <c r="AD6" i="4" a="1"/>
  <c r="C11" i="4" a="1"/>
  <c r="DX15" i="4" a="1"/>
  <c r="CC5" i="4" a="1"/>
  <c r="G8" i="4" a="1"/>
  <c r="BY16" i="4" a="1"/>
  <c r="R7" i="4" a="1"/>
  <c r="H16" i="4" a="1"/>
  <c r="L14" i="4" a="1"/>
  <c r="CU16" i="4" a="1"/>
  <c r="BN13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BO6" i="4" a="1"/>
  <c r="AC7" i="4" a="1"/>
  <c r="AI12" i="4" a="1"/>
  <c r="AV13" i="4" a="1"/>
  <c r="AJ6" i="4" a="1"/>
  <c r="CH9" i="4" a="1"/>
  <c r="D5" i="4" a="1"/>
  <c r="AH14" i="4" a="1"/>
  <c r="BG9" i="4" a="1"/>
  <c r="EK13" i="4" a="1"/>
  <c r="CU11" i="4" a="1"/>
  <c r="S13" i="4" a="1"/>
  <c r="AB7" i="4" a="1"/>
  <c r="DY9" i="4" a="1"/>
  <c r="AO16" i="4" a="1"/>
  <c r="BG14" i="4" a="1"/>
  <c r="EB7" i="4" a="1"/>
  <c r="BC6" i="4" a="1"/>
  <c r="DK12" i="4" a="1"/>
  <c r="DJ12" i="4" a="1"/>
  <c r="AV7" i="4" a="1"/>
  <c r="AP12" i="4" a="1"/>
  <c r="EI15" i="4" a="1"/>
  <c r="Y45" i="3"/>
  <c r="BP5" i="4" a="1"/>
  <c r="BZ13" i="4" a="1"/>
  <c r="CB15" i="4" a="1"/>
  <c r="I12" i="4" a="1"/>
  <c r="AW8" i="4" a="1"/>
  <c r="AZ11" i="4" a="1"/>
  <c r="BA8" i="4" a="1"/>
  <c r="EH12" i="4" a="1"/>
  <c r="AX13" i="4" a="1"/>
  <c r="DM8" i="4" a="1"/>
  <c r="BB12" i="4" a="1"/>
  <c r="DK15" i="4" a="1"/>
  <c r="CB6" i="4" a="1"/>
  <c r="BX15" i="4" a="1"/>
  <c r="AO6" i="4" a="1"/>
  <c r="AN14" i="4" a="1"/>
  <c r="BI11" i="4" a="1"/>
  <c r="AO15" i="4" a="1"/>
  <c r="EG13" i="4" a="1"/>
  <c r="CM5" i="4" a="1"/>
  <c r="G5" i="4" a="1"/>
  <c r="BM7" i="4" a="1"/>
  <c r="K18" i="2"/>
  <c r="AD13" i="3"/>
  <c r="AO46" i="3"/>
  <c r="DZ14" i="4" a="1"/>
  <c r="AI11" i="4" a="1"/>
  <c r="BZ5" i="4" a="1"/>
  <c r="DU8" i="4" a="1"/>
  <c r="DG11" i="4" a="1"/>
  <c r="AK6" i="4" a="1"/>
  <c r="DN12" i="4" a="1"/>
  <c r="BU13" i="4" a="1"/>
  <c r="P8" i="4" a="1"/>
  <c r="CP12" i="4" a="1"/>
  <c r="DL5" i="4" a="1"/>
  <c r="EF15" i="4" a="1"/>
  <c r="CW9" i="4" a="1"/>
  <c r="Q13" i="4" a="1"/>
  <c r="CZ8" i="4" a="1"/>
  <c r="CS5" i="4" a="1"/>
  <c r="BB15" i="4" a="1"/>
  <c r="DB12" i="4" a="1"/>
  <c r="DQ7" i="4" a="1"/>
  <c r="EF7" i="4" a="1"/>
  <c r="R5" i="4" a="1"/>
  <c r="DD6" i="4" a="1"/>
  <c r="CM14" i="4" a="1"/>
  <c r="BY11" i="4" a="1"/>
  <c r="CM11" i="4" a="1"/>
  <c r="J13" i="4" a="1"/>
  <c r="H15" i="4" a="1"/>
  <c r="AS14" i="4" a="1"/>
  <c r="EE13" i="4" a="1"/>
  <c r="CZ5" i="4" a="1"/>
  <c r="DT5" i="4" a="1"/>
  <c r="P11" i="4" a="1"/>
  <c r="DD11" i="4" a="1"/>
  <c r="U7" i="4" a="1"/>
  <c r="C14" i="4" a="1"/>
  <c r="DI15" i="4" a="1"/>
  <c r="Y14" i="4" a="1"/>
  <c r="V7" i="4" a="1"/>
  <c r="AD15" i="4" a="1"/>
  <c r="DY6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AP8" i="4" a="1"/>
  <c r="DA5" i="4" a="1"/>
  <c r="BU5" i="4" a="1"/>
  <c r="AX5" i="4" a="1"/>
  <c r="DK8" i="4" a="1"/>
  <c r="AW6" i="4" a="1"/>
  <c r="N8" i="4" a="1"/>
  <c r="BV12" i="4" a="1"/>
  <c r="CN6" i="4" a="1"/>
  <c r="O14" i="4" a="1"/>
  <c r="AP6" i="4" a="1"/>
  <c r="DB9" i="4" a="1"/>
  <c r="CB16" i="4" a="1"/>
  <c r="CY11" i="4" a="1"/>
  <c r="CC15" i="4" a="1"/>
  <c r="CE16" i="4" a="1"/>
  <c r="DE5" i="4" a="1"/>
  <c r="DA16" i="4" a="1"/>
  <c r="BP13" i="4" a="1"/>
  <c r="BL6" i="4" a="1"/>
  <c r="DV14" i="4" a="1"/>
  <c r="AT14" i="4" a="1"/>
  <c r="D13" i="4" a="1"/>
  <c r="BH14" i="4" a="1"/>
  <c r="DA8" i="4" a="1"/>
  <c r="N13" i="4" a="1"/>
  <c r="BG15" i="4" a="1"/>
  <c r="AU15" i="4" a="1"/>
  <c r="DF9" i="4" a="1"/>
  <c r="P12" i="4" a="1"/>
  <c r="X16" i="4" a="1"/>
  <c r="CA5" i="4" a="1"/>
  <c r="AA14" i="4" a="1"/>
  <c r="R9" i="4" a="1"/>
  <c r="DR15" i="4" a="1"/>
  <c r="AL9" i="4" a="1"/>
  <c r="DN5" i="4" a="1"/>
  <c r="BE16" i="4" a="1"/>
  <c r="DV9" i="4" a="1"/>
  <c r="Q6" i="4" a="1"/>
  <c r="BW5" i="4" a="1"/>
  <c r="DK11" i="4" a="1"/>
  <c r="CH15" i="4" a="1"/>
  <c r="AA8" i="4" a="1"/>
  <c r="CL15" i="4" a="1"/>
  <c r="BN15" i="4" a="1"/>
  <c r="BM12" i="4" a="1"/>
  <c r="S14" i="4" a="1"/>
  <c r="BO7" i="4" a="1"/>
  <c r="CC9" i="4" a="1"/>
  <c r="DI6" i="4" a="1"/>
  <c r="C26" i="2"/>
  <c r="D29" i="3"/>
  <c r="G16" i="3"/>
  <c r="CK15" i="4" a="1"/>
  <c r="BL9" i="4" a="1"/>
  <c r="BA5" i="4" a="1"/>
  <c r="CS8" i="4" a="1"/>
  <c r="AI13" i="4" a="1"/>
  <c r="DD13" i="4" a="1"/>
  <c r="DR11" i="4" a="1"/>
  <c r="AU13" i="4" a="1"/>
  <c r="W12" i="4" a="1"/>
  <c r="EJ12" i="4" a="1"/>
  <c r="DB8" i="4" a="1"/>
  <c r="DF12" i="4" a="1"/>
  <c r="EI12" i="4" a="1"/>
  <c r="CG14" i="4" a="1"/>
  <c r="BP16" i="4" a="1"/>
  <c r="BF14" i="4" a="1"/>
  <c r="BJ15" i="4" a="1"/>
  <c r="V8" i="4" a="1"/>
  <c r="CK13" i="4" a="1"/>
  <c r="EI5" i="4" a="1"/>
  <c r="DL16" i="4" a="1"/>
  <c r="DX9" i="4" a="1"/>
  <c r="BP14" i="4" a="1"/>
  <c r="DY5" i="4" a="1"/>
  <c r="CQ12" i="4" a="1"/>
  <c r="CO7" i="4" a="1"/>
  <c r="CQ7" i="4" a="1"/>
  <c r="AK16" i="4" a="1"/>
  <c r="BN8" i="4" a="1"/>
  <c r="EK14" i="4" a="1"/>
  <c r="CV15" i="4" a="1"/>
  <c r="BA14" i="4" a="1"/>
  <c r="S9" i="4" a="1"/>
  <c r="CH5" i="4" a="1"/>
  <c r="CY12" i="4" a="1"/>
  <c r="AR15" i="4" a="1"/>
  <c r="T5" i="4" a="1"/>
  <c r="CC7" i="4" a="1"/>
  <c r="BC7" i="4" a="1"/>
  <c r="M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AT11" i="4" a="1"/>
  <c r="DD14" i="4" a="1"/>
  <c r="BS8" i="4" a="1"/>
  <c r="CL14" i="4" a="1"/>
  <c r="DI12" i="4" a="1"/>
  <c r="CG13" i="4" a="1"/>
  <c r="I6" i="4" a="1"/>
  <c r="K5" i="4" a="1"/>
  <c r="CK12" i="4" a="1"/>
  <c r="BN14" i="4" a="1"/>
  <c r="DW12" i="4" a="1"/>
  <c r="BK7" i="4" a="1"/>
  <c r="DE9" i="4" a="1"/>
  <c r="AV6" i="4" a="1"/>
  <c r="DS9" i="4" a="1"/>
  <c r="EE9" i="4" a="1"/>
  <c r="DU15" i="4" a="1"/>
  <c r="EE5" i="4" a="1"/>
  <c r="DU12" i="4" a="1"/>
  <c r="Q16" i="4" a="1"/>
  <c r="DV13" i="4" a="1"/>
  <c r="E42" i="3"/>
  <c r="BJ6" i="4" a="1"/>
  <c r="AL6" i="4" a="1"/>
  <c r="BC14" i="4" a="1"/>
  <c r="BX13" i="4" a="1"/>
  <c r="CP6" i="4" a="1"/>
  <c r="CG11" i="4" a="1"/>
  <c r="O5" i="4" a="1"/>
  <c r="EG11" i="4" a="1"/>
  <c r="CF5" i="4" a="1"/>
  <c r="E7" i="4" a="1"/>
  <c r="CZ6" i="4" a="1"/>
  <c r="BF8" i="4" a="1"/>
  <c r="DM16" i="4" a="1"/>
  <c r="BL14" i="4" a="1"/>
  <c r="AR54" i="3"/>
  <c r="E17" i="3"/>
  <c r="D20" i="3"/>
  <c r="AG7" i="4" a="1"/>
  <c r="CN11" i="4" a="1"/>
  <c r="BY13" i="4" a="1"/>
  <c r="V14" i="4" a="1"/>
  <c r="BY5" i="4" a="1"/>
  <c r="DL11" i="4" a="1"/>
  <c r="DG5" i="4" a="1"/>
  <c r="BS16" i="4" a="1"/>
  <c r="AD12" i="4" a="1"/>
  <c r="CP8" i="4" a="1"/>
  <c r="X9" i="4" a="1"/>
  <c r="AV8" i="4" a="1"/>
  <c r="CT5" i="4" a="1"/>
  <c r="T6" i="4" a="1"/>
  <c r="BD11" i="4" a="1"/>
  <c r="BI15" i="4" a="1"/>
  <c r="CE13" i="4" a="1"/>
  <c r="DC14" i="4" a="1"/>
  <c r="BO15" i="4" a="1"/>
  <c r="CC14" i="4" a="1"/>
  <c r="AB16" i="4" a="1"/>
  <c r="E12" i="4" a="1"/>
  <c r="V9" i="4" a="1"/>
  <c r="BR14" i="4" a="1"/>
  <c r="AQ9" i="4" a="1"/>
  <c r="DR7" i="4" a="1"/>
  <c r="AB14" i="4" a="1"/>
  <c r="CY13" i="4" a="1"/>
  <c r="DU6" i="4" a="1"/>
  <c r="EF11" i="4" a="1"/>
  <c r="BD16" i="4" a="1"/>
  <c r="BH9" i="4" a="1"/>
  <c r="CS13" i="4" a="1"/>
  <c r="J15" i="4" a="1"/>
  <c r="BV6" i="4" a="1"/>
  <c r="BZ16" i="4" a="1"/>
  <c r="BX14" i="4" a="1"/>
  <c r="DZ8" i="4" a="1"/>
  <c r="CZ11" i="4" a="1"/>
  <c r="EG8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EG15" i="4" a="1"/>
  <c r="C12" i="4" a="1"/>
  <c r="CN5" i="4" a="1"/>
  <c r="Q9" i="4" a="1"/>
  <c r="DT15" i="4" a="1"/>
  <c r="N15" i="2"/>
  <c r="DZ11" i="4" a="1"/>
  <c r="DX16" i="4" a="1"/>
  <c r="EG9" i="4" a="1"/>
  <c r="P21" i="2"/>
  <c r="D30" i="3"/>
  <c r="E34" i="3"/>
  <c r="AK9" i="4" a="1"/>
  <c r="Q12" i="4" a="1"/>
  <c r="BE12" i="4" a="1"/>
  <c r="DI8" i="4" a="1"/>
  <c r="Y8" i="4" a="1"/>
  <c r="AY9" i="4" a="1"/>
  <c r="EE11" i="4" a="1"/>
  <c r="CH8" i="4" a="1"/>
  <c r="CT7" i="4" a="1"/>
  <c r="BJ5" i="4" a="1"/>
  <c r="H6" i="4" a="1"/>
  <c r="D9" i="4" a="1"/>
  <c r="AT15" i="4" a="1"/>
  <c r="O11" i="4" a="1"/>
  <c r="EA16" i="4" a="1"/>
  <c r="DO16" i="4" a="1"/>
  <c r="EB16" i="4" a="1"/>
  <c r="DV6" i="4" a="1"/>
  <c r="BP15" i="4" a="1"/>
  <c r="AJ7" i="4" a="1"/>
  <c r="DC11" i="4" a="1"/>
  <c r="CE11" i="4" a="1"/>
  <c r="DR14" i="4" a="1"/>
  <c r="BE9" i="4" a="1"/>
  <c r="CU5" i="4" a="1"/>
  <c r="BL11" i="4" a="1"/>
  <c r="AH7" i="4" a="1"/>
  <c r="EH9" i="4" a="1"/>
  <c r="BZ14" i="4" a="1"/>
  <c r="EE8" i="4" a="1"/>
  <c r="EB11" i="4" a="1"/>
  <c r="O12" i="4" a="1"/>
  <c r="CE8" i="4" a="1"/>
  <c r="AW15" i="4" a="1"/>
  <c r="CV11" i="4" a="1"/>
  <c r="EF9" i="4" a="1"/>
  <c r="AQ8" i="4" a="1"/>
  <c r="EH6" i="4" a="1"/>
  <c r="Z6" i="4" a="1"/>
  <c r="AF12" i="4" a="1"/>
  <c r="AQ6" i="4" a="1"/>
  <c r="K15" i="2"/>
  <c r="C46" i="3"/>
  <c r="F7" i="3"/>
  <c r="J9" i="4" a="1"/>
  <c r="DF5" i="4" a="1"/>
  <c r="BM15" i="4" a="1"/>
  <c r="DC7" i="4" a="1"/>
  <c r="AM5" i="4" a="1"/>
  <c r="BL8" i="4" a="1"/>
  <c r="EJ7" i="4" a="1"/>
  <c r="BP8" i="4" a="1"/>
  <c r="CT12" i="4" a="1"/>
  <c r="I13" i="4" a="1"/>
  <c r="EE16" i="4" a="1"/>
  <c r="AV15" i="4" a="1"/>
  <c r="AR13" i="4" a="1"/>
  <c r="N12" i="4" a="1"/>
  <c r="AG14" i="4" a="1"/>
  <c r="AN15" i="4" a="1"/>
  <c r="CJ12" i="4" a="1"/>
  <c r="BB11" i="4" a="1"/>
  <c r="AE15" i="4" a="1"/>
  <c r="G6" i="4" a="1"/>
  <c r="C13" i="4" a="1"/>
  <c r="AC9" i="4" a="1"/>
  <c r="W15" i="4" a="1"/>
  <c r="AF11" i="4" a="1"/>
  <c r="G9" i="4" a="1"/>
  <c r="AN12" i="4" a="1"/>
  <c r="DJ8" i="4" a="1"/>
  <c r="EB15" i="4" a="1"/>
  <c r="P5" i="4" a="1"/>
  <c r="CW5" i="4" a="1"/>
  <c r="EJ6" i="4" a="1"/>
  <c r="DQ6" i="4" a="1"/>
  <c r="BE13" i="4" a="1"/>
  <c r="CJ6" i="4" a="1"/>
  <c r="DU9" i="4" a="1"/>
  <c r="AT16" i="4" a="1"/>
  <c r="F14" i="4" a="1"/>
  <c r="DN7" i="4" a="1"/>
  <c r="AT9" i="4" a="1"/>
  <c r="AS16" i="4" a="1"/>
  <c r="BJ13" i="4" a="1"/>
  <c r="CH11" i="4" a="1"/>
  <c r="DQ12" i="4" a="1"/>
  <c r="CT16" i="4" a="1"/>
  <c r="AU9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EB13" i="4" a="1"/>
  <c r="DE7" i="4" a="1"/>
  <c r="BI12" i="4" a="1"/>
  <c r="BW14" i="4" a="1"/>
  <c r="AQ11" i="4" a="1"/>
  <c r="CP11" i="4" a="1"/>
  <c r="AE8" i="4" a="1"/>
  <c r="AL16" i="4" a="1"/>
  <c r="BF6" i="4" a="1"/>
  <c r="AG6" i="4" a="1"/>
  <c r="EJ8" i="4" a="1"/>
  <c r="Q11" i="4" a="1"/>
  <c r="AM7" i="4" a="1"/>
  <c r="CY16" i="4" a="1"/>
  <c r="AY7" i="4" a="1"/>
  <c r="G12" i="4" a="1"/>
  <c r="AN11" i="4" a="1"/>
  <c r="EF14" i="4" a="1"/>
  <c r="D11" i="4" a="1"/>
  <c r="AP14" i="4" a="1"/>
  <c r="DO11" i="4" a="1"/>
  <c r="DN8" i="4" a="1"/>
  <c r="CO16" i="4" a="1"/>
  <c r="CI5" i="4" a="1"/>
  <c r="M9" i="4" a="1"/>
  <c r="EK7" i="4" a="1"/>
  <c r="BU9" i="4" a="1"/>
  <c r="AC13" i="4" a="1"/>
  <c r="AR6" i="4" a="1"/>
  <c r="DS7" i="4" a="1"/>
  <c r="CX13" i="4" a="1"/>
  <c r="AT12" i="4" a="1"/>
  <c r="EE7" i="4" a="1"/>
  <c r="DW8" i="4" a="1"/>
  <c r="BY12" i="4" a="1"/>
  <c r="CA13" i="4" a="1"/>
  <c r="BH11" i="4" a="1"/>
  <c r="Y7" i="4" a="1"/>
  <c r="M13" i="4" a="1"/>
  <c r="BG16" i="4" a="1"/>
  <c r="AD13" i="4" a="1"/>
  <c r="BQ13" i="4" a="1"/>
  <c r="DS15" i="4" a="1"/>
  <c r="DY13" i="4" a="1"/>
  <c r="X46" i="3"/>
  <c r="Z45" i="3"/>
  <c r="I45" i="3"/>
  <c r="BI13" i="4" a="1"/>
  <c r="DQ16" i="4" a="1"/>
  <c r="DF7" i="4" a="1"/>
  <c r="P16" i="4" a="1"/>
  <c r="CW7" i="4" a="1"/>
  <c r="AF8" i="4" a="1"/>
  <c r="DP12" i="4" a="1"/>
  <c r="CF6" i="4" a="1"/>
  <c r="DO6" i="4" a="1"/>
  <c r="CC13" i="4" a="1"/>
  <c r="CL16" i="4" a="1"/>
  <c r="AD16" i="4" a="1"/>
  <c r="BH16" i="4" a="1"/>
  <c r="AJ5" i="4" a="1"/>
  <c r="CI16" i="4" a="1"/>
  <c r="BQ15" i="4" a="1"/>
  <c r="CI8" i="4" a="1"/>
  <c r="F13" i="4" a="1"/>
  <c r="BR11" i="4" a="1"/>
  <c r="DO8" i="4" a="1"/>
  <c r="EK12" i="4" a="1"/>
  <c r="CS6" i="4" a="1"/>
  <c r="AV12" i="4" a="1"/>
  <c r="CG6" i="4" a="1"/>
  <c r="K6" i="4" a="1"/>
  <c r="AJ8" i="4" a="1"/>
  <c r="F6" i="4" a="1"/>
  <c r="CV7" i="4" a="1"/>
  <c r="Q8" i="4" a="1"/>
  <c r="X11" i="4" a="1"/>
  <c r="CX16" i="4" a="1"/>
  <c r="CD7" i="4" a="1"/>
  <c r="CX5" i="4" a="1"/>
  <c r="DC5" i="4" a="1"/>
  <c r="DH5" i="4" a="1"/>
  <c r="CH16" i="4" a="1"/>
  <c r="CL5" i="4" a="1"/>
  <c r="N15" i="4" a="1"/>
  <c r="EK9" i="4" a="1"/>
  <c r="DH9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W45" i="3"/>
  <c r="AQ45" i="3"/>
  <c r="J45" i="3"/>
  <c r="DL15" i="4" a="1"/>
  <c r="DH15" i="4" a="1"/>
  <c r="CX6" i="4" a="1"/>
  <c r="BH6" i="4" a="1"/>
  <c r="DX6" i="4" a="1"/>
  <c r="CM13" i="4" a="1"/>
  <c r="CF12" i="4" a="1"/>
  <c r="AY12" i="4" a="1"/>
  <c r="AX16" i="4" a="1"/>
  <c r="AW14" i="4" a="1"/>
  <c r="AC6" i="4" a="1"/>
  <c r="CL12" i="4" a="1"/>
  <c r="AA9" i="4" a="1"/>
  <c r="G11" i="4" a="1"/>
  <c r="CE7" i="4" a="1"/>
  <c r="C16" i="4" a="1"/>
  <c r="EC14" i="4" a="1"/>
  <c r="CD11" i="4" a="1"/>
  <c r="CY14" i="4" a="1"/>
  <c r="CP7" i="4" a="1"/>
  <c r="E13" i="4" a="1"/>
  <c r="AY13" i="4" a="1"/>
  <c r="AR7" i="4" a="1"/>
  <c r="DJ11" i="4" a="1"/>
  <c r="H11" i="4" a="1"/>
  <c r="DB11" i="4" a="1"/>
  <c r="AN16" i="4" a="1"/>
  <c r="EJ9" i="4" a="1"/>
  <c r="DR13" i="4" a="1"/>
  <c r="E57" i="3"/>
  <c r="F77" i="3"/>
  <c r="E64" i="3"/>
  <c r="F62" i="3"/>
  <c r="G77" i="3"/>
  <c r="E81" i="3"/>
  <c r="F86" i="3"/>
  <c r="G82" i="3"/>
  <c r="G72" i="3"/>
  <c r="F74" i="3"/>
  <c r="F64" i="3"/>
  <c r="G66" i="3"/>
  <c r="E73" i="3"/>
  <c r="G89" i="3"/>
  <c r="G56" i="3"/>
  <c r="F60" i="3"/>
  <c r="E87" i="3"/>
  <c r="E89" i="3"/>
  <c r="F59" i="3"/>
  <c r="F55" i="3"/>
  <c r="E95" i="3"/>
  <c r="G64" i="3"/>
  <c r="F80" i="3"/>
  <c r="G57" i="3"/>
  <c r="E59" i="3"/>
  <c r="F54" i="3"/>
  <c r="G97" i="3"/>
  <c r="E88" i="3"/>
  <c r="G61" i="3"/>
  <c r="E70" i="3"/>
  <c r="F73" i="3"/>
  <c r="E90" i="3"/>
  <c r="G65" i="3"/>
  <c r="E61" i="3"/>
  <c r="F71" i="3"/>
  <c r="F72" i="3"/>
  <c r="E78" i="3"/>
  <c r="E91" i="3"/>
  <c r="E76" i="3"/>
  <c r="G63" i="3"/>
  <c r="E54" i="3"/>
  <c r="E83" i="3"/>
  <c r="F61" i="3"/>
  <c r="G87" i="3"/>
  <c r="E79" i="3"/>
  <c r="F75" i="3"/>
  <c r="E66" i="3"/>
  <c r="F50" i="3"/>
  <c r="E94" i="3"/>
  <c r="E63" i="3"/>
  <c r="F92" i="3"/>
  <c r="E74" i="3"/>
  <c r="F95" i="3"/>
  <c r="F63" i="3"/>
  <c r="E77" i="3"/>
  <c r="F83" i="3"/>
  <c r="G68" i="3"/>
  <c r="E67" i="3"/>
  <c r="G94" i="3"/>
  <c r="E55" i="3"/>
  <c r="E82" i="3"/>
  <c r="E69" i="3"/>
  <c r="F89" i="3"/>
  <c r="G67" i="3"/>
  <c r="F82" i="3"/>
  <c r="G84" i="3"/>
  <c r="F76" i="3"/>
  <c r="F48" i="3"/>
  <c r="G83" i="3"/>
  <c r="G74" i="3"/>
  <c r="F78" i="3"/>
  <c r="F65" i="3"/>
  <c r="F85" i="3"/>
  <c r="G86" i="3"/>
  <c r="E86" i="3"/>
  <c r="E56" i="3"/>
  <c r="E97" i="3"/>
  <c r="F96" i="3"/>
  <c r="E60" i="3"/>
  <c r="G96" i="3"/>
  <c r="F97" i="3"/>
  <c r="E75" i="3"/>
  <c r="G92" i="3"/>
  <c r="F66" i="3"/>
  <c r="E58" i="3"/>
  <c r="G69" i="3"/>
  <c r="G59" i="3"/>
  <c r="F93" i="3"/>
  <c r="G71" i="3"/>
  <c r="E96" i="3"/>
  <c r="E92" i="3"/>
  <c r="F47" i="3"/>
  <c r="E93" i="3"/>
  <c r="F58" i="3"/>
  <c r="G60" i="3"/>
  <c r="F67" i="3"/>
  <c r="F49" i="3"/>
  <c r="E72" i="3"/>
  <c r="G62" i="3"/>
  <c r="F68" i="3"/>
  <c r="E80" i="3"/>
  <c r="F57" i="3"/>
  <c r="F70" i="3"/>
  <c r="E62" i="3"/>
  <c r="E84" i="3"/>
  <c r="F90" i="3"/>
  <c r="G78" i="3"/>
  <c r="E71" i="3"/>
  <c r="F84" i="3"/>
  <c r="F79" i="3"/>
  <c r="G79" i="3"/>
  <c r="F56" i="3"/>
  <c r="G91" i="3"/>
  <c r="E68" i="3"/>
  <c r="E65" i="3"/>
  <c r="F94" i="3"/>
  <c r="F88" i="3"/>
  <c r="G93" i="3"/>
  <c r="F91" i="3"/>
  <c r="G76" i="3"/>
  <c r="G54" i="3"/>
  <c r="F69" i="3"/>
  <c r="E85" i="3"/>
  <c r="F81" i="3"/>
  <c r="F87" i="3"/>
  <c r="G81" i="3" l="1"/>
  <c r="G70" i="3"/>
  <c r="G80" i="3"/>
  <c r="G58" i="3"/>
  <c r="G75" i="3"/>
  <c r="G73" i="3"/>
  <c r="G85" i="3"/>
  <c r="G55" i="3"/>
  <c r="G90" i="3"/>
  <c r="G88" i="3"/>
  <c r="G95" i="3"/>
  <c r="AD89" i="3"/>
  <c r="BJ166" i="1" s="1"/>
  <c r="AD70" i="3"/>
  <c r="BJ146" i="1" s="1"/>
  <c r="AD91" i="3"/>
  <c r="BJ167" i="1" s="1"/>
  <c r="BK167" i="1" s="1"/>
  <c r="AD54" i="3"/>
  <c r="AD78" i="3"/>
  <c r="BJ155" i="1" s="1"/>
  <c r="BK155" i="1" s="1"/>
  <c r="AD80" i="3"/>
  <c r="BJ172" i="1" s="1"/>
  <c r="AD81" i="3"/>
  <c r="BJ157" i="1" s="1"/>
  <c r="AD65" i="3"/>
  <c r="BJ163" i="1" s="1"/>
  <c r="BK163" i="1" s="1"/>
  <c r="AD60" i="3"/>
  <c r="BJ135" i="1" s="1"/>
  <c r="BK135" i="1" s="1"/>
  <c r="AD84" i="3"/>
  <c r="BJ159" i="1" s="1"/>
  <c r="BK159" i="1" s="1"/>
  <c r="AD72" i="3"/>
  <c r="BJ148" i="1" s="1"/>
  <c r="BK148" i="1" s="1"/>
  <c r="AD67" i="3"/>
  <c r="AD97" i="3"/>
  <c r="AD77" i="3"/>
  <c r="BJ153" i="1" s="1"/>
  <c r="BK153" i="1" s="1"/>
  <c r="BL215" i="1" s="1"/>
  <c r="AD76" i="3"/>
  <c r="AD68" i="3"/>
  <c r="BJ144" i="1" s="1"/>
  <c r="AD62" i="3"/>
  <c r="BJ137" i="1" s="1"/>
  <c r="BK137" i="1" s="1"/>
  <c r="AD59" i="3"/>
  <c r="AD64" i="3"/>
  <c r="BJ162" i="1" s="1"/>
  <c r="AD96" i="3"/>
  <c r="BJ176" i="1" s="1"/>
  <c r="BK176" i="1" s="1"/>
  <c r="AD73" i="3"/>
  <c r="AD57" i="3"/>
  <c r="BJ131" i="1" s="1"/>
  <c r="BK131" i="1" s="1"/>
  <c r="AD92" i="3"/>
  <c r="BJ168" i="1" s="1"/>
  <c r="BK168" i="1" s="1"/>
  <c r="AD56" i="3"/>
  <c r="BJ130" i="1" s="1"/>
  <c r="AD63" i="3"/>
  <c r="BJ138" i="1" s="1"/>
  <c r="BK138" i="1" s="1"/>
  <c r="AD74" i="3"/>
  <c r="AD75" i="3"/>
  <c r="AD88" i="3"/>
  <c r="BJ140" i="1" s="1"/>
  <c r="BK140" i="1" s="1"/>
  <c r="AD66" i="3"/>
  <c r="BJ164" i="1" s="1"/>
  <c r="BK164" i="1" s="1"/>
  <c r="AD85" i="3"/>
  <c r="BJ160" i="1" s="1"/>
  <c r="BK160" i="1" s="1"/>
  <c r="AD95" i="3"/>
  <c r="BJ177" i="1" s="1"/>
  <c r="AD79" i="3"/>
  <c r="BJ156" i="1" s="1"/>
  <c r="AD71" i="3"/>
  <c r="AD69" i="3"/>
  <c r="BJ145" i="1" s="1"/>
  <c r="AD82" i="3"/>
  <c r="BJ158" i="1" s="1"/>
  <c r="AD55" i="3"/>
  <c r="AD83" i="3"/>
  <c r="BJ173" i="1" s="1"/>
  <c r="AD58" i="3"/>
  <c r="BJ132" i="1" s="1"/>
  <c r="AD90" i="3"/>
  <c r="BJ139" i="1" s="1"/>
  <c r="BK139" i="1" s="1"/>
  <c r="AD93" i="3"/>
  <c r="AD61" i="3"/>
  <c r="AD86" i="3"/>
  <c r="AD87" i="3"/>
  <c r="BJ165" i="1" s="1"/>
  <c r="BK165" i="1" s="1"/>
  <c r="AD94" i="3"/>
  <c r="D83" i="3"/>
  <c r="AJ173" i="1" s="1"/>
  <c r="D75" i="3"/>
  <c r="D89" i="3"/>
  <c r="AJ166" i="1" s="1"/>
  <c r="D82" i="3"/>
  <c r="AJ158" i="1" s="1"/>
  <c r="D77" i="3"/>
  <c r="AJ153" i="1" s="1"/>
  <c r="AK153" i="1" s="1"/>
  <c r="D94" i="3"/>
  <c r="D56" i="3"/>
  <c r="AJ130" i="1" s="1"/>
  <c r="AK130" i="1" s="1"/>
  <c r="D81" i="3"/>
  <c r="AJ157" i="1" s="1"/>
  <c r="D92" i="3"/>
  <c r="AJ168" i="1" s="1"/>
  <c r="AK168" i="1" s="1"/>
  <c r="D73" i="3"/>
  <c r="D74" i="3"/>
  <c r="AJ150" i="1" s="1"/>
  <c r="AK150" i="1" s="1"/>
  <c r="D87" i="3"/>
  <c r="AJ165" i="1" s="1"/>
  <c r="AK165" i="1" s="1"/>
  <c r="D95" i="3"/>
  <c r="AJ177" i="1" s="1"/>
  <c r="AK177" i="1" s="1"/>
  <c r="D70" i="3"/>
  <c r="AJ146" i="1" s="1"/>
  <c r="D93" i="3"/>
  <c r="D71" i="3"/>
  <c r="D78" i="3"/>
  <c r="AJ155" i="1" s="1"/>
  <c r="AK155" i="1" s="1"/>
  <c r="D72" i="3"/>
  <c r="AJ148" i="1" s="1"/>
  <c r="AK148" i="1" s="1"/>
  <c r="D86" i="3"/>
  <c r="D88" i="3"/>
  <c r="AJ140" i="1" s="1"/>
  <c r="AK140" i="1" s="1"/>
  <c r="D79" i="3"/>
  <c r="AJ156" i="1" s="1"/>
  <c r="AK156" i="1" s="1"/>
  <c r="D62" i="3"/>
  <c r="AJ137" i="1" s="1"/>
  <c r="AK137" i="1" s="1"/>
  <c r="D80" i="3"/>
  <c r="AJ172" i="1" s="1"/>
  <c r="D65" i="3"/>
  <c r="AJ163" i="1" s="1"/>
  <c r="AK163" i="1" s="1"/>
  <c r="D66" i="3"/>
  <c r="AJ164" i="1" s="1"/>
  <c r="AK164" i="1" s="1"/>
  <c r="D58" i="3"/>
  <c r="AJ132" i="1" s="1"/>
  <c r="D55" i="3"/>
  <c r="D97" i="3"/>
  <c r="D68" i="3"/>
  <c r="AJ144" i="1" s="1"/>
  <c r="D84" i="3"/>
  <c r="AJ159" i="1" s="1"/>
  <c r="AK159" i="1" s="1"/>
  <c r="D57" i="3"/>
  <c r="AJ131" i="1" s="1"/>
  <c r="AK131" i="1" s="1"/>
  <c r="D60" i="3"/>
  <c r="AJ135" i="1" s="1"/>
  <c r="AK135" i="1" s="1"/>
  <c r="D90" i="3"/>
  <c r="AJ139" i="1" s="1"/>
  <c r="AK139" i="1" s="1"/>
  <c r="D59" i="3"/>
  <c r="D69" i="3"/>
  <c r="AJ145" i="1" s="1"/>
  <c r="D54" i="3"/>
  <c r="D61" i="3"/>
  <c r="D96" i="3"/>
  <c r="AJ176" i="1" s="1"/>
  <c r="AK176" i="1" s="1"/>
  <c r="D91" i="3"/>
  <c r="AJ167" i="1" s="1"/>
  <c r="AK167" i="1" s="1"/>
  <c r="D85" i="3"/>
  <c r="AJ160" i="1" s="1"/>
  <c r="AK160" i="1" s="1"/>
  <c r="D67" i="3"/>
  <c r="D63" i="3"/>
  <c r="AJ138" i="1" s="1"/>
  <c r="AK138" i="1" s="1"/>
  <c r="D64" i="3"/>
  <c r="AJ162" i="1" s="1"/>
  <c r="AK162" i="1" s="1"/>
  <c r="D76" i="3"/>
  <c r="HW9" i="4" s="1"/>
  <c r="IM9" i="4" s="1"/>
  <c r="JI9" i="4" s="1"/>
  <c r="IV16" i="4" s="1"/>
  <c r="IQ16" i="4" s="1"/>
  <c r="IH16" i="4" s="1"/>
  <c r="HX16" i="4" s="1"/>
  <c r="IR16" i="4" s="1"/>
  <c r="IS16" i="4" s="1"/>
  <c r="IC16" i="4" s="1"/>
  <c r="JG16" i="4" s="1"/>
  <c r="J31" i="1"/>
  <c r="JH9" i="4" s="1"/>
  <c r="IG9" i="4" s="1"/>
  <c r="JF16" i="4" s="1"/>
  <c r="JF21" i="4" s="1"/>
  <c r="BZ85" i="1" s="1"/>
  <c r="BZ102" i="1" s="1"/>
  <c r="IE9" i="4" s="1"/>
  <c r="AK53" i="1"/>
  <c r="M31" i="1"/>
  <c r="IN16" i="4" s="1"/>
  <c r="IH9" i="4" s="1"/>
  <c r="HV9" i="4" s="1"/>
  <c r="AJ17" i="1"/>
  <c r="AK29" i="1"/>
  <c r="JA16" i="4" s="1"/>
  <c r="AK59" i="1"/>
  <c r="JG9" i="4" s="1"/>
  <c r="JC9" i="4" s="1"/>
  <c r="AM28" i="1"/>
  <c r="AJ47" i="1"/>
  <c r="IO9" i="4" s="1"/>
  <c r="JD9" i="4" s="1"/>
  <c r="IG16" i="4" s="1"/>
  <c r="HT9" i="4" s="1"/>
  <c r="HV16" i="4" s="1"/>
  <c r="IW16" i="4" s="1"/>
  <c r="II16" i="4" s="1"/>
  <c r="JF9" i="4" s="1"/>
  <c r="J33" i="1"/>
  <c r="JE9" i="4" s="1"/>
  <c r="IA16" i="4" s="1"/>
  <c r="JA9" i="4" s="1"/>
  <c r="IU16" i="4" s="1"/>
  <c r="HP16" i="4" s="1"/>
  <c r="BJ22" i="1"/>
  <c r="AJ55" i="1"/>
  <c r="BX135" i="1"/>
  <c r="BY135" i="1" s="1"/>
  <c r="IX16" i="4" s="1"/>
  <c r="IW9" i="4" s="1"/>
  <c r="IM16" i="4" s="1"/>
  <c r="IM21" i="4" s="1"/>
  <c r="BG85" i="1" s="1"/>
  <c r="ID16" i="4" s="1"/>
  <c r="I29" i="1"/>
  <c r="HQ9" i="4" s="1"/>
  <c r="HP9" i="4" s="1"/>
  <c r="JB7" i="4" s="1"/>
  <c r="IL9" i="4" s="1"/>
  <c r="AM44" i="1"/>
  <c r="H44" i="1"/>
  <c r="IQ9" i="4" s="1"/>
  <c r="IV9" i="4" s="1"/>
  <c r="IV21" i="4" s="1"/>
  <c r="BP85" i="1" s="1"/>
  <c r="IA9" i="4" s="1"/>
  <c r="HS16" i="4" s="1"/>
  <c r="IK16" i="4" s="1"/>
  <c r="AL54" i="1"/>
  <c r="BJ21" i="1"/>
  <c r="AL32" i="1"/>
  <c r="AL28" i="1"/>
  <c r="AL53" i="1"/>
  <c r="AM33" i="1"/>
  <c r="BJ31" i="1"/>
  <c r="AK43" i="1"/>
  <c r="AL21" i="1"/>
  <c r="C44" i="1"/>
  <c r="J40" i="1"/>
  <c r="J207" i="1" s="1"/>
  <c r="BX167" i="1"/>
  <c r="BY167" i="1" s="1"/>
  <c r="Q21" i="1"/>
  <c r="BY81" i="1"/>
  <c r="Q40" i="1"/>
  <c r="Q207" i="1" s="1"/>
  <c r="G31" i="1"/>
  <c r="G21" i="1"/>
  <c r="Q28" i="1"/>
  <c r="R31" i="1"/>
  <c r="G43" i="1"/>
  <c r="I31" i="1"/>
  <c r="N23" i="1"/>
  <c r="T21" i="1"/>
  <c r="R44" i="1"/>
  <c r="E172" i="1"/>
  <c r="F29" i="1"/>
  <c r="AM43" i="1"/>
  <c r="AM30" i="1"/>
  <c r="AL22" i="1"/>
  <c r="AK17" i="1"/>
  <c r="D135" i="1"/>
  <c r="BX172" i="1"/>
  <c r="E53" i="1"/>
  <c r="BX145" i="1"/>
  <c r="O44" i="1"/>
  <c r="L17" i="1"/>
  <c r="W47" i="1"/>
  <c r="L53" i="1"/>
  <c r="F44" i="1"/>
  <c r="P40" i="1"/>
  <c r="P207" i="1" s="1"/>
  <c r="F53" i="1"/>
  <c r="M59" i="1"/>
  <c r="Q32" i="1"/>
  <c r="P28" i="1"/>
  <c r="Q55" i="1"/>
  <c r="Q54" i="1"/>
  <c r="U59" i="1"/>
  <c r="P173" i="1"/>
  <c r="L32" i="1"/>
  <c r="W40" i="1"/>
  <c r="U33" i="1"/>
  <c r="J17" i="1"/>
  <c r="I44" i="1"/>
  <c r="O43" i="1"/>
  <c r="M40" i="1"/>
  <c r="M207" i="1" s="1"/>
  <c r="D30" i="1"/>
  <c r="K23" i="1"/>
  <c r="O17" i="1"/>
  <c r="F43" i="1"/>
  <c r="N28" i="1"/>
  <c r="V30" i="1"/>
  <c r="I43" i="1"/>
  <c r="S21" i="1"/>
  <c r="L21" i="1"/>
  <c r="D23" i="1"/>
  <c r="V31" i="1"/>
  <c r="O59" i="1"/>
  <c r="H29" i="1"/>
  <c r="V47" i="1"/>
  <c r="V59" i="1"/>
  <c r="V29" i="1"/>
  <c r="W21" i="1"/>
  <c r="T23" i="1"/>
  <c r="IE16" i="4" s="1"/>
  <c r="IO16" i="4" s="1"/>
  <c r="JB16" i="4" s="1"/>
  <c r="IS9" i="4" s="1"/>
  <c r="AL40" i="1"/>
  <c r="AL207" i="1" s="1"/>
  <c r="AM17" i="1"/>
  <c r="BX31" i="1"/>
  <c r="AL23" i="1"/>
  <c r="BX32" i="1"/>
  <c r="AJ32" i="1"/>
  <c r="BX22" i="1"/>
  <c r="U31" i="1"/>
  <c r="H21" i="1"/>
  <c r="P168" i="1"/>
  <c r="I21" i="1"/>
  <c r="I53" i="1"/>
  <c r="K16" i="1"/>
  <c r="K244" i="1" s="1"/>
  <c r="M17" i="1"/>
  <c r="T32" i="1"/>
  <c r="H30" i="1"/>
  <c r="N44" i="1"/>
  <c r="K54" i="1"/>
  <c r="P47" i="1"/>
  <c r="J53" i="1"/>
  <c r="N16" i="1"/>
  <c r="N244" i="1" s="1"/>
  <c r="C30" i="1"/>
  <c r="HV7" i="4" s="1"/>
  <c r="II9" i="4" s="1"/>
  <c r="IY9" i="4" s="1"/>
  <c r="IT16" i="4" s="1"/>
  <c r="HW16" i="4" s="1"/>
  <c r="HW21" i="4" s="1"/>
  <c r="AQ85" i="1" s="1"/>
  <c r="IZ16" i="4" s="1"/>
  <c r="HZ9" i="4" s="1"/>
  <c r="IJ16" i="4" s="1"/>
  <c r="BX54" i="1"/>
  <c r="BX21" i="1"/>
  <c r="AK21" i="1"/>
  <c r="BJ32" i="1"/>
  <c r="AL17" i="1"/>
  <c r="P166" i="1"/>
  <c r="J28" i="1"/>
  <c r="Q17" i="1"/>
  <c r="D29" i="1"/>
  <c r="N43" i="1"/>
  <c r="E30" i="1"/>
  <c r="I17" i="1"/>
  <c r="S55" i="1"/>
  <c r="E59" i="1"/>
  <c r="T44" i="1"/>
  <c r="N30" i="1"/>
  <c r="R23" i="1"/>
  <c r="L33" i="1"/>
  <c r="H28" i="1"/>
  <c r="HX8" i="4" s="1"/>
  <c r="BJ23" i="1"/>
  <c r="BX47" i="1"/>
  <c r="AK23" i="1"/>
  <c r="G59" i="1"/>
  <c r="Q30" i="1"/>
  <c r="B28" i="1"/>
  <c r="E55" i="1"/>
  <c r="S28" i="1"/>
  <c r="S10" i="1" s="1"/>
  <c r="S30" i="1"/>
  <c r="Q43" i="1"/>
  <c r="C55" i="1"/>
  <c r="N31" i="1"/>
  <c r="J54" i="1"/>
  <c r="N53" i="1"/>
  <c r="T40" i="1"/>
  <c r="T207" i="1" s="1"/>
  <c r="JI16" i="4" s="1"/>
  <c r="JI21" i="4" s="1"/>
  <c r="CC85" i="1" s="1"/>
  <c r="CC93" i="1" s="1"/>
  <c r="IC9" i="4" s="1"/>
  <c r="IU9" i="4" s="1"/>
  <c r="HY9" i="4" s="1"/>
  <c r="BX28" i="1"/>
  <c r="BX10" i="1" s="1"/>
  <c r="AJ54" i="1"/>
  <c r="BJ28" i="1"/>
  <c r="BJ10" i="1" s="1"/>
  <c r="AK47" i="1"/>
  <c r="AM32" i="1"/>
  <c r="AJ23" i="1"/>
  <c r="BJ33" i="1"/>
  <c r="AK55" i="1"/>
  <c r="AK44" i="1"/>
  <c r="W23" i="1"/>
  <c r="C28" i="1"/>
  <c r="L47" i="1"/>
  <c r="D17" i="1"/>
  <c r="U21" i="1"/>
  <c r="S16" i="1"/>
  <c r="S244" i="1" s="1"/>
  <c r="O53" i="1"/>
  <c r="N21" i="1"/>
  <c r="F28" i="1"/>
  <c r="K30" i="1"/>
  <c r="S47" i="1"/>
  <c r="T47" i="1"/>
  <c r="K29" i="1"/>
  <c r="M21" i="1"/>
  <c r="JC16" i="4" s="1"/>
  <c r="HZ16" i="4" s="1"/>
  <c r="HQ16" i="4" s="1"/>
  <c r="HQ21" i="4" s="1"/>
  <c r="AK85" i="1" s="1"/>
  <c r="HU9" i="4" s="1"/>
  <c r="IX9" i="4" s="1"/>
  <c r="HR9" i="4" s="1"/>
  <c r="BX43" i="1"/>
  <c r="AK22" i="1"/>
  <c r="AM21" i="1"/>
  <c r="AL16" i="1"/>
  <c r="AM23" i="1"/>
  <c r="K40" i="1"/>
  <c r="K207" i="1" s="1"/>
  <c r="W55" i="1"/>
  <c r="C21" i="1"/>
  <c r="M16" i="1"/>
  <c r="M244" i="1" s="1"/>
  <c r="G40" i="1"/>
  <c r="G207" i="1" s="1"/>
  <c r="O32" i="1"/>
  <c r="H59" i="1"/>
  <c r="I30" i="1"/>
  <c r="M28" i="1"/>
  <c r="M54" i="1"/>
  <c r="R29" i="1"/>
  <c r="F54" i="1"/>
  <c r="E16" i="1"/>
  <c r="K43" i="1"/>
  <c r="IF9" i="4" s="1"/>
  <c r="HY16" i="4" s="1"/>
  <c r="HY21" i="4" s="1"/>
  <c r="AS85" i="1" s="1"/>
  <c r="IY16" i="4" s="1"/>
  <c r="IY21" i="4" s="1"/>
  <c r="BS85" i="1" s="1"/>
  <c r="HU16" i="4" s="1"/>
  <c r="IP9" i="4" s="1"/>
  <c r="IA8" i="4" s="1"/>
  <c r="IP16" i="4" s="1"/>
  <c r="JD16" i="4" s="1"/>
  <c r="JD21" i="4" s="1"/>
  <c r="BX85" i="1" s="1"/>
  <c r="AJ44" i="1"/>
  <c r="AL44" i="1"/>
  <c r="BX53" i="1"/>
  <c r="U30" i="1"/>
  <c r="F21" i="1"/>
  <c r="F40" i="1"/>
  <c r="F207" i="1" s="1"/>
  <c r="W145" i="1"/>
  <c r="K53" i="1"/>
  <c r="C17" i="1"/>
  <c r="J29" i="1"/>
  <c r="S31" i="1"/>
  <c r="J32" i="1"/>
  <c r="N29" i="1"/>
  <c r="C53" i="1"/>
  <c r="HS9" i="4" s="1"/>
  <c r="IZ9" i="4" s="1"/>
  <c r="HR16" i="4" s="1"/>
  <c r="IL16" i="4" s="1"/>
  <c r="IL21" i="4" s="1"/>
  <c r="BF85" i="1" s="1"/>
  <c r="IR9" i="4" s="1"/>
  <c r="IK9" i="4" s="1"/>
  <c r="IN9" i="4" s="1"/>
  <c r="AM47" i="1"/>
  <c r="BX33" i="1"/>
  <c r="AM40" i="1"/>
  <c r="AJ59" i="1"/>
  <c r="AK54" i="1"/>
  <c r="AL31" i="1"/>
  <c r="B47" i="1"/>
  <c r="G54" i="1"/>
  <c r="B43" i="1"/>
  <c r="B33" i="1"/>
  <c r="C54" i="1"/>
  <c r="F59" i="1"/>
  <c r="O16" i="1"/>
  <c r="M30" i="1"/>
  <c r="U43" i="1"/>
  <c r="J43" i="1"/>
  <c r="S23" i="1"/>
  <c r="B16" i="1"/>
  <c r="B18" i="1" s="1"/>
  <c r="P16" i="1"/>
  <c r="IJ9" i="4" s="1"/>
  <c r="IF16" i="4" s="1"/>
  <c r="IF21" i="4" s="1"/>
  <c r="AZ85" i="1" s="1"/>
  <c r="IB16" i="4" s="1"/>
  <c r="JE16" i="4" s="1"/>
  <c r="AL55" i="1"/>
  <c r="BX40" i="1"/>
  <c r="BX207" i="1" s="1"/>
  <c r="AJ16" i="1"/>
  <c r="AJ244" i="1" s="1"/>
  <c r="AM31" i="1"/>
  <c r="AK33" i="1"/>
  <c r="BX177" i="1"/>
  <c r="BY177" i="1" s="1"/>
  <c r="T54" i="1"/>
  <c r="BX81" i="1"/>
  <c r="Q29" i="1"/>
  <c r="D43" i="1"/>
  <c r="K33" i="1"/>
  <c r="R30" i="1"/>
  <c r="G16" i="1"/>
  <c r="G244" i="1" s="1"/>
  <c r="V23" i="1"/>
  <c r="P140" i="1"/>
  <c r="T55" i="1"/>
  <c r="W30" i="1"/>
  <c r="S59" i="1"/>
  <c r="N17" i="1"/>
  <c r="J21" i="1"/>
  <c r="P33" i="1"/>
  <c r="T30" i="1"/>
  <c r="E32" i="1"/>
  <c r="L28" i="1"/>
  <c r="E43" i="1"/>
  <c r="BX23" i="1"/>
  <c r="AJ22" i="1"/>
  <c r="AJ28" i="1"/>
  <c r="F33" i="1"/>
  <c r="B23" i="1"/>
  <c r="L16" i="1"/>
  <c r="E28" i="1"/>
  <c r="D40" i="1"/>
  <c r="D207" i="1" s="1"/>
  <c r="BX165" i="1"/>
  <c r="BY165" i="1" s="1"/>
  <c r="D33" i="1"/>
  <c r="P17" i="1"/>
  <c r="L29" i="1"/>
  <c r="H17" i="1"/>
  <c r="V17" i="1"/>
  <c r="V18" i="1" s="1"/>
  <c r="C33" i="1"/>
  <c r="U32" i="1"/>
  <c r="P55" i="1"/>
  <c r="H47" i="1"/>
  <c r="R16" i="1"/>
  <c r="R244" i="1" s="1"/>
  <c r="S33" i="1"/>
  <c r="F47" i="1"/>
  <c r="C59" i="1"/>
  <c r="M29" i="1"/>
  <c r="C31" i="1"/>
  <c r="V53" i="1"/>
  <c r="O28" i="1"/>
  <c r="G176" i="1"/>
  <c r="T59" i="1"/>
  <c r="O31" i="1"/>
  <c r="V32" i="1"/>
  <c r="N59" i="1"/>
  <c r="F30" i="1"/>
  <c r="T31" i="1"/>
  <c r="F16" i="1"/>
  <c r="D54" i="1"/>
  <c r="W17" i="1"/>
  <c r="W18" i="1" s="1"/>
  <c r="W7" i="1" s="1"/>
  <c r="BJ29" i="1"/>
  <c r="BX157" i="1"/>
  <c r="G44" i="1"/>
  <c r="B21" i="1"/>
  <c r="O23" i="1"/>
  <c r="BX173" i="1"/>
  <c r="J30" i="1"/>
  <c r="G28" i="1"/>
  <c r="U29" i="1"/>
  <c r="O33" i="1"/>
  <c r="BX131" i="1"/>
  <c r="BY131" i="1" s="1"/>
  <c r="B17" i="1"/>
  <c r="P53" i="1"/>
  <c r="V28" i="1"/>
  <c r="V10" i="1" s="1"/>
  <c r="C32" i="1"/>
  <c r="D31" i="1"/>
  <c r="L31" i="1"/>
  <c r="R17" i="1"/>
  <c r="O47" i="1"/>
  <c r="G33" i="1"/>
  <c r="G17" i="1"/>
  <c r="S32" i="1"/>
  <c r="O54" i="1"/>
  <c r="V55" i="1"/>
  <c r="V21" i="1"/>
  <c r="T17" i="1"/>
  <c r="G166" i="1"/>
  <c r="C23" i="1"/>
  <c r="G32" i="1"/>
  <c r="H31" i="1"/>
  <c r="P23" i="1"/>
  <c r="R32" i="1"/>
  <c r="E29" i="1"/>
  <c r="P54" i="1"/>
  <c r="T33" i="1"/>
  <c r="I54" i="1"/>
  <c r="F55" i="1"/>
  <c r="M33" i="1"/>
  <c r="T43" i="1"/>
  <c r="T28" i="1"/>
  <c r="T10" i="1" s="1"/>
  <c r="P30" i="1"/>
  <c r="H43" i="1"/>
  <c r="U55" i="1"/>
  <c r="JB9" i="4" s="1"/>
  <c r="ID9" i="4" s="1"/>
  <c r="HT16" i="4" s="1"/>
  <c r="AK32" i="1"/>
  <c r="BX16" i="1"/>
  <c r="CA106" i="1" s="1"/>
  <c r="CA107" i="1" s="1"/>
  <c r="BX44" i="1"/>
  <c r="BX265" i="1" s="1"/>
  <c r="AJ30" i="1"/>
  <c r="AK31" i="1"/>
  <c r="AL47" i="1"/>
  <c r="BX176" i="1"/>
  <c r="BY176" i="1" s="1"/>
  <c r="U44" i="1"/>
  <c r="U265" i="1" s="1"/>
  <c r="S29" i="1"/>
  <c r="B31" i="1"/>
  <c r="BX159" i="1"/>
  <c r="BY159" i="1" s="1"/>
  <c r="W53" i="1"/>
  <c r="BX144" i="1"/>
  <c r="BX82" i="1"/>
  <c r="BX139" i="1"/>
  <c r="BY139" i="1" s="1"/>
  <c r="K21" i="1"/>
  <c r="BX166" i="1"/>
  <c r="BX196" i="1" s="1"/>
  <c r="BY196" i="1" s="1"/>
  <c r="B44" i="1"/>
  <c r="B59" i="1"/>
  <c r="V54" i="1"/>
  <c r="L23" i="1"/>
  <c r="K31" i="1"/>
  <c r="I23" i="1"/>
  <c r="D55" i="1"/>
  <c r="S17" i="1"/>
  <c r="N47" i="1"/>
  <c r="C29" i="1"/>
  <c r="D28" i="1"/>
  <c r="J55" i="1"/>
  <c r="B29" i="1"/>
  <c r="Q166" i="1"/>
  <c r="W43" i="1"/>
  <c r="C137" i="1"/>
  <c r="U23" i="1"/>
  <c r="T16" i="1"/>
  <c r="T244" i="1" s="1"/>
  <c r="W130" i="1"/>
  <c r="R59" i="1"/>
  <c r="IZ14" i="4" s="1"/>
  <c r="AJ31" i="1"/>
  <c r="AJ33" i="1"/>
  <c r="BX55" i="1"/>
  <c r="BX29" i="1"/>
  <c r="BX59" i="1"/>
  <c r="AJ53" i="1"/>
  <c r="AK40" i="1"/>
  <c r="AK207" i="1" s="1"/>
  <c r="AL29" i="1"/>
  <c r="BX155" i="1"/>
  <c r="BY155" i="1" s="1"/>
  <c r="BX153" i="1"/>
  <c r="BY153" i="1" s="1"/>
  <c r="BZ215" i="1" s="1"/>
  <c r="I47" i="1"/>
  <c r="E31" i="1"/>
  <c r="B32" i="1"/>
  <c r="BX163" i="1"/>
  <c r="BY163" i="1" s="1"/>
  <c r="I28" i="1"/>
  <c r="S53" i="1"/>
  <c r="BX148" i="1"/>
  <c r="BY148" i="1" s="1"/>
  <c r="BX140" i="1"/>
  <c r="BY140" i="1" s="1"/>
  <c r="BX130" i="1"/>
  <c r="BY130" i="1" s="1"/>
  <c r="G53" i="1"/>
  <c r="K47" i="1"/>
  <c r="J16" i="1"/>
  <c r="J266" i="1" s="1"/>
  <c r="B53" i="1"/>
  <c r="E54" i="1"/>
  <c r="L55" i="1"/>
  <c r="Q31" i="1"/>
  <c r="S40" i="1"/>
  <c r="E44" i="1"/>
  <c r="W31" i="1"/>
  <c r="I16" i="1"/>
  <c r="I244" i="1" s="1"/>
  <c r="E21" i="1"/>
  <c r="H53" i="1"/>
  <c r="U54" i="1"/>
  <c r="Q16" i="1"/>
  <c r="Q33" i="1"/>
  <c r="J23" i="1"/>
  <c r="E40" i="1"/>
  <c r="E207" i="1" s="1"/>
  <c r="O40" i="1"/>
  <c r="O207" i="1" s="1"/>
  <c r="U17" i="1"/>
  <c r="U18" i="1" s="1"/>
  <c r="G55" i="1"/>
  <c r="W28" i="1"/>
  <c r="W10" i="1" s="1"/>
  <c r="R40" i="1"/>
  <c r="I33" i="1"/>
  <c r="H40" i="1"/>
  <c r="H207" i="1" s="1"/>
  <c r="W54" i="1"/>
  <c r="JH16" i="4" s="1"/>
  <c r="JH21" i="4" s="1"/>
  <c r="CB85" i="1" s="1"/>
  <c r="HX9" i="4" s="1"/>
  <c r="HX21" i="4" s="1"/>
  <c r="AR85" i="1" s="1"/>
  <c r="BJ16" i="1"/>
  <c r="BJ244" i="1" s="1"/>
  <c r="AL43" i="1"/>
  <c r="BX17" i="1"/>
  <c r="AJ43" i="1"/>
  <c r="AK16" i="1"/>
  <c r="AJ29" i="1"/>
  <c r="BX30" i="1"/>
  <c r="AL33" i="1"/>
  <c r="BX164" i="1"/>
  <c r="BY164" i="1" s="1"/>
  <c r="R21" i="1"/>
  <c r="U40" i="1"/>
  <c r="B54" i="1"/>
  <c r="F23" i="1"/>
  <c r="C47" i="1"/>
  <c r="BX160" i="1"/>
  <c r="BY160" i="1" s="1"/>
  <c r="S44" i="1"/>
  <c r="BX168" i="1"/>
  <c r="BY168" i="1" s="1"/>
  <c r="BX162" i="1"/>
  <c r="BY162" i="1" s="1"/>
  <c r="L43" i="1"/>
  <c r="K44" i="1"/>
  <c r="K28" i="1"/>
  <c r="D16" i="1"/>
  <c r="J132" i="1"/>
  <c r="D21" i="1"/>
  <c r="P43" i="1"/>
  <c r="V40" i="1"/>
  <c r="V207" i="1" s="1"/>
  <c r="E23" i="1"/>
  <c r="W33" i="1"/>
  <c r="W44" i="1"/>
  <c r="W265" i="1" s="1"/>
  <c r="E17" i="1"/>
  <c r="H55" i="1"/>
  <c r="R47" i="1"/>
  <c r="L40" i="1"/>
  <c r="V33" i="1"/>
  <c r="L44" i="1"/>
  <c r="D47" i="1"/>
  <c r="Q53" i="1"/>
  <c r="G30" i="1"/>
  <c r="V43" i="1"/>
  <c r="L30" i="1"/>
  <c r="W32" i="1"/>
  <c r="K59" i="1"/>
  <c r="Q23" i="1"/>
  <c r="Q44" i="1"/>
  <c r="R54" i="1"/>
  <c r="Q59" i="1"/>
  <c r="F31" i="1"/>
  <c r="T29" i="1"/>
  <c r="F17" i="1"/>
  <c r="F18" i="1" s="1"/>
  <c r="R53" i="1"/>
  <c r="U53" i="1"/>
  <c r="IT9" i="4" s="1"/>
  <c r="AJ40" i="1"/>
  <c r="AJ207" i="1" s="1"/>
  <c r="AL30" i="1"/>
  <c r="AM22" i="1"/>
  <c r="AK28" i="1"/>
  <c r="AM16" i="1"/>
  <c r="AM244" i="1" s="1"/>
  <c r="AJ21" i="1"/>
  <c r="AK30" i="1"/>
  <c r="AL59" i="1"/>
  <c r="AM29" i="1"/>
  <c r="F32" i="1"/>
  <c r="BX158" i="1"/>
  <c r="T53" i="1"/>
  <c r="H32" i="1"/>
  <c r="M53" i="1"/>
  <c r="W59" i="1"/>
  <c r="BX156" i="1"/>
  <c r="BY156" i="1" s="1"/>
  <c r="BX132" i="1"/>
  <c r="BY132" i="1" s="1"/>
  <c r="BX150" i="1"/>
  <c r="BY150" i="1" s="1"/>
  <c r="H16" i="1"/>
  <c r="H244" i="1" s="1"/>
  <c r="M32" i="1"/>
  <c r="BL82" i="1"/>
  <c r="BX146" i="1"/>
  <c r="R33" i="1"/>
  <c r="P44" i="1"/>
  <c r="I59" i="1"/>
  <c r="C40" i="1"/>
  <c r="C207" i="1" s="1"/>
  <c r="P32" i="1"/>
  <c r="M47" i="1"/>
  <c r="D44" i="1"/>
  <c r="O21" i="1"/>
  <c r="L59" i="1"/>
  <c r="O30" i="1"/>
  <c r="C43" i="1"/>
  <c r="J59" i="1"/>
  <c r="N33" i="1"/>
  <c r="B40" i="1"/>
  <c r="B30" i="1"/>
  <c r="L54" i="1"/>
  <c r="P29" i="1"/>
  <c r="N54" i="1"/>
  <c r="H33" i="1"/>
  <c r="G47" i="1"/>
  <c r="K17" i="1"/>
  <c r="P59" i="1"/>
  <c r="I32" i="1"/>
  <c r="D53" i="1"/>
  <c r="K55" i="1"/>
  <c r="N32" i="1"/>
  <c r="G29" i="1"/>
  <c r="E33" i="1"/>
  <c r="E47" i="1"/>
  <c r="Q47" i="1"/>
  <c r="D32" i="1"/>
  <c r="BX138" i="1"/>
  <c r="BY138" i="1" s="1"/>
  <c r="R55" i="1"/>
  <c r="R28" i="1"/>
  <c r="R10" i="1" s="1"/>
  <c r="U47" i="1"/>
  <c r="M23" i="1"/>
  <c r="I55" i="1"/>
  <c r="BX137" i="1"/>
  <c r="BY137" i="1" s="1"/>
  <c r="S43" i="1"/>
  <c r="M43" i="1"/>
  <c r="B55" i="1"/>
  <c r="W29" i="1"/>
  <c r="H54" i="1"/>
  <c r="O55" i="1"/>
  <c r="P31" i="1"/>
  <c r="N55" i="1"/>
  <c r="J47" i="1"/>
  <c r="O29" i="1"/>
  <c r="J44" i="1"/>
  <c r="D59" i="1"/>
  <c r="R43" i="1"/>
  <c r="U28" i="1"/>
  <c r="U10" i="1" s="1"/>
  <c r="H23" i="1"/>
  <c r="S54" i="1"/>
  <c r="P21" i="1"/>
  <c r="M44" i="1"/>
  <c r="M55" i="1"/>
  <c r="N40" i="1"/>
  <c r="N207" i="1" s="1"/>
  <c r="K32" i="1"/>
  <c r="I40" i="1"/>
  <c r="I207" i="1" s="1"/>
  <c r="G23" i="1"/>
  <c r="C16" i="1"/>
  <c r="V44" i="1"/>
  <c r="V265" i="1" s="1"/>
  <c r="AL168" i="1"/>
  <c r="AM168" i="1" s="1"/>
  <c r="AL82" i="1"/>
  <c r="AL158" i="1"/>
  <c r="AL163" i="1"/>
  <c r="AM163" i="1" s="1"/>
  <c r="AL155" i="1"/>
  <c r="AM155" i="1" s="1"/>
  <c r="AL144" i="1"/>
  <c r="AL138" i="1"/>
  <c r="AM138" i="1" s="1"/>
  <c r="AL177" i="1"/>
  <c r="AM177" i="1" s="1"/>
  <c r="AL162" i="1"/>
  <c r="AM162" i="1" s="1"/>
  <c r="AL132" i="1"/>
  <c r="AL148" i="1"/>
  <c r="AM148" i="1" s="1"/>
  <c r="AL146" i="1"/>
  <c r="AL176" i="1"/>
  <c r="AM176" i="1" s="1"/>
  <c r="AL164" i="1"/>
  <c r="AM164" i="1" s="1"/>
  <c r="AL135" i="1"/>
  <c r="AM135" i="1" s="1"/>
  <c r="AL166" i="1"/>
  <c r="AL159" i="1"/>
  <c r="AM159" i="1" s="1"/>
  <c r="AL165" i="1"/>
  <c r="AM165" i="1" s="1"/>
  <c r="AL172" i="1"/>
  <c r="AL157" i="1"/>
  <c r="AL167" i="1"/>
  <c r="AM167" i="1" s="1"/>
  <c r="AL130" i="1"/>
  <c r="AM130" i="1" s="1"/>
  <c r="AL139" i="1"/>
  <c r="AM139" i="1" s="1"/>
  <c r="AL131" i="1"/>
  <c r="AM131" i="1" s="1"/>
  <c r="AL137" i="1"/>
  <c r="AM137" i="1" s="1"/>
  <c r="AL145" i="1"/>
  <c r="AL173" i="1"/>
  <c r="AL140" i="1"/>
  <c r="AM140" i="1" s="1"/>
  <c r="AL81" i="1"/>
  <c r="AL160" i="1"/>
  <c r="AM160" i="1" s="1"/>
  <c r="AL153" i="1"/>
  <c r="AM153" i="1" s="1"/>
  <c r="AM215" i="1" s="1"/>
  <c r="AL150" i="1"/>
  <c r="AM150" i="1" s="1"/>
  <c r="AL156" i="1"/>
  <c r="IU21" i="4"/>
  <c r="BO85" i="1" s="1"/>
  <c r="IC14" i="4"/>
  <c r="IF14" i="4"/>
  <c r="IW21" i="4"/>
  <c r="BQ85" i="1" s="1"/>
  <c r="JI14" i="4"/>
  <c r="IL8" i="4"/>
  <c r="IG7" i="4"/>
  <c r="HP21" i="4"/>
  <c r="AJ85" i="1" s="1"/>
  <c r="IS15" i="4"/>
  <c r="IG21" i="4"/>
  <c r="BA85" i="1" s="1"/>
  <c r="IX15" i="4"/>
  <c r="HZ14" i="4"/>
  <c r="IA21" i="4"/>
  <c r="AU85" i="1" s="1"/>
  <c r="IO15" i="4"/>
  <c r="HX7" i="4"/>
  <c r="JA21" i="4"/>
  <c r="BU85" i="1" s="1"/>
  <c r="IW8" i="4"/>
  <c r="IA14" i="4"/>
  <c r="JA7" i="4"/>
  <c r="IE7" i="4"/>
  <c r="JI15" i="4"/>
  <c r="IQ8" i="4"/>
  <c r="HU8" i="4"/>
  <c r="IW7" i="4"/>
  <c r="AL244" i="1"/>
  <c r="IP8" i="4"/>
  <c r="JA14" i="4"/>
  <c r="IR7" i="4"/>
  <c r="IL14" i="4"/>
  <c r="IK15" i="4"/>
  <c r="IU14" i="4"/>
  <c r="JB15" i="4"/>
  <c r="HY14" i="4"/>
  <c r="IB14" i="4"/>
  <c r="IN14" i="4"/>
  <c r="IE8" i="4"/>
  <c r="IX21" i="4"/>
  <c r="BR85" i="1" s="1"/>
  <c r="HZ15" i="4"/>
  <c r="IF15" i="4"/>
  <c r="IK7" i="4"/>
  <c r="IA15" i="4"/>
  <c r="IG14" i="4"/>
  <c r="HY15" i="4"/>
  <c r="IS14" i="4"/>
  <c r="HS21" i="4"/>
  <c r="AM85" i="1" s="1"/>
  <c r="IV7" i="4"/>
  <c r="W201" i="1"/>
  <c r="X19" i="1"/>
  <c r="W19" i="1"/>
  <c r="W266" i="1"/>
  <c r="W207" i="1"/>
  <c r="X201" i="1"/>
  <c r="JC15" i="4"/>
  <c r="IA7" i="4"/>
  <c r="JC21" i="4"/>
  <c r="BW85" i="1" s="1"/>
  <c r="ID7" i="4"/>
  <c r="II8" i="4"/>
  <c r="B34" i="1"/>
  <c r="JH8" i="4"/>
  <c r="IC7" i="4"/>
  <c r="HQ7" i="4"/>
  <c r="W24" i="1"/>
  <c r="W9" i="1" s="1"/>
  <c r="JF8" i="4"/>
  <c r="IX8" i="4"/>
  <c r="JA8" i="4"/>
  <c r="IT8" i="4"/>
  <c r="IM8" i="4"/>
  <c r="JD15" i="4"/>
  <c r="O244" i="1"/>
  <c r="L265" i="1"/>
  <c r="T266" i="1"/>
  <c r="W106" i="1"/>
  <c r="O266" i="1"/>
  <c r="HR14" i="4"/>
  <c r="IH7" i="4"/>
  <c r="JD8" i="4"/>
  <c r="IK14" i="4"/>
  <c r="JF14" i="4"/>
  <c r="HV8" i="4"/>
  <c r="HW15" i="4"/>
  <c r="U106" i="1"/>
  <c r="IM15" i="4"/>
  <c r="E244" i="1"/>
  <c r="U266" i="1"/>
  <c r="U207" i="1"/>
  <c r="HS8" i="4"/>
  <c r="JH14" i="4"/>
  <c r="JB14" i="4"/>
  <c r="IR8" i="4"/>
  <c r="D244" i="1"/>
  <c r="D18" i="1"/>
  <c r="CP85" i="1"/>
  <c r="CN71" i="1"/>
  <c r="CM73" i="1"/>
  <c r="BJ150" i="1" l="1"/>
  <c r="BK150" i="1" s="1"/>
  <c r="AJ196" i="1"/>
  <c r="AJ192" i="1"/>
  <c r="G18" i="1"/>
  <c r="V24" i="1"/>
  <c r="AJ45" i="1"/>
  <c r="AK18" i="1"/>
  <c r="IT21" i="4"/>
  <c r="BN85" i="1" s="1"/>
  <c r="HX15" i="4" s="1"/>
  <c r="JG14" i="4" s="1"/>
  <c r="IB9" i="4" s="1"/>
  <c r="HV15" i="4" s="1"/>
  <c r="IM14" i="4" s="1"/>
  <c r="IJ7" i="4" s="1"/>
  <c r="S18" i="1"/>
  <c r="S7" i="1" s="1"/>
  <c r="N265" i="1"/>
  <c r="AL265" i="1"/>
  <c r="AL266" i="1"/>
  <c r="IZ21" i="4"/>
  <c r="BT85" i="1" s="1"/>
  <c r="IO21" i="4"/>
  <c r="BI85" i="1" s="1"/>
  <c r="AM265" i="1"/>
  <c r="M18" i="1"/>
  <c r="M265" i="1"/>
  <c r="M266" i="1"/>
  <c r="N34" i="1"/>
  <c r="BX147" i="1"/>
  <c r="BY147" i="1" s="1"/>
  <c r="P265" i="1"/>
  <c r="C265" i="1"/>
  <c r="HR21" i="4"/>
  <c r="AL85" i="1" s="1"/>
  <c r="AJ18" i="1"/>
  <c r="C266" i="1"/>
  <c r="G266" i="1"/>
  <c r="K266" i="1"/>
  <c r="O18" i="1"/>
  <c r="N266" i="1"/>
  <c r="P244" i="1"/>
  <c r="C244" i="1"/>
  <c r="C18" i="1"/>
  <c r="T265" i="1"/>
  <c r="G196" i="1"/>
  <c r="G265" i="1"/>
  <c r="I266" i="1"/>
  <c r="IH14" i="4"/>
  <c r="IS7" i="4"/>
  <c r="IZ8" i="4"/>
  <c r="JH15" i="4"/>
  <c r="HP7" i="4"/>
  <c r="IT15" i="4"/>
  <c r="IK8" i="4"/>
  <c r="HV14" i="4"/>
  <c r="IC15" i="4"/>
  <c r="IR21" i="4"/>
  <c r="BL85" i="1" s="1"/>
  <c r="BL102" i="1" s="1"/>
  <c r="IK21" i="4"/>
  <c r="BE85" i="1" s="1"/>
  <c r="IN21" i="4"/>
  <c r="BH85" i="1" s="1"/>
  <c r="IO8" i="4"/>
  <c r="P266" i="1"/>
  <c r="IE14" i="4"/>
  <c r="IJ21" i="4"/>
  <c r="BD85" i="1" s="1"/>
  <c r="N18" i="1"/>
  <c r="O19" i="1" s="1"/>
  <c r="C34" i="1"/>
  <c r="T18" i="1"/>
  <c r="T7" i="1" s="1"/>
  <c r="ID21" i="4"/>
  <c r="AX85" i="1" s="1"/>
  <c r="IG15" i="4"/>
  <c r="HR8" i="4"/>
  <c r="IN7" i="4"/>
  <c r="Q266" i="1"/>
  <c r="HT7" i="4"/>
  <c r="IY14" i="4"/>
  <c r="S265" i="1"/>
  <c r="K265" i="1"/>
  <c r="E18" i="1"/>
  <c r="HT14" i="4"/>
  <c r="HT19" i="4" s="1"/>
  <c r="AN86" i="1" s="1"/>
  <c r="AN115" i="1" s="1"/>
  <c r="AL18" i="1"/>
  <c r="AL24" i="1" s="1"/>
  <c r="AL25" i="1" s="1"/>
  <c r="IO7" i="4"/>
  <c r="V201" i="1"/>
  <c r="HP15" i="4"/>
  <c r="AL193" i="1"/>
  <c r="AM193" i="1" s="1"/>
  <c r="AL196" i="1"/>
  <c r="AM196" i="1" s="1"/>
  <c r="AL192" i="1"/>
  <c r="AM192" i="1" s="1"/>
  <c r="AM207" i="1"/>
  <c r="AM266" i="1"/>
  <c r="L244" i="1"/>
  <c r="L18" i="1"/>
  <c r="F244" i="1"/>
  <c r="F266" i="1"/>
  <c r="F265" i="1"/>
  <c r="S207" i="1"/>
  <c r="S266" i="1"/>
  <c r="U7" i="1"/>
  <c r="V19" i="1"/>
  <c r="R207" i="1"/>
  <c r="R266" i="1"/>
  <c r="IT7" i="4"/>
  <c r="IZ15" i="4"/>
  <c r="JA15" i="4"/>
  <c r="JA20" i="4" s="1"/>
  <c r="BU87" i="1" s="1"/>
  <c r="BU116" i="1" s="1"/>
  <c r="IT14" i="4"/>
  <c r="IT19" i="4" s="1"/>
  <c r="BN86" i="1" s="1"/>
  <c r="BN115" i="1" s="1"/>
  <c r="JE15" i="4"/>
  <c r="IH15" i="4"/>
  <c r="HX14" i="4"/>
  <c r="HX19" i="4" s="1"/>
  <c r="AR86" i="1" s="1"/>
  <c r="AR115" i="1" s="1"/>
  <c r="IW14" i="4"/>
  <c r="IW19" i="4" s="1"/>
  <c r="BQ86" i="1" s="1"/>
  <c r="BQ115" i="1" s="1"/>
  <c r="HZ8" i="4"/>
  <c r="IQ21" i="4"/>
  <c r="BK85" i="1" s="1"/>
  <c r="HY8" i="4"/>
  <c r="HW7" i="4"/>
  <c r="JE8" i="4"/>
  <c r="JI7" i="4"/>
  <c r="IS21" i="4"/>
  <c r="BM85" i="1" s="1"/>
  <c r="HP14" i="4"/>
  <c r="HP19" i="4" s="1"/>
  <c r="AJ86" i="1" s="1"/>
  <c r="JG21" i="4"/>
  <c r="CA85" i="1" s="1"/>
  <c r="IX7" i="4"/>
  <c r="HZ7" i="4"/>
  <c r="HZ19" i="4" s="1"/>
  <c r="AT86" i="1" s="1"/>
  <c r="AT115" i="1" s="1"/>
  <c r="JC14" i="4"/>
  <c r="JC19" i="4" s="1"/>
  <c r="BW86" i="1" s="1"/>
  <c r="BW115" i="1" s="1"/>
  <c r="IO14" i="4"/>
  <c r="IO19" i="4" s="1"/>
  <c r="BI86" i="1" s="1"/>
  <c r="BI115" i="1" s="1"/>
  <c r="IH8" i="4"/>
  <c r="IH20" i="4" s="1"/>
  <c r="BB87" i="1" s="1"/>
  <c r="BB116" i="1" s="1"/>
  <c r="IJ14" i="4"/>
  <c r="IJ19" i="4" s="1"/>
  <c r="BD86" i="1" s="1"/>
  <c r="BD115" i="1" s="1"/>
  <c r="JB21" i="4"/>
  <c r="BV85" i="1" s="1"/>
  <c r="IJ15" i="4"/>
  <c r="IR15" i="4"/>
  <c r="IR20" i="4" s="1"/>
  <c r="BL87" i="1" s="1"/>
  <c r="BL104" i="1" s="1"/>
  <c r="IQ15" i="4"/>
  <c r="IQ20" i="4" s="1"/>
  <c r="BK87" i="1" s="1"/>
  <c r="BK116" i="1" s="1"/>
  <c r="HV21" i="4"/>
  <c r="AP85" i="1" s="1"/>
  <c r="II21" i="4"/>
  <c r="BC85" i="1" s="1"/>
  <c r="IS8" i="4"/>
  <c r="IS20" i="4" s="1"/>
  <c r="BM87" i="1" s="1"/>
  <c r="BM116" i="1" s="1"/>
  <c r="JE7" i="4"/>
  <c r="JC7" i="4"/>
  <c r="HT15" i="4"/>
  <c r="HT20" i="4" s="1"/>
  <c r="AN87" i="1" s="1"/>
  <c r="AN116" i="1" s="1"/>
  <c r="HQ14" i="4"/>
  <c r="HQ19" i="4" s="1"/>
  <c r="AK86" i="1" s="1"/>
  <c r="IB8" i="4"/>
  <c r="IP15" i="4"/>
  <c r="IP20" i="4" s="1"/>
  <c r="BJ87" i="1" s="1"/>
  <c r="BJ116" i="1" s="1"/>
  <c r="BX174" i="1"/>
  <c r="O265" i="1"/>
  <c r="V34" i="1"/>
  <c r="HS7" i="4"/>
  <c r="IP14" i="4"/>
  <c r="IP19" i="4" s="1"/>
  <c r="BJ86" i="1" s="1"/>
  <c r="BJ115" i="1" s="1"/>
  <c r="II14" i="4"/>
  <c r="HZ21" i="4"/>
  <c r="AT85" i="1" s="1"/>
  <c r="M34" i="1"/>
  <c r="HP8" i="4"/>
  <c r="HP20" i="4" s="1"/>
  <c r="AJ87" i="1" s="1"/>
  <c r="IZ7" i="4"/>
  <c r="IZ19" i="4" s="1"/>
  <c r="BT86" i="1" s="1"/>
  <c r="BT115" i="1" s="1"/>
  <c r="JC8" i="4"/>
  <c r="JC20" i="4" s="1"/>
  <c r="BW87" i="1" s="1"/>
  <c r="BW116" i="1" s="1"/>
  <c r="IP21" i="4"/>
  <c r="BJ85" i="1" s="1"/>
  <c r="JG15" i="4"/>
  <c r="JG20" i="4" s="1"/>
  <c r="CA87" i="1" s="1"/>
  <c r="IB7" i="4"/>
  <c r="IB19" i="4" s="1"/>
  <c r="AV86" i="1" s="1"/>
  <c r="AV115" i="1" s="1"/>
  <c r="B265" i="1"/>
  <c r="IN8" i="4"/>
  <c r="IF8" i="4"/>
  <c r="IF20" i="4" s="1"/>
  <c r="AZ87" i="1" s="1"/>
  <c r="AZ116" i="1" s="1"/>
  <c r="IB21" i="4"/>
  <c r="AV85" i="1" s="1"/>
  <c r="JE21" i="4"/>
  <c r="BY85" i="1" s="1"/>
  <c r="JD7" i="4"/>
  <c r="R34" i="1"/>
  <c r="P18" i="1"/>
  <c r="BX192" i="1"/>
  <c r="BY192" i="1" s="1"/>
  <c r="AM34" i="1"/>
  <c r="K18" i="1"/>
  <c r="I34" i="1"/>
  <c r="P34" i="1"/>
  <c r="O34" i="1"/>
  <c r="K34" i="1"/>
  <c r="BJ192" i="1"/>
  <c r="BK192" i="1" s="1"/>
  <c r="BJ196" i="1"/>
  <c r="BK196" i="1" s="1"/>
  <c r="V106" i="1"/>
  <c r="V7" i="1"/>
  <c r="L266" i="1"/>
  <c r="L207" i="1"/>
  <c r="BY133" i="1"/>
  <c r="IE15" i="4"/>
  <c r="IE20" i="4" s="1"/>
  <c r="AY87" i="1" s="1"/>
  <c r="AY116" i="1" s="1"/>
  <c r="IC21" i="4"/>
  <c r="AW85" i="1" s="1"/>
  <c r="IB15" i="4"/>
  <c r="IB20" i="4" s="1"/>
  <c r="AV87" i="1" s="1"/>
  <c r="AV116" i="1" s="1"/>
  <c r="IH21" i="4"/>
  <c r="BB85" i="1" s="1"/>
  <c r="IY7" i="4"/>
  <c r="IY19" i="4" s="1"/>
  <c r="BS86" i="1" s="1"/>
  <c r="BS115" i="1" s="1"/>
  <c r="JF15" i="4"/>
  <c r="JF20" i="4" s="1"/>
  <c r="BZ87" i="1" s="1"/>
  <c r="JI8" i="4"/>
  <c r="JI20" i="4" s="1"/>
  <c r="CC87" i="1" s="1"/>
  <c r="IU7" i="4"/>
  <c r="IU19" i="4" s="1"/>
  <c r="BO86" i="1" s="1"/>
  <c r="BO115" i="1" s="1"/>
  <c r="HW14" i="4"/>
  <c r="HW19" i="4" s="1"/>
  <c r="AQ86" i="1" s="1"/>
  <c r="AQ115" i="1" s="1"/>
  <c r="JG7" i="4"/>
  <c r="JG19" i="4" s="1"/>
  <c r="CA86" i="1" s="1"/>
  <c r="Q196" i="1"/>
  <c r="IQ14" i="4"/>
  <c r="IQ19" i="4" s="1"/>
  <c r="BK86" i="1" s="1"/>
  <c r="BK115" i="1" s="1"/>
  <c r="HU7" i="4"/>
  <c r="JE14" i="4"/>
  <c r="JE19" i="4" s="1"/>
  <c r="BY86" i="1" s="1"/>
  <c r="HQ8" i="4"/>
  <c r="JH7" i="4"/>
  <c r="E34" i="1"/>
  <c r="E35" i="1" s="1"/>
  <c r="U34" i="1"/>
  <c r="T34" i="1"/>
  <c r="IY8" i="4"/>
  <c r="U24" i="1"/>
  <c r="U9" i="1" s="1"/>
  <c r="U8" i="1" s="1"/>
  <c r="H34" i="1"/>
  <c r="J34" i="1"/>
  <c r="IQ7" i="4"/>
  <c r="HU15" i="4"/>
  <c r="HU20" i="4" s="1"/>
  <c r="AO87" i="1" s="1"/>
  <c r="AO116" i="1" s="1"/>
  <c r="ID8" i="4"/>
  <c r="IF7" i="4"/>
  <c r="IF19" i="4" s="1"/>
  <c r="AZ86" i="1" s="1"/>
  <c r="AZ115" i="1" s="1"/>
  <c r="HQ15" i="4"/>
  <c r="HQ20" i="4" s="1"/>
  <c r="AK87" i="1" s="1"/>
  <c r="IL7" i="4"/>
  <c r="IL19" i="4" s="1"/>
  <c r="BF86" i="1" s="1"/>
  <c r="BF115" i="1" s="1"/>
  <c r="HY7" i="4"/>
  <c r="HU14" i="4"/>
  <c r="HT8" i="4"/>
  <c r="JD14" i="4"/>
  <c r="IU8" i="4"/>
  <c r="II7" i="4"/>
  <c r="HR15" i="4"/>
  <c r="HR20" i="4" s="1"/>
  <c r="AL87" i="1" s="1"/>
  <c r="HW8" i="4"/>
  <c r="HW20" i="4" s="1"/>
  <c r="AQ87" i="1" s="1"/>
  <c r="AQ116" i="1" s="1"/>
  <c r="JB8" i="4"/>
  <c r="JB20" i="4" s="1"/>
  <c r="BV87" i="1" s="1"/>
  <c r="BV116" i="1" s="1"/>
  <c r="IP7" i="4"/>
  <c r="HS15" i="4"/>
  <c r="HS20" i="4" s="1"/>
  <c r="AM87" i="1" s="1"/>
  <c r="AJ41" i="1"/>
  <c r="BY141" i="1"/>
  <c r="D34" i="1"/>
  <c r="D35" i="1" s="1"/>
  <c r="AJ34" i="1"/>
  <c r="AJ35" i="1" s="1"/>
  <c r="G34" i="1"/>
  <c r="Q34" i="1"/>
  <c r="JF7" i="4"/>
  <c r="JF19" i="4" s="1"/>
  <c r="BZ86" i="1" s="1"/>
  <c r="HR7" i="4"/>
  <c r="HR19" i="4" s="1"/>
  <c r="AL86" i="1" s="1"/>
  <c r="IW15" i="4"/>
  <c r="IW20" i="4" s="1"/>
  <c r="BQ87" i="1" s="1"/>
  <c r="BQ116" i="1" s="1"/>
  <c r="HU21" i="4"/>
  <c r="AO85" i="1" s="1"/>
  <c r="IM7" i="4"/>
  <c r="IM19" i="4" s="1"/>
  <c r="BG86" i="1" s="1"/>
  <c r="BG115" i="1" s="1"/>
  <c r="P196" i="1"/>
  <c r="HS14" i="4"/>
  <c r="IY15" i="4"/>
  <c r="IY20" i="4" s="1"/>
  <c r="BS87" i="1" s="1"/>
  <c r="BS116" i="1" s="1"/>
  <c r="AL34" i="1"/>
  <c r="IN15" i="4"/>
  <c r="IV15" i="4"/>
  <c r="ID14" i="4"/>
  <c r="ID19" i="4" s="1"/>
  <c r="AX86" i="1" s="1"/>
  <c r="AX115" i="1" s="1"/>
  <c r="HT21" i="4"/>
  <c r="AN85" i="1" s="1"/>
  <c r="II15" i="4"/>
  <c r="II20" i="4" s="1"/>
  <c r="BC87" i="1" s="1"/>
  <c r="BC116" i="1" s="1"/>
  <c r="IJ8" i="4"/>
  <c r="IJ20" i="4" s="1"/>
  <c r="BD87" i="1" s="1"/>
  <c r="BD116" i="1" s="1"/>
  <c r="IV8" i="4"/>
  <c r="IE21" i="4"/>
  <c r="AY85" i="1" s="1"/>
  <c r="JG8" i="4"/>
  <c r="ID15" i="4"/>
  <c r="ID20" i="4" s="1"/>
  <c r="AX87" i="1" s="1"/>
  <c r="AX116" i="1" s="1"/>
  <c r="D265" i="1"/>
  <c r="AK34" i="1"/>
  <c r="AK35" i="1" s="1"/>
  <c r="IL15" i="4"/>
  <c r="IL20" i="4" s="1"/>
  <c r="BF87" i="1" s="1"/>
  <c r="BF116" i="1" s="1"/>
  <c r="IU15" i="4"/>
  <c r="IU20" i="4" s="1"/>
  <c r="BO87" i="1" s="1"/>
  <c r="BO116" i="1" s="1"/>
  <c r="F34" i="1"/>
  <c r="IX14" i="4"/>
  <c r="IX19" i="4" s="1"/>
  <c r="BR86" i="1" s="1"/>
  <c r="BR115" i="1" s="1"/>
  <c r="AM106" i="1"/>
  <c r="AM107" i="1" s="1"/>
  <c r="AM110" i="1" s="1"/>
  <c r="IC8" i="4"/>
  <c r="IC20" i="4" s="1"/>
  <c r="AW87" i="1" s="1"/>
  <c r="AW116" i="1" s="1"/>
  <c r="IR14" i="4"/>
  <c r="IR19" i="4" s="1"/>
  <c r="BL86" i="1" s="1"/>
  <c r="IG8" i="4"/>
  <c r="IG20" i="4" s="1"/>
  <c r="BA87" i="1" s="1"/>
  <c r="BA116" i="1" s="1"/>
  <c r="I265" i="1"/>
  <c r="L34" i="1"/>
  <c r="Q265" i="1"/>
  <c r="AK244" i="1"/>
  <c r="B24" i="1"/>
  <c r="B25" i="1" s="1"/>
  <c r="J265" i="1"/>
  <c r="IV14" i="4"/>
  <c r="IV19" i="4" s="1"/>
  <c r="BP86" i="1" s="1"/>
  <c r="BP115" i="1" s="1"/>
  <c r="H265" i="1"/>
  <c r="H266" i="1"/>
  <c r="B266" i="1"/>
  <c r="B244" i="1"/>
  <c r="BX169" i="1"/>
  <c r="BX198" i="1" s="1"/>
  <c r="BX141" i="1"/>
  <c r="BX133" i="1"/>
  <c r="BX100" i="1" s="1"/>
  <c r="BX102" i="1" s="1"/>
  <c r="D266" i="1"/>
  <c r="I18" i="1"/>
  <c r="J18" i="1"/>
  <c r="J106" i="1" s="1"/>
  <c r="BJ193" i="1"/>
  <c r="BK193" i="1" s="1"/>
  <c r="BX193" i="1"/>
  <c r="BY193" i="1" s="1"/>
  <c r="BX18" i="1"/>
  <c r="H18" i="1"/>
  <c r="J244" i="1"/>
  <c r="Q244" i="1"/>
  <c r="AM18" i="1"/>
  <c r="BX266" i="1"/>
  <c r="R265" i="1"/>
  <c r="BX161" i="1"/>
  <c r="BX195" i="1" s="1"/>
  <c r="W34" i="1"/>
  <c r="W35" i="1" s="1"/>
  <c r="AJ24" i="1"/>
  <c r="AJ25" i="1" s="1"/>
  <c r="Q18" i="1"/>
  <c r="S34" i="1"/>
  <c r="BX244" i="1"/>
  <c r="V266" i="1"/>
  <c r="R18" i="1"/>
  <c r="BX34" i="1"/>
  <c r="R106" i="1"/>
  <c r="V25" i="1"/>
  <c r="V9" i="1"/>
  <c r="W8" i="1"/>
  <c r="BJ174" i="1"/>
  <c r="BK222" i="1" s="1"/>
  <c r="BJ147" i="1"/>
  <c r="BK141" i="1"/>
  <c r="BK130" i="1"/>
  <c r="BJ133" i="1"/>
  <c r="AJ174" i="1"/>
  <c r="AK222" i="1" s="1"/>
  <c r="AM141" i="1"/>
  <c r="AL174" i="1"/>
  <c r="AM222" i="1" s="1"/>
  <c r="BJ169" i="1"/>
  <c r="BJ198" i="1" s="1"/>
  <c r="AL147" i="1"/>
  <c r="AM147" i="1" s="1"/>
  <c r="AM151" i="1" s="1"/>
  <c r="BK162" i="1"/>
  <c r="BJ141" i="1"/>
  <c r="AJ141" i="1"/>
  <c r="AL169" i="1"/>
  <c r="AL198" i="1" s="1"/>
  <c r="AL197" i="1" s="1"/>
  <c r="AJ215" i="1"/>
  <c r="AL133" i="1"/>
  <c r="AL141" i="1"/>
  <c r="AI209" i="1"/>
  <c r="AI211" i="1" s="1"/>
  <c r="AJ147" i="1"/>
  <c r="AK41" i="1" s="1"/>
  <c r="AJ161" i="1"/>
  <c r="AJ193" i="1"/>
  <c r="AK193" i="1" s="1"/>
  <c r="AK141" i="1"/>
  <c r="AJ133" i="1"/>
  <c r="AJ169" i="1"/>
  <c r="BK156" i="1"/>
  <c r="BJ161" i="1"/>
  <c r="AM156" i="1"/>
  <c r="AL161" i="1"/>
  <c r="HX20" i="4"/>
  <c r="AR87" i="1" s="1"/>
  <c r="AR116" i="1" s="1"/>
  <c r="B35" i="1"/>
  <c r="CB102" i="1"/>
  <c r="CB110" i="1"/>
  <c r="CB93" i="1"/>
  <c r="S106" i="1"/>
  <c r="S24" i="1"/>
  <c r="L24" i="1"/>
  <c r="L106" i="1"/>
  <c r="M201" i="1"/>
  <c r="M24" i="1"/>
  <c r="M25" i="1" s="1"/>
  <c r="N19" i="1"/>
  <c r="JA19" i="4"/>
  <c r="BU86" i="1" s="1"/>
  <c r="BU115" i="1" s="1"/>
  <c r="IA19" i="4"/>
  <c r="AU86" i="1" s="1"/>
  <c r="AU115" i="1" s="1"/>
  <c r="IC19" i="4"/>
  <c r="AW86" i="1" s="1"/>
  <c r="AW115" i="1" s="1"/>
  <c r="HV20" i="4"/>
  <c r="AP87" i="1" s="1"/>
  <c r="AP116" i="1" s="1"/>
  <c r="JH19" i="4"/>
  <c r="CB86" i="1" s="1"/>
  <c r="I24" i="1"/>
  <c r="I106" i="1"/>
  <c r="N106" i="1"/>
  <c r="N24" i="1"/>
  <c r="U19" i="1"/>
  <c r="T201" i="1"/>
  <c r="T24" i="1"/>
  <c r="T9" i="1" s="1"/>
  <c r="U201" i="1"/>
  <c r="CA102" i="1"/>
  <c r="CA110" i="1"/>
  <c r="IO20" i="4"/>
  <c r="BI87" i="1" s="1"/>
  <c r="BI116" i="1" s="1"/>
  <c r="HY20" i="4"/>
  <c r="AS87" i="1" s="1"/>
  <c r="AS116" i="1" s="1"/>
  <c r="IN19" i="4"/>
  <c r="BH86" i="1" s="1"/>
  <c r="BH115" i="1" s="1"/>
  <c r="JI19" i="4"/>
  <c r="CC86" i="1" s="1"/>
  <c r="IM20" i="4"/>
  <c r="BG87" i="1" s="1"/>
  <c r="BG116" i="1" s="1"/>
  <c r="IS19" i="4"/>
  <c r="BM86" i="1" s="1"/>
  <c r="BM115" i="1" s="1"/>
  <c r="IX20" i="4"/>
  <c r="BR87" i="1" s="1"/>
  <c r="BR116" i="1" s="1"/>
  <c r="CC110" i="1"/>
  <c r="CC102" i="1"/>
  <c r="IG19" i="4"/>
  <c r="BA86" i="1" s="1"/>
  <c r="BA115" i="1" s="1"/>
  <c r="IK20" i="4"/>
  <c r="BE87" i="1" s="1"/>
  <c r="BE116" i="1" s="1"/>
  <c r="HZ20" i="4"/>
  <c r="AT87" i="1" s="1"/>
  <c r="AT116" i="1" s="1"/>
  <c r="HY19" i="4"/>
  <c r="AS86" i="1" s="1"/>
  <c r="AS115" i="1" s="1"/>
  <c r="JB19" i="4"/>
  <c r="BV86" i="1" s="1"/>
  <c r="BV115" i="1" s="1"/>
  <c r="F106" i="1"/>
  <c r="F24" i="1"/>
  <c r="F25" i="1" s="1"/>
  <c r="IK19" i="4"/>
  <c r="BE86" i="1" s="1"/>
  <c r="BE115" i="1" s="1"/>
  <c r="JD20" i="4"/>
  <c r="BX87" i="1" s="1"/>
  <c r="BX116" i="1" s="1"/>
  <c r="IA20" i="4"/>
  <c r="AU87" i="1" s="1"/>
  <c r="AU116" i="1" s="1"/>
  <c r="X26" i="1"/>
  <c r="W25" i="1"/>
  <c r="AL215" i="1"/>
  <c r="AK215" i="1"/>
  <c r="BK215" i="1"/>
  <c r="D24" i="1"/>
  <c r="BY215" i="1"/>
  <c r="CM40" i="1"/>
  <c r="AB85" i="1"/>
  <c r="CQ85" i="1"/>
  <c r="AC153" i="1"/>
  <c r="CN73" i="1"/>
  <c r="CO71" i="1"/>
  <c r="O24" i="1" l="1"/>
  <c r="O25" i="1" s="1"/>
  <c r="T19" i="1"/>
  <c r="T106" i="1"/>
  <c r="BX197" i="1"/>
  <c r="O106" i="1"/>
  <c r="BY41" i="1"/>
  <c r="C35" i="1"/>
  <c r="HV19" i="4"/>
  <c r="AP86" i="1" s="1"/>
  <c r="AP115" i="1" s="1"/>
  <c r="JH20" i="4"/>
  <c r="CB87" i="1" s="1"/>
  <c r="BX151" i="1"/>
  <c r="IE19" i="4"/>
  <c r="AY86" i="1" s="1"/>
  <c r="AY115" i="1" s="1"/>
  <c r="BY151" i="1"/>
  <c r="BZ216" i="1" s="1"/>
  <c r="BZ214" i="1" s="1"/>
  <c r="BZ41" i="1"/>
  <c r="IT20" i="4"/>
  <c r="BN87" i="1" s="1"/>
  <c r="BN116" i="1" s="1"/>
  <c r="IZ20" i="4"/>
  <c r="BT87" i="1" s="1"/>
  <c r="BT116" i="1" s="1"/>
  <c r="M19" i="1"/>
  <c r="M106" i="1"/>
  <c r="N201" i="1"/>
  <c r="IH19" i="4"/>
  <c r="BB86" i="1" s="1"/>
  <c r="BB115" i="1" s="1"/>
  <c r="AK20" i="1"/>
  <c r="E201" i="1"/>
  <c r="E106" i="1"/>
  <c r="E19" i="1"/>
  <c r="F201" i="1"/>
  <c r="F19" i="1"/>
  <c r="E24" i="1"/>
  <c r="G106" i="1"/>
  <c r="G24" i="1"/>
  <c r="G201" i="1"/>
  <c r="G19" i="1"/>
  <c r="C24" i="1"/>
  <c r="C201" i="1"/>
  <c r="C19" i="1"/>
  <c r="AL20" i="1"/>
  <c r="AK24" i="1"/>
  <c r="O201" i="1"/>
  <c r="D201" i="1"/>
  <c r="D19" i="1"/>
  <c r="W26" i="1"/>
  <c r="II19" i="4"/>
  <c r="BC86" i="1" s="1"/>
  <c r="BC115" i="1" s="1"/>
  <c r="AM35" i="1"/>
  <c r="HU19" i="4"/>
  <c r="AO86" i="1" s="1"/>
  <c r="AO115" i="1" s="1"/>
  <c r="I201" i="1"/>
  <c r="I19" i="1"/>
  <c r="BX7" i="1"/>
  <c r="BX24" i="1"/>
  <c r="H24" i="1"/>
  <c r="H25" i="1" s="1"/>
  <c r="H106" i="1"/>
  <c r="H19" i="1"/>
  <c r="H201" i="1"/>
  <c r="AM24" i="1"/>
  <c r="AM20" i="1"/>
  <c r="Q106" i="1"/>
  <c r="Q24" i="1"/>
  <c r="R24" i="1"/>
  <c r="S19" i="1"/>
  <c r="S201" i="1"/>
  <c r="HS19" i="4"/>
  <c r="AM86" i="1" s="1"/>
  <c r="IN20" i="4"/>
  <c r="BH87" i="1" s="1"/>
  <c r="BH116" i="1" s="1"/>
  <c r="JE20" i="4"/>
  <c r="BY87" i="1" s="1"/>
  <c r="BY116" i="1" s="1"/>
  <c r="JD19" i="4"/>
  <c r="BX86" i="1" s="1"/>
  <c r="IV20" i="4"/>
  <c r="BP87" i="1" s="1"/>
  <c r="BP116" i="1" s="1"/>
  <c r="BJ197" i="1"/>
  <c r="BY222" i="1"/>
  <c r="BX181" i="1"/>
  <c r="BX261" i="1"/>
  <c r="V35" i="1"/>
  <c r="V36" i="1"/>
  <c r="V37" i="1" s="1"/>
  <c r="Q201" i="1"/>
  <c r="P201" i="1"/>
  <c r="P106" i="1"/>
  <c r="P24" i="1"/>
  <c r="P26" i="1" s="1"/>
  <c r="P19" i="1"/>
  <c r="L201" i="1"/>
  <c r="K24" i="1"/>
  <c r="L19" i="1"/>
  <c r="K106" i="1"/>
  <c r="BZ220" i="1"/>
  <c r="BY100" i="1"/>
  <c r="BY220" i="1"/>
  <c r="BZ219" i="1"/>
  <c r="BZ262" i="1"/>
  <c r="BZ264" i="1" s="1"/>
  <c r="BY142" i="1"/>
  <c r="BY219" i="1"/>
  <c r="BY218" i="1" s="1"/>
  <c r="BY262" i="1"/>
  <c r="AL35" i="1"/>
  <c r="AL36" i="1"/>
  <c r="BX194" i="1"/>
  <c r="K19" i="1"/>
  <c r="R201" i="1"/>
  <c r="J24" i="1"/>
  <c r="BK262" i="1"/>
  <c r="V26" i="1"/>
  <c r="U25" i="1"/>
  <c r="K201" i="1"/>
  <c r="B36" i="1"/>
  <c r="J201" i="1"/>
  <c r="Q19" i="1"/>
  <c r="BX199" i="1"/>
  <c r="CB202" i="1" s="1"/>
  <c r="BX170" i="1"/>
  <c r="BX178" i="1" s="1"/>
  <c r="J19" i="1"/>
  <c r="R19" i="1"/>
  <c r="AM36" i="1"/>
  <c r="AM37" i="1" s="1"/>
  <c r="BX35" i="1"/>
  <c r="R7" i="1"/>
  <c r="CC201" i="1"/>
  <c r="CM111" i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CM112" i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W36" i="1"/>
  <c r="BX142" i="1"/>
  <c r="BY20" i="1"/>
  <c r="AM238" i="1"/>
  <c r="CB19" i="1"/>
  <c r="AJ36" i="1"/>
  <c r="AJ37" i="1" s="1"/>
  <c r="AJ142" i="1"/>
  <c r="S25" i="1"/>
  <c r="S9" i="1"/>
  <c r="T8" i="1"/>
  <c r="V8" i="1"/>
  <c r="AK219" i="1"/>
  <c r="AM262" i="1"/>
  <c r="BK147" i="1"/>
  <c r="BJ151" i="1"/>
  <c r="BJ259" i="1" s="1"/>
  <c r="BL219" i="1"/>
  <c r="BL262" i="1"/>
  <c r="BJ100" i="1"/>
  <c r="BJ261" i="1"/>
  <c r="AJ181" i="1"/>
  <c r="AK45" i="1" s="1"/>
  <c r="AJ219" i="1"/>
  <c r="AM41" i="1"/>
  <c r="AL151" i="1"/>
  <c r="AL100" i="1"/>
  <c r="AL104" i="1" s="1"/>
  <c r="AL261" i="1"/>
  <c r="AL219" i="1"/>
  <c r="AM219" i="1"/>
  <c r="AJ210" i="1"/>
  <c r="AJ198" i="1"/>
  <c r="AK147" i="1"/>
  <c r="AL181" i="1"/>
  <c r="AJ170" i="1"/>
  <c r="BJ142" i="1"/>
  <c r="BJ181" i="1"/>
  <c r="BJ117" i="1" s="1"/>
  <c r="AJ151" i="1"/>
  <c r="BK219" i="1"/>
  <c r="AL262" i="1"/>
  <c r="AL142" i="1"/>
  <c r="AJ209" i="1"/>
  <c r="AJ195" i="1"/>
  <c r="BJ195" i="1"/>
  <c r="BJ170" i="1"/>
  <c r="AL195" i="1"/>
  <c r="AL170" i="1"/>
  <c r="AL116" i="1"/>
  <c r="L25" i="1"/>
  <c r="M26" i="1"/>
  <c r="BZ103" i="1"/>
  <c r="BZ97" i="1"/>
  <c r="BZ115" i="1"/>
  <c r="BZ118" i="1" s="1"/>
  <c r="AM116" i="1"/>
  <c r="AM112" i="1"/>
  <c r="I25" i="1"/>
  <c r="I26" i="1"/>
  <c r="BX259" i="1"/>
  <c r="BY216" i="1"/>
  <c r="BY214" i="1" s="1"/>
  <c r="BZ218" i="1"/>
  <c r="BL115" i="1"/>
  <c r="BL118" i="1" s="1"/>
  <c r="BL103" i="1"/>
  <c r="CA104" i="1"/>
  <c r="CA116" i="1"/>
  <c r="CA112" i="1"/>
  <c r="CB94" i="1"/>
  <c r="CB111" i="1"/>
  <c r="CB103" i="1"/>
  <c r="CB115" i="1"/>
  <c r="CB118" i="1" s="1"/>
  <c r="CB121" i="1" s="1"/>
  <c r="N25" i="1"/>
  <c r="N26" i="1"/>
  <c r="T26" i="1"/>
  <c r="U26" i="1"/>
  <c r="T25" i="1"/>
  <c r="CC103" i="1"/>
  <c r="CC115" i="1"/>
  <c r="CC111" i="1"/>
  <c r="CC94" i="1"/>
  <c r="CF98" i="1" s="1"/>
  <c r="CC104" i="1"/>
  <c r="CC112" i="1"/>
  <c r="CC116" i="1"/>
  <c r="AL115" i="1"/>
  <c r="BZ116" i="1"/>
  <c r="BZ119" i="1" s="1"/>
  <c r="BZ104" i="1"/>
  <c r="CB104" i="1"/>
  <c r="CB116" i="1"/>
  <c r="CB119" i="1" s="1"/>
  <c r="CB122" i="1" s="1"/>
  <c r="O26" i="1"/>
  <c r="CC95" i="1"/>
  <c r="BX104" i="1"/>
  <c r="CB112" i="1"/>
  <c r="BL116" i="1"/>
  <c r="BL119" i="1" s="1"/>
  <c r="CB95" i="1"/>
  <c r="CA111" i="1"/>
  <c r="CA115" i="1"/>
  <c r="CA103" i="1"/>
  <c r="BY115" i="1"/>
  <c r="BY97" i="1"/>
  <c r="D25" i="1"/>
  <c r="D36" i="1"/>
  <c r="E26" i="1"/>
  <c r="P25" i="1"/>
  <c r="C26" i="1"/>
  <c r="C36" i="1"/>
  <c r="D26" i="1"/>
  <c r="C25" i="1"/>
  <c r="AL27" i="1"/>
  <c r="AK36" i="1"/>
  <c r="AK25" i="1"/>
  <c r="AK27" i="1"/>
  <c r="G25" i="1"/>
  <c r="H26" i="1"/>
  <c r="G26" i="1"/>
  <c r="E36" i="1"/>
  <c r="E37" i="1" s="1"/>
  <c r="F26" i="1"/>
  <c r="E25" i="1"/>
  <c r="CM207" i="1"/>
  <c r="CM145" i="1"/>
  <c r="CM147" i="1" s="1"/>
  <c r="CM151" i="1" s="1"/>
  <c r="CM216" i="1" s="1"/>
  <c r="CM214" i="1" s="1"/>
  <c r="CR85" i="1"/>
  <c r="AC215" i="1"/>
  <c r="AB162" i="1"/>
  <c r="AB130" i="1"/>
  <c r="CO73" i="1"/>
  <c r="CP71" i="1"/>
  <c r="AB71" i="1" s="1"/>
  <c r="CA238" i="1"/>
  <c r="AB73" i="1" l="1"/>
  <c r="AA71" i="1"/>
  <c r="BX117" i="1"/>
  <c r="BY45" i="1"/>
  <c r="AM25" i="1"/>
  <c r="AM27" i="1"/>
  <c r="BX9" i="1"/>
  <c r="BX8" i="1" s="1"/>
  <c r="BX25" i="1"/>
  <c r="CB26" i="1"/>
  <c r="BY27" i="1"/>
  <c r="BX36" i="1"/>
  <c r="Q25" i="1"/>
  <c r="R26" i="1"/>
  <c r="Q26" i="1"/>
  <c r="R9" i="1"/>
  <c r="R8" i="1" s="1"/>
  <c r="S26" i="1"/>
  <c r="R25" i="1"/>
  <c r="AM111" i="1"/>
  <c r="AM115" i="1"/>
  <c r="BX103" i="1"/>
  <c r="BX97" i="1"/>
  <c r="BX115" i="1"/>
  <c r="V12" i="1"/>
  <c r="V11" i="1" s="1"/>
  <c r="V42" i="1"/>
  <c r="V46" i="1" s="1"/>
  <c r="V120" i="1"/>
  <c r="V126" i="1" s="1"/>
  <c r="V245" i="1"/>
  <c r="V246" i="1" s="1"/>
  <c r="K25" i="1"/>
  <c r="L26" i="1"/>
  <c r="BY102" i="1"/>
  <c r="BY103" i="1"/>
  <c r="BY104" i="1"/>
  <c r="AL245" i="1"/>
  <c r="AL246" i="1" s="1"/>
  <c r="AL42" i="1"/>
  <c r="AL46" i="1" s="1"/>
  <c r="AL37" i="1"/>
  <c r="J25" i="1"/>
  <c r="K26" i="1"/>
  <c r="B37" i="1"/>
  <c r="B120" i="1"/>
  <c r="W12" i="1"/>
  <c r="W11" i="1" s="1"/>
  <c r="X38" i="1"/>
  <c r="X263" i="1"/>
  <c r="W42" i="1"/>
  <c r="W46" i="1" s="1"/>
  <c r="W48" i="1" s="1"/>
  <c r="AM263" i="1"/>
  <c r="AM264" i="1" s="1"/>
  <c r="J26" i="1"/>
  <c r="AJ245" i="1"/>
  <c r="AJ246" i="1" s="1"/>
  <c r="W245" i="1"/>
  <c r="W246" i="1" s="1"/>
  <c r="AJ42" i="1"/>
  <c r="AJ46" i="1" s="1"/>
  <c r="BX179" i="1"/>
  <c r="AM39" i="1"/>
  <c r="W263" i="1"/>
  <c r="W120" i="1"/>
  <c r="W126" i="1" s="1"/>
  <c r="W37" i="1"/>
  <c r="AM42" i="1"/>
  <c r="AM46" i="1" s="1"/>
  <c r="AM49" i="1" s="1"/>
  <c r="AM50" i="1" s="1"/>
  <c r="AM258" i="1" s="1"/>
  <c r="AM245" i="1"/>
  <c r="AM246" i="1" s="1"/>
  <c r="W38" i="1"/>
  <c r="AJ178" i="1"/>
  <c r="AJ179" i="1" s="1"/>
  <c r="S8" i="1"/>
  <c r="AJ211" i="1"/>
  <c r="AL178" i="1"/>
  <c r="AL179" i="1" s="1"/>
  <c r="BL41" i="1"/>
  <c r="BK151" i="1"/>
  <c r="BL216" i="1" s="1"/>
  <c r="BL214" i="1" s="1"/>
  <c r="BJ102" i="1"/>
  <c r="BJ103" i="1"/>
  <c r="BJ104" i="1"/>
  <c r="AM216" i="1"/>
  <c r="AM214" i="1" s="1"/>
  <c r="AL259" i="1"/>
  <c r="AK151" i="1"/>
  <c r="AL41" i="1"/>
  <c r="BJ118" i="1"/>
  <c r="BJ119" i="1"/>
  <c r="AL102" i="1"/>
  <c r="AL103" i="1"/>
  <c r="AL117" i="1"/>
  <c r="AM45" i="1"/>
  <c r="AJ216" i="1"/>
  <c r="AJ214" i="1" s="1"/>
  <c r="BJ199" i="1"/>
  <c r="BJ194" i="1"/>
  <c r="AL194" i="1"/>
  <c r="AL199" i="1"/>
  <c r="CE98" i="1"/>
  <c r="AL263" i="1"/>
  <c r="AL264" i="1" s="1"/>
  <c r="AM239" i="1"/>
  <c r="D37" i="1"/>
  <c r="D42" i="1"/>
  <c r="D46" i="1" s="1"/>
  <c r="D245" i="1"/>
  <c r="D246" i="1" s="1"/>
  <c r="D263" i="1"/>
  <c r="E38" i="1"/>
  <c r="D120" i="1"/>
  <c r="C263" i="1"/>
  <c r="C37" i="1"/>
  <c r="D38" i="1"/>
  <c r="C38" i="1"/>
  <c r="AK245" i="1"/>
  <c r="AK246" i="1" s="1"/>
  <c r="AL39" i="1"/>
  <c r="AK37" i="1"/>
  <c r="AK42" i="1"/>
  <c r="AK46" i="1" s="1"/>
  <c r="AM120" i="1"/>
  <c r="AK39" i="1"/>
  <c r="CN40" i="1"/>
  <c r="CS85" i="1"/>
  <c r="AB176" i="1"/>
  <c r="CP73" i="1"/>
  <c r="CQ71" i="1"/>
  <c r="AC130" i="1"/>
  <c r="AC162" i="1"/>
  <c r="CB238" i="1"/>
  <c r="BQ1" i="1"/>
  <c r="BR1" i="1" s="1"/>
  <c r="BS1" i="1" s="1"/>
  <c r="BT1" i="1" s="1"/>
  <c r="Z71" i="1" l="1"/>
  <c r="AA73" i="1"/>
  <c r="BX118" i="1"/>
  <c r="BX119" i="1"/>
  <c r="W49" i="1"/>
  <c r="BX37" i="1"/>
  <c r="BX42" i="1"/>
  <c r="CB38" i="1"/>
  <c r="CA120" i="1"/>
  <c r="CA126" i="1" s="1"/>
  <c r="BX245" i="1"/>
  <c r="BX246" i="1" s="1"/>
  <c r="BX12" i="1"/>
  <c r="BX11" i="1" s="1"/>
  <c r="BY39" i="1"/>
  <c r="BY263" i="1"/>
  <c r="BY264" i="1" s="1"/>
  <c r="V49" i="1"/>
  <c r="V48" i="1"/>
  <c r="AL49" i="1"/>
  <c r="AL48" i="1"/>
  <c r="AJ49" i="1"/>
  <c r="AJ48" i="1"/>
  <c r="AM48" i="1"/>
  <c r="AL119" i="1"/>
  <c r="AL118" i="1"/>
  <c r="AK216" i="1"/>
  <c r="AK214" i="1" s="1"/>
  <c r="AL216" i="1"/>
  <c r="AL214" i="1" s="1"/>
  <c r="BX46" i="1"/>
  <c r="CA63" i="1"/>
  <c r="AK49" i="1"/>
  <c r="AK48" i="1"/>
  <c r="D49" i="1"/>
  <c r="D48" i="1"/>
  <c r="W56" i="1"/>
  <c r="W60" i="1" s="1"/>
  <c r="W247" i="1"/>
  <c r="W50" i="1"/>
  <c r="W258" i="1" s="1"/>
  <c r="X51" i="1"/>
  <c r="CN145" i="1"/>
  <c r="CN147" i="1" s="1"/>
  <c r="CO40" i="1" s="1"/>
  <c r="CT85" i="1"/>
  <c r="AB150" i="1"/>
  <c r="AD162" i="1"/>
  <c r="AE162" i="1"/>
  <c r="AD130" i="1"/>
  <c r="AE130" i="1"/>
  <c r="CQ73" i="1"/>
  <c r="CR71" i="1"/>
  <c r="AC176" i="1"/>
  <c r="BU1" i="1"/>
  <c r="Q35" i="1"/>
  <c r="P35" i="1"/>
  <c r="O35" i="1"/>
  <c r="I35" i="1"/>
  <c r="H35" i="1"/>
  <c r="G35" i="1"/>
  <c r="U35" i="1"/>
  <c r="T35" i="1"/>
  <c r="S35" i="1"/>
  <c r="R35" i="1"/>
  <c r="N35" i="1"/>
  <c r="M35" i="1"/>
  <c r="L35" i="1"/>
  <c r="K35" i="1"/>
  <c r="J35" i="1"/>
  <c r="F35" i="1"/>
  <c r="Y71" i="1" l="1"/>
  <c r="Z73" i="1"/>
  <c r="AA74" i="1"/>
  <c r="AA107" i="1"/>
  <c r="AA100" i="1"/>
  <c r="AA116" i="1"/>
  <c r="AA119" i="1" s="1"/>
  <c r="AA122" i="1" s="1"/>
  <c r="AA115" i="1"/>
  <c r="AA118" i="1" s="1"/>
  <c r="AA121" i="1" s="1"/>
  <c r="W51" i="1"/>
  <c r="V50" i="1"/>
  <c r="V258" i="1" s="1"/>
  <c r="V56" i="1"/>
  <c r="AL247" i="1"/>
  <c r="AM52" i="1"/>
  <c r="AL56" i="1"/>
  <c r="AL50" i="1"/>
  <c r="AL258" i="1" s="1"/>
  <c r="AJ50" i="1"/>
  <c r="AJ56" i="1"/>
  <c r="AJ220" i="1" s="1"/>
  <c r="AJ218" i="1" s="1"/>
  <c r="AJ247" i="1"/>
  <c r="AJ206" i="1"/>
  <c r="AJ208" i="1" s="1"/>
  <c r="AJ212" i="1" s="1"/>
  <c r="AJ226" i="1" s="1"/>
  <c r="AK247" i="1"/>
  <c r="AK56" i="1"/>
  <c r="AK132" i="1" s="1"/>
  <c r="AK133" i="1" s="1"/>
  <c r="AK142" i="1" s="1"/>
  <c r="AK50" i="1"/>
  <c r="AK52" i="1"/>
  <c r="AL52" i="1"/>
  <c r="D247" i="1"/>
  <c r="D50" i="1"/>
  <c r="D56" i="1"/>
  <c r="BX48" i="1"/>
  <c r="BX49" i="1"/>
  <c r="CO207" i="1"/>
  <c r="CO145" i="1"/>
  <c r="CN151" i="1"/>
  <c r="CN207" i="1"/>
  <c r="AC85" i="1"/>
  <c r="CU85" i="1"/>
  <c r="AD176" i="1"/>
  <c r="AE176" i="1"/>
  <c r="AD153" i="1"/>
  <c r="CR73" i="1"/>
  <c r="CS71" i="1"/>
  <c r="AC150" i="1"/>
  <c r="BV1" i="1"/>
  <c r="BW1" i="1" s="1"/>
  <c r="BX1" i="1" s="1"/>
  <c r="AM240" i="1"/>
  <c r="AM247" i="1"/>
  <c r="B245" i="1"/>
  <c r="B246" i="1" s="1"/>
  <c r="BL245" i="1"/>
  <c r="BL246" i="1" s="1"/>
  <c r="G36" i="1"/>
  <c r="O36" i="1"/>
  <c r="H36" i="1"/>
  <c r="P36" i="1"/>
  <c r="I36" i="1"/>
  <c r="Q36" i="1"/>
  <c r="J36" i="1"/>
  <c r="R36" i="1"/>
  <c r="R12" i="1" s="1"/>
  <c r="R11" i="1" s="1"/>
  <c r="K36" i="1"/>
  <c r="S36" i="1"/>
  <c r="S12" i="1" s="1"/>
  <c r="S11" i="1" s="1"/>
  <c r="L36" i="1"/>
  <c r="T36" i="1"/>
  <c r="T12" i="1" s="1"/>
  <c r="T11" i="1" s="1"/>
  <c r="M36" i="1"/>
  <c r="U36" i="1"/>
  <c r="U12" i="1" s="1"/>
  <c r="U11" i="1" s="1"/>
  <c r="F36" i="1"/>
  <c r="F263" i="1" s="1"/>
  <c r="N36" i="1"/>
  <c r="Y73" i="1" l="1"/>
  <c r="X71" i="1"/>
  <c r="Z74" i="1"/>
  <c r="Z100" i="1"/>
  <c r="Z115" i="1"/>
  <c r="Z118" i="1" s="1"/>
  <c r="Z121" i="1" s="1"/>
  <c r="Z107" i="1"/>
  <c r="Z116" i="1"/>
  <c r="Z119" i="1" s="1"/>
  <c r="Z122" i="1" s="1"/>
  <c r="AA77" i="1"/>
  <c r="AA76" i="1"/>
  <c r="AA110" i="1"/>
  <c r="AA112" i="1"/>
  <c r="AA111" i="1"/>
  <c r="AA104" i="1"/>
  <c r="AA102" i="1"/>
  <c r="AA103" i="1"/>
  <c r="AL206" i="1"/>
  <c r="AL208" i="1" s="1"/>
  <c r="AL74" i="1"/>
  <c r="AL60" i="1"/>
  <c r="AJ60" i="1"/>
  <c r="AJ74" i="1"/>
  <c r="AJ223" i="1"/>
  <c r="AJ224" i="1" s="1"/>
  <c r="T263" i="1"/>
  <c r="P263" i="1"/>
  <c r="D206" i="1"/>
  <c r="D208" i="1" s="1"/>
  <c r="D60" i="1"/>
  <c r="CB51" i="1"/>
  <c r="BX247" i="1"/>
  <c r="BX50" i="1"/>
  <c r="BX258" i="1" s="1"/>
  <c r="BX56" i="1"/>
  <c r="BY52" i="1"/>
  <c r="AK206" i="1"/>
  <c r="AK208" i="1" s="1"/>
  <c r="AK74" i="1"/>
  <c r="AK60" i="1"/>
  <c r="M263" i="1"/>
  <c r="R263" i="1"/>
  <c r="I263" i="1"/>
  <c r="K263" i="1"/>
  <c r="G263" i="1"/>
  <c r="H263" i="1"/>
  <c r="L263" i="1"/>
  <c r="S263" i="1"/>
  <c r="O263" i="1"/>
  <c r="J263" i="1"/>
  <c r="N263" i="1"/>
  <c r="U263" i="1"/>
  <c r="V263" i="1"/>
  <c r="Q263" i="1"/>
  <c r="R120" i="1"/>
  <c r="R126" i="1" s="1"/>
  <c r="S38" i="1"/>
  <c r="T120" i="1"/>
  <c r="T126" i="1" s="1"/>
  <c r="U38" i="1"/>
  <c r="U120" i="1"/>
  <c r="U126" i="1" s="1"/>
  <c r="V38" i="1"/>
  <c r="P120" i="1"/>
  <c r="Q38" i="1"/>
  <c r="Q120" i="1"/>
  <c r="R38" i="1"/>
  <c r="I120" i="1"/>
  <c r="J38" i="1"/>
  <c r="S120" i="1"/>
  <c r="S126" i="1" s="1"/>
  <c r="T38" i="1"/>
  <c r="H120" i="1"/>
  <c r="I38" i="1"/>
  <c r="E120" i="1"/>
  <c r="F38" i="1"/>
  <c r="L120" i="1"/>
  <c r="M38" i="1"/>
  <c r="O120" i="1"/>
  <c r="P38" i="1"/>
  <c r="N120" i="1"/>
  <c r="O38" i="1"/>
  <c r="K120" i="1"/>
  <c r="L38" i="1"/>
  <c r="F120" i="1"/>
  <c r="G38" i="1"/>
  <c r="G120" i="1"/>
  <c r="H38" i="1"/>
  <c r="M120" i="1"/>
  <c r="N38" i="1"/>
  <c r="J120" i="1"/>
  <c r="K38" i="1"/>
  <c r="CN216" i="1"/>
  <c r="CN214" i="1" s="1"/>
  <c r="CO147" i="1"/>
  <c r="CV85" i="1"/>
  <c r="AD215" i="1"/>
  <c r="AB155" i="1"/>
  <c r="AE150" i="1"/>
  <c r="AD150" i="1"/>
  <c r="CT71" i="1"/>
  <c r="AC71" i="1" s="1"/>
  <c r="AC73" i="1" s="1"/>
  <c r="CS73" i="1"/>
  <c r="C120" i="1"/>
  <c r="BY1" i="1"/>
  <c r="L37" i="1"/>
  <c r="N37" i="1"/>
  <c r="F37" i="1"/>
  <c r="O37" i="1"/>
  <c r="U42" i="1"/>
  <c r="U46" i="1" s="1"/>
  <c r="U37" i="1"/>
  <c r="G37" i="1"/>
  <c r="S37" i="1"/>
  <c r="M37" i="1"/>
  <c r="R37" i="1"/>
  <c r="J37" i="1"/>
  <c r="I37" i="1"/>
  <c r="P37" i="1"/>
  <c r="H37" i="1"/>
  <c r="K37" i="1"/>
  <c r="T37" i="1"/>
  <c r="Q37" i="1"/>
  <c r="T245" i="1"/>
  <c r="T246" i="1" s="1"/>
  <c r="Q245" i="1"/>
  <c r="Q246" i="1" s="1"/>
  <c r="K245" i="1"/>
  <c r="K246" i="1" s="1"/>
  <c r="O245" i="1"/>
  <c r="O246" i="1" s="1"/>
  <c r="U245" i="1"/>
  <c r="U246" i="1" s="1"/>
  <c r="L245" i="1"/>
  <c r="L246" i="1" s="1"/>
  <c r="C245" i="1"/>
  <c r="C246" i="1" s="1"/>
  <c r="I245" i="1"/>
  <c r="I246" i="1" s="1"/>
  <c r="G245" i="1"/>
  <c r="G246" i="1" s="1"/>
  <c r="R245" i="1"/>
  <c r="R246" i="1" s="1"/>
  <c r="P245" i="1"/>
  <c r="P246" i="1" s="1"/>
  <c r="F245" i="1"/>
  <c r="F246" i="1" s="1"/>
  <c r="M245" i="1"/>
  <c r="M246" i="1" s="1"/>
  <c r="N245" i="1"/>
  <c r="N246" i="1" s="1"/>
  <c r="E245" i="1"/>
  <c r="E246" i="1" s="1"/>
  <c r="S245" i="1"/>
  <c r="S246" i="1" s="1"/>
  <c r="J245" i="1"/>
  <c r="J246" i="1" s="1"/>
  <c r="H245" i="1"/>
  <c r="H246" i="1" s="1"/>
  <c r="B42" i="1"/>
  <c r="L42" i="1"/>
  <c r="Q42" i="1"/>
  <c r="T42" i="1"/>
  <c r="N42" i="1"/>
  <c r="S42" i="1"/>
  <c r="F42" i="1"/>
  <c r="K42" i="1"/>
  <c r="H42" i="1"/>
  <c r="I42" i="1"/>
  <c r="P42" i="1"/>
  <c r="C42" i="1"/>
  <c r="O42" i="1"/>
  <c r="R42" i="1"/>
  <c r="M42" i="1"/>
  <c r="G42" i="1"/>
  <c r="E42" i="1"/>
  <c r="J42" i="1"/>
  <c r="Y74" i="1" l="1"/>
  <c r="Y107" i="1"/>
  <c r="Y100" i="1"/>
  <c r="Y115" i="1"/>
  <c r="Y118" i="1" s="1"/>
  <c r="Y121" i="1" s="1"/>
  <c r="Y116" i="1"/>
  <c r="Y119" i="1" s="1"/>
  <c r="Y122" i="1" s="1"/>
  <c r="X73" i="1"/>
  <c r="W71" i="1"/>
  <c r="V71" i="1" s="1"/>
  <c r="U71" i="1" s="1"/>
  <c r="T71" i="1" s="1"/>
  <c r="S71" i="1" s="1"/>
  <c r="R71" i="1" s="1"/>
  <c r="Q71" i="1" s="1"/>
  <c r="P71" i="1" s="1"/>
  <c r="O71" i="1" s="1"/>
  <c r="N71" i="1" s="1"/>
  <c r="M71" i="1" s="1"/>
  <c r="L71" i="1" s="1"/>
  <c r="K71" i="1" s="1"/>
  <c r="J71" i="1" s="1"/>
  <c r="I71" i="1" s="1"/>
  <c r="H71" i="1" s="1"/>
  <c r="G71" i="1" s="1"/>
  <c r="F71" i="1" s="1"/>
  <c r="E71" i="1" s="1"/>
  <c r="Z77" i="1"/>
  <c r="Z76" i="1"/>
  <c r="Z103" i="1"/>
  <c r="Z102" i="1"/>
  <c r="Z104" i="1"/>
  <c r="Z111" i="1"/>
  <c r="Z110" i="1"/>
  <c r="Z112" i="1"/>
  <c r="AA94" i="1"/>
  <c r="AA93" i="1"/>
  <c r="AA95" i="1"/>
  <c r="CA62" i="1"/>
  <c r="BX74" i="1"/>
  <c r="CA77" i="1" s="1"/>
  <c r="BX206" i="1"/>
  <c r="BX208" i="1" s="1"/>
  <c r="BX60" i="1"/>
  <c r="AK220" i="1"/>
  <c r="AK218" i="1" s="1"/>
  <c r="AL220" i="1"/>
  <c r="AL218" i="1" s="1"/>
  <c r="BK177" i="1"/>
  <c r="BM177" i="1"/>
  <c r="CO151" i="1"/>
  <c r="CP40" i="1"/>
  <c r="CW85" i="1"/>
  <c r="AE153" i="1"/>
  <c r="AE215" i="1" s="1"/>
  <c r="CT73" i="1"/>
  <c r="CU71" i="1"/>
  <c r="BZ1" i="1"/>
  <c r="U49" i="1"/>
  <c r="V51" i="1" s="1"/>
  <c r="U48" i="1"/>
  <c r="P46" i="1"/>
  <c r="P49" i="1" s="1"/>
  <c r="R46" i="1"/>
  <c r="R49" i="1" s="1"/>
  <c r="E46" i="1"/>
  <c r="S46" i="1"/>
  <c r="S48" i="1" s="1"/>
  <c r="G46" i="1"/>
  <c r="G49" i="1" s="1"/>
  <c r="K46" i="1"/>
  <c r="K49" i="1" s="1"/>
  <c r="B46" i="1"/>
  <c r="O46" i="1"/>
  <c r="O49" i="1" s="1"/>
  <c r="H46" i="1"/>
  <c r="H49" i="1" s="1"/>
  <c r="N46" i="1"/>
  <c r="N49" i="1" s="1"/>
  <c r="L46" i="1"/>
  <c r="L48" i="1" s="1"/>
  <c r="C46" i="1"/>
  <c r="M46" i="1"/>
  <c r="M48" i="1" s="1"/>
  <c r="T46" i="1"/>
  <c r="T49" i="1" s="1"/>
  <c r="F46" i="1"/>
  <c r="F48" i="1" s="1"/>
  <c r="J46" i="1"/>
  <c r="J48" i="1" s="1"/>
  <c r="I46" i="1"/>
  <c r="I48" i="1" s="1"/>
  <c r="Q46" i="1"/>
  <c r="Q49" i="1" s="1"/>
  <c r="V247" i="1"/>
  <c r="Y77" i="1" l="1"/>
  <c r="Y76" i="1"/>
  <c r="Y112" i="1"/>
  <c r="Y110" i="1"/>
  <c r="Y111" i="1"/>
  <c r="Y104" i="1"/>
  <c r="Y102" i="1"/>
  <c r="Y103" i="1"/>
  <c r="X74" i="1"/>
  <c r="X116" i="1"/>
  <c r="X119" i="1" s="1"/>
  <c r="X122" i="1" s="1"/>
  <c r="X100" i="1"/>
  <c r="X115" i="1"/>
  <c r="X118" i="1" s="1"/>
  <c r="X121" i="1" s="1"/>
  <c r="X107" i="1"/>
  <c r="Z78" i="1"/>
  <c r="Z95" i="1"/>
  <c r="Z93" i="1"/>
  <c r="Z94" i="1"/>
  <c r="AA78" i="1"/>
  <c r="R51" i="1"/>
  <c r="CE78" i="1"/>
  <c r="CA95" i="1"/>
  <c r="CA94" i="1"/>
  <c r="CD98" i="1" s="1"/>
  <c r="BW97" i="1"/>
  <c r="CA93" i="1"/>
  <c r="U51" i="1"/>
  <c r="O51" i="1"/>
  <c r="AB40" i="1"/>
  <c r="B49" i="1"/>
  <c r="B48" i="1"/>
  <c r="C49" i="1"/>
  <c r="C48" i="1"/>
  <c r="E49" i="1"/>
  <c r="E56" i="1" s="1"/>
  <c r="E48" i="1"/>
  <c r="P51" i="1"/>
  <c r="H51" i="1"/>
  <c r="Q51" i="1"/>
  <c r="BJ178" i="1"/>
  <c r="BJ179" i="1" s="1"/>
  <c r="BL178" i="1"/>
  <c r="BL179" i="1" s="1"/>
  <c r="CP207" i="1"/>
  <c r="CP145" i="1"/>
  <c r="CO216" i="1"/>
  <c r="CO214" i="1" s="1"/>
  <c r="CX85" i="1"/>
  <c r="CV71" i="1"/>
  <c r="CU73" i="1"/>
  <c r="CA1" i="1"/>
  <c r="CB1" i="1" s="1"/>
  <c r="O48" i="1"/>
  <c r="BL247" i="1"/>
  <c r="S49" i="1"/>
  <c r="U50" i="1"/>
  <c r="U258" i="1" s="1"/>
  <c r="P50" i="1"/>
  <c r="P258" i="1" s="1"/>
  <c r="Q56" i="1"/>
  <c r="Q50" i="1"/>
  <c r="Q258" i="1" s="1"/>
  <c r="L49" i="1"/>
  <c r="P48" i="1"/>
  <c r="H50" i="1"/>
  <c r="H258" i="1" s="1"/>
  <c r="G50" i="1"/>
  <c r="G258" i="1" s="1"/>
  <c r="U56" i="1"/>
  <c r="N50" i="1"/>
  <c r="N258" i="1" s="1"/>
  <c r="R50" i="1"/>
  <c r="R258" i="1" s="1"/>
  <c r="K50" i="1"/>
  <c r="K258" i="1" s="1"/>
  <c r="O56" i="1"/>
  <c r="O50" i="1"/>
  <c r="O258" i="1" s="1"/>
  <c r="T56" i="1"/>
  <c r="T50" i="1"/>
  <c r="T258" i="1" s="1"/>
  <c r="R48" i="1"/>
  <c r="K48" i="1"/>
  <c r="N48" i="1"/>
  <c r="G48" i="1"/>
  <c r="H48" i="1"/>
  <c r="J49" i="1"/>
  <c r="K51" i="1" s="1"/>
  <c r="M49" i="1"/>
  <c r="N51" i="1" s="1"/>
  <c r="T48" i="1"/>
  <c r="F49" i="1"/>
  <c r="G51" i="1" s="1"/>
  <c r="I49" i="1"/>
  <c r="I51" i="1" s="1"/>
  <c r="O247" i="1"/>
  <c r="Q48" i="1"/>
  <c r="P247" i="1"/>
  <c r="P56" i="1"/>
  <c r="K247" i="1"/>
  <c r="K56" i="1"/>
  <c r="H247" i="1"/>
  <c r="H56" i="1"/>
  <c r="R56" i="1"/>
  <c r="N56" i="1"/>
  <c r="G56" i="1"/>
  <c r="G247" i="1"/>
  <c r="R247" i="1"/>
  <c r="N247" i="1"/>
  <c r="Q247" i="1"/>
  <c r="U247" i="1"/>
  <c r="T247" i="1"/>
  <c r="V60" i="1"/>
  <c r="V206" i="1"/>
  <c r="V208" i="1" s="1"/>
  <c r="Y95" i="1" l="1"/>
  <c r="Y94" i="1"/>
  <c r="Y93" i="1"/>
  <c r="X76" i="1"/>
  <c r="X77" i="1"/>
  <c r="X104" i="1"/>
  <c r="X102" i="1"/>
  <c r="X103" i="1"/>
  <c r="X110" i="1"/>
  <c r="X111" i="1"/>
  <c r="X112" i="1"/>
  <c r="E247" i="1"/>
  <c r="AB207" i="1"/>
  <c r="E50" i="1"/>
  <c r="E258" i="1" s="1"/>
  <c r="E51" i="1"/>
  <c r="D51" i="1"/>
  <c r="C50" i="1"/>
  <c r="B50" i="1"/>
  <c r="C51" i="1"/>
  <c r="F51" i="1"/>
  <c r="M51" i="1"/>
  <c r="S50" i="1"/>
  <c r="S258" i="1" s="1"/>
  <c r="T51" i="1"/>
  <c r="L51" i="1"/>
  <c r="J51" i="1"/>
  <c r="S51" i="1"/>
  <c r="I73" i="1"/>
  <c r="I107" i="1" s="1"/>
  <c r="Q73" i="1"/>
  <c r="Q107" i="1" s="1"/>
  <c r="U73" i="1"/>
  <c r="U107" i="1" s="1"/>
  <c r="F73" i="1"/>
  <c r="F107" i="1" s="1"/>
  <c r="R73" i="1"/>
  <c r="R107" i="1" s="1"/>
  <c r="J73" i="1"/>
  <c r="N73" i="1"/>
  <c r="N74" i="1" s="1"/>
  <c r="N77" i="1" s="1"/>
  <c r="T73" i="1"/>
  <c r="E73" i="1"/>
  <c r="E107" i="1" s="1"/>
  <c r="H73" i="1"/>
  <c r="H107" i="1" s="1"/>
  <c r="S73" i="1"/>
  <c r="V73" i="1"/>
  <c r="V107" i="1" s="1"/>
  <c r="P73" i="1"/>
  <c r="G73" i="1"/>
  <c r="G74" i="1" s="1"/>
  <c r="G77" i="1" s="1"/>
  <c r="L73" i="1"/>
  <c r="K73" i="1"/>
  <c r="AB145" i="1"/>
  <c r="AB147" i="1" s="1"/>
  <c r="AB41" i="1" s="1"/>
  <c r="CP147" i="1"/>
  <c r="AD85" i="1"/>
  <c r="CY85" i="1"/>
  <c r="CV73" i="1"/>
  <c r="CW71" i="1"/>
  <c r="CC1" i="1"/>
  <c r="K60" i="1"/>
  <c r="G60" i="1"/>
  <c r="E60" i="1"/>
  <c r="S56" i="1"/>
  <c r="S247" i="1"/>
  <c r="L247" i="1"/>
  <c r="L56" i="1"/>
  <c r="O206" i="1"/>
  <c r="O208" i="1" s="1"/>
  <c r="O60" i="1"/>
  <c r="B247" i="1"/>
  <c r="B56" i="1"/>
  <c r="M56" i="1"/>
  <c r="M50" i="1"/>
  <c r="M258" i="1" s="1"/>
  <c r="C247" i="1"/>
  <c r="I56" i="1"/>
  <c r="I50" i="1"/>
  <c r="I258" i="1" s="1"/>
  <c r="J56" i="1"/>
  <c r="J50" i="1"/>
  <c r="J258" i="1" s="1"/>
  <c r="F56" i="1"/>
  <c r="F50" i="1"/>
  <c r="F258" i="1" s="1"/>
  <c r="L50" i="1"/>
  <c r="L258" i="1" s="1"/>
  <c r="J247" i="1"/>
  <c r="E206" i="1"/>
  <c r="E208" i="1" s="1"/>
  <c r="R206" i="1"/>
  <c r="R208" i="1" s="1"/>
  <c r="M247" i="1"/>
  <c r="R60" i="1"/>
  <c r="I247" i="1"/>
  <c r="H60" i="1"/>
  <c r="H206" i="1"/>
  <c r="H208" i="1" s="1"/>
  <c r="F247" i="1"/>
  <c r="C56" i="1"/>
  <c r="N206" i="1"/>
  <c r="N208" i="1" s="1"/>
  <c r="N60" i="1"/>
  <c r="G206" i="1"/>
  <c r="G208" i="1" s="1"/>
  <c r="P60" i="1"/>
  <c r="K206" i="1"/>
  <c r="K208" i="1" s="1"/>
  <c r="P206" i="1"/>
  <c r="P208" i="1" s="1"/>
  <c r="U60" i="1"/>
  <c r="U206" i="1"/>
  <c r="U208" i="1" s="1"/>
  <c r="Q60" i="1"/>
  <c r="Q206" i="1"/>
  <c r="Q208" i="1" s="1"/>
  <c r="T60" i="1"/>
  <c r="T206" i="1"/>
  <c r="T208" i="1" s="1"/>
  <c r="X94" i="1" l="1"/>
  <c r="X95" i="1"/>
  <c r="X93" i="1"/>
  <c r="Y78" i="1"/>
  <c r="R74" i="1"/>
  <c r="R77" i="1" s="1"/>
  <c r="K107" i="1"/>
  <c r="L107" i="1"/>
  <c r="T107" i="1"/>
  <c r="P107" i="1"/>
  <c r="G107" i="1"/>
  <c r="S107" i="1"/>
  <c r="J107" i="1"/>
  <c r="N107" i="1"/>
  <c r="H74" i="1"/>
  <c r="U74" i="1"/>
  <c r="U77" i="1" s="1"/>
  <c r="V74" i="1"/>
  <c r="E74" i="1"/>
  <c r="Q74" i="1"/>
  <c r="T74" i="1"/>
  <c r="T77" i="1" s="1"/>
  <c r="M73" i="1"/>
  <c r="M74" i="1" s="1"/>
  <c r="M77" i="1" s="1"/>
  <c r="O73" i="1"/>
  <c r="O107" i="1" s="1"/>
  <c r="W73" i="1"/>
  <c r="W107" i="1" s="1"/>
  <c r="K74" i="1"/>
  <c r="P74" i="1"/>
  <c r="P77" i="1" s="1"/>
  <c r="CP151" i="1"/>
  <c r="CP216" i="1" s="1"/>
  <c r="CP214" i="1" s="1"/>
  <c r="CQ40" i="1"/>
  <c r="CZ85" i="1"/>
  <c r="AC155" i="1"/>
  <c r="CX71" i="1"/>
  <c r="AD71" i="1" s="1"/>
  <c r="AD73" i="1" s="1"/>
  <c r="CW73" i="1"/>
  <c r="CD1" i="1"/>
  <c r="CE1" i="1" s="1"/>
  <c r="CF1" i="1" s="1"/>
  <c r="CG1" i="1" s="1"/>
  <c r="CH1" i="1" s="1"/>
  <c r="CI1" i="1" s="1"/>
  <c r="CJ1" i="1" s="1"/>
  <c r="CK1" i="1" s="1"/>
  <c r="CL1" i="1" s="1"/>
  <c r="L206" i="1"/>
  <c r="L208" i="1" s="1"/>
  <c r="J206" i="1"/>
  <c r="J208" i="1" s="1"/>
  <c r="J74" i="1"/>
  <c r="J77" i="1" s="1"/>
  <c r="M206" i="1"/>
  <c r="M208" i="1" s="1"/>
  <c r="B60" i="1"/>
  <c r="F60" i="1"/>
  <c r="F74" i="1"/>
  <c r="F77" i="1" s="1"/>
  <c r="I60" i="1"/>
  <c r="I74" i="1"/>
  <c r="C60" i="1"/>
  <c r="L60" i="1"/>
  <c r="L74" i="1"/>
  <c r="S74" i="1"/>
  <c r="S60" i="1"/>
  <c r="J60" i="1"/>
  <c r="S206" i="1"/>
  <c r="S208" i="1" s="1"/>
  <c r="M60" i="1"/>
  <c r="I206" i="1"/>
  <c r="I208" i="1" s="1"/>
  <c r="F206" i="1"/>
  <c r="F208" i="1" s="1"/>
  <c r="C206" i="1"/>
  <c r="C208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AB47" i="3"/>
  <c r="C47" i="3"/>
  <c r="AP58" i="3"/>
  <c r="AB54" i="3"/>
  <c r="AB86" i="3"/>
  <c r="AP49" i="3"/>
  <c r="C28" i="3"/>
  <c r="Q62" i="2"/>
  <c r="V55" i="2"/>
  <c r="U104" i="2"/>
  <c r="H91" i="2"/>
  <c r="K54" i="2"/>
  <c r="M62" i="2"/>
  <c r="P66" i="2"/>
  <c r="R86" i="2"/>
  <c r="G106" i="2"/>
  <c r="E86" i="2"/>
  <c r="D85" i="2"/>
  <c r="J93" i="2"/>
  <c r="N58" i="2"/>
  <c r="D98" i="2"/>
  <c r="N112" i="2"/>
  <c r="O98" i="2"/>
  <c r="L48" i="2"/>
  <c r="R56" i="2"/>
  <c r="H53" i="2"/>
  <c r="J82" i="2"/>
  <c r="D72" i="2"/>
  <c r="F106" i="2"/>
  <c r="W68" i="2"/>
  <c r="C69" i="2"/>
  <c r="X99" i="2"/>
  <c r="L77" i="2"/>
  <c r="W105" i="2"/>
  <c r="E85" i="2"/>
  <c r="W107" i="2"/>
  <c r="U111" i="2"/>
  <c r="J79" i="2"/>
  <c r="R112" i="2"/>
  <c r="V76" i="2"/>
  <c r="W89" i="2"/>
  <c r="R111" i="2"/>
  <c r="D87" i="2"/>
  <c r="N74" i="2"/>
  <c r="E54" i="2"/>
  <c r="E83" i="2"/>
  <c r="Q75" i="2"/>
  <c r="J87" i="2"/>
  <c r="U89" i="2"/>
  <c r="E91" i="2"/>
  <c r="L80" i="2"/>
  <c r="M79" i="2"/>
  <c r="C93" i="2"/>
  <c r="X48" i="2"/>
  <c r="G56" i="2"/>
  <c r="H67" i="2"/>
  <c r="R73" i="2"/>
  <c r="M51" i="2"/>
  <c r="Q72" i="2"/>
  <c r="V77" i="2"/>
  <c r="V68" i="2"/>
  <c r="D56" i="2"/>
  <c r="X104" i="2"/>
  <c r="H90" i="2"/>
  <c r="J60" i="2"/>
  <c r="T58" i="2"/>
  <c r="K77" i="2"/>
  <c r="Q73" i="2"/>
  <c r="X112" i="2"/>
  <c r="X109" i="2"/>
  <c r="W96" i="2"/>
  <c r="S64" i="2"/>
  <c r="F97" i="2"/>
  <c r="S98" i="2"/>
  <c r="AB83" i="3"/>
  <c r="AB57" i="3"/>
  <c r="AP88" i="3"/>
  <c r="AB50" i="3"/>
  <c r="AB62" i="3"/>
  <c r="AP76" i="3"/>
  <c r="AP67" i="3"/>
  <c r="H20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AA24" i="3"/>
  <c r="H33" i="3"/>
  <c r="X42" i="3"/>
  <c r="Z32" i="3"/>
  <c r="AO35" i="3"/>
  <c r="R31" i="3"/>
  <c r="AQ35" i="3"/>
  <c r="AE27" i="3"/>
  <c r="O33" i="3"/>
  <c r="AH20" i="3"/>
  <c r="AO11" i="3"/>
  <c r="P16" i="3"/>
  <c r="L18" i="3"/>
  <c r="W10" i="3"/>
  <c r="AK13" i="3"/>
  <c r="Y23" i="3"/>
  <c r="J13" i="3"/>
  <c r="AL17" i="3"/>
  <c r="AK14" i="3"/>
  <c r="AH19" i="3"/>
  <c r="G33" i="3"/>
  <c r="Q42" i="3"/>
  <c r="R22" i="3"/>
  <c r="R8" i="3"/>
  <c r="AJ37" i="3"/>
  <c r="AA28" i="3"/>
  <c r="N18" i="3"/>
  <c r="L10" i="3"/>
  <c r="U40" i="3"/>
  <c r="I89" i="2"/>
  <c r="T108" i="2"/>
  <c r="D109" i="2"/>
  <c r="P76" i="2"/>
  <c r="D78" i="2"/>
  <c r="L75" i="2"/>
  <c r="W108" i="2"/>
  <c r="U84" i="2"/>
  <c r="V49" i="2"/>
  <c r="I106" i="2"/>
  <c r="X49" i="2"/>
  <c r="D62" i="2"/>
  <c r="D108" i="2"/>
  <c r="M92" i="2"/>
  <c r="L112" i="2"/>
  <c r="W113" i="2"/>
  <c r="C96" i="2"/>
  <c r="T90" i="2"/>
  <c r="S53" i="2"/>
  <c r="L50" i="2"/>
  <c r="X46" i="2"/>
  <c r="I66" i="2"/>
  <c r="C42" i="2"/>
  <c r="W44" i="2"/>
  <c r="I61" i="2"/>
  <c r="P47" i="2"/>
  <c r="W92" i="2"/>
  <c r="R105" i="2"/>
  <c r="L45" i="2"/>
  <c r="R64" i="2"/>
  <c r="V62" i="2"/>
  <c r="E71" i="2"/>
  <c r="O96" i="2"/>
  <c r="G93" i="2"/>
  <c r="G52" i="2"/>
  <c r="J68" i="2"/>
  <c r="M112" i="2"/>
  <c r="L60" i="2"/>
  <c r="H71" i="2"/>
  <c r="J105" i="2"/>
  <c r="J113" i="2"/>
  <c r="J58" i="2"/>
  <c r="X105" i="2"/>
  <c r="J85" i="2"/>
  <c r="F79" i="2"/>
  <c r="V82" i="2"/>
  <c r="T56" i="2"/>
  <c r="K65" i="2"/>
  <c r="G87" i="2"/>
  <c r="C97" i="2"/>
  <c r="V46" i="2"/>
  <c r="P49" i="2"/>
  <c r="K46" i="2"/>
  <c r="G85" i="2"/>
  <c r="U110" i="2"/>
  <c r="G67" i="2"/>
  <c r="X80" i="2"/>
  <c r="P74" i="2"/>
  <c r="D41" i="2"/>
  <c r="R99" i="2"/>
  <c r="J98" i="2"/>
  <c r="H97" i="2"/>
  <c r="X54" i="2"/>
  <c r="H59" i="2"/>
  <c r="O109" i="2"/>
  <c r="D42" i="2"/>
  <c r="R60" i="2"/>
  <c r="AP68" i="3"/>
  <c r="AP93" i="3"/>
  <c r="AP90" i="3"/>
  <c r="AP65" i="3"/>
  <c r="AP82" i="3"/>
  <c r="AB49" i="3"/>
  <c r="AB91" i="3"/>
  <c r="T23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O113" i="2"/>
  <c r="O77" i="2"/>
  <c r="P85" i="2"/>
  <c r="J61" i="2"/>
  <c r="M85" i="2"/>
  <c r="G109" i="2"/>
  <c r="K50" i="2"/>
  <c r="S40" i="2"/>
  <c r="K94" i="2"/>
  <c r="L93" i="2"/>
  <c r="I85" i="2"/>
  <c r="K62" i="2"/>
  <c r="L82" i="2"/>
  <c r="C58" i="2"/>
  <c r="D45" i="2"/>
  <c r="P42" i="2"/>
  <c r="U68" i="2"/>
  <c r="E70" i="2"/>
  <c r="L51" i="2"/>
  <c r="W75" i="2"/>
  <c r="S79" i="2"/>
  <c r="N105" i="2"/>
  <c r="W59" i="2"/>
  <c r="K95" i="2"/>
  <c r="L44" i="2"/>
  <c r="L69" i="2"/>
  <c r="D79" i="2"/>
  <c r="I56" i="2"/>
  <c r="T68" i="2"/>
  <c r="M89" i="2"/>
  <c r="X69" i="2"/>
  <c r="D91" i="2"/>
  <c r="S97" i="2"/>
  <c r="I99" i="2"/>
  <c r="R84" i="2"/>
  <c r="R113" i="2"/>
  <c r="V99" i="2"/>
  <c r="T47" i="2"/>
  <c r="U61" i="2"/>
  <c r="W41" i="2"/>
  <c r="K81" i="2"/>
  <c r="V47" i="2"/>
  <c r="H69" i="2"/>
  <c r="P53" i="2"/>
  <c r="C52" i="2"/>
  <c r="L66" i="2"/>
  <c r="U106" i="2"/>
  <c r="D58" i="2"/>
  <c r="P93" i="2"/>
  <c r="X43" i="2"/>
  <c r="I81" i="2"/>
  <c r="O52" i="2"/>
  <c r="C78" i="2"/>
  <c r="V91" i="2"/>
  <c r="S65" i="2"/>
  <c r="V97" i="2"/>
  <c r="I93" i="2"/>
  <c r="E112" i="2"/>
  <c r="C66" i="2"/>
  <c r="N44" i="2"/>
  <c r="O66" i="2"/>
  <c r="V45" i="2"/>
  <c r="I79" i="2"/>
  <c r="U65" i="2"/>
  <c r="N92" i="2"/>
  <c r="L109" i="2"/>
  <c r="X45" i="2"/>
  <c r="AB61" i="3"/>
  <c r="C48" i="3"/>
  <c r="AP83" i="3"/>
  <c r="AP79" i="3"/>
  <c r="AP87" i="3"/>
  <c r="AB97" i="3"/>
  <c r="AB66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K25" i="3"/>
  <c r="Q25" i="3"/>
  <c r="P33" i="3"/>
  <c r="J14" i="3"/>
  <c r="AA19" i="3"/>
  <c r="AC15" i="3"/>
  <c r="AD31" i="3"/>
  <c r="AD29" i="3"/>
  <c r="U20" i="3"/>
  <c r="AB15" i="3"/>
  <c r="W8" i="3"/>
  <c r="AN30" i="3"/>
  <c r="Y8" i="3"/>
  <c r="AP42" i="3"/>
  <c r="AQ31" i="3"/>
  <c r="C13" i="3"/>
  <c r="S22" i="3"/>
  <c r="O12" i="3"/>
  <c r="W30" i="3"/>
  <c r="AD23" i="3"/>
  <c r="W14" i="3"/>
  <c r="AO22" i="3"/>
  <c r="V15" i="3"/>
  <c r="L14" i="3"/>
  <c r="T26" i="3"/>
  <c r="AL42" i="3"/>
  <c r="AP33" i="3"/>
  <c r="AL8" i="3"/>
  <c r="K107" i="2"/>
  <c r="V67" i="2"/>
  <c r="E106" i="2"/>
  <c r="T76" i="2"/>
  <c r="D80" i="2"/>
  <c r="U42" i="2"/>
  <c r="U91" i="2"/>
  <c r="F40" i="2"/>
  <c r="D90" i="2"/>
  <c r="P46" i="2"/>
  <c r="V96" i="2"/>
  <c r="X70" i="2"/>
  <c r="F99" i="2"/>
  <c r="G92" i="2"/>
  <c r="E64" i="2"/>
  <c r="P71" i="2"/>
  <c r="F46" i="2"/>
  <c r="H84" i="2"/>
  <c r="U92" i="2"/>
  <c r="G89" i="2"/>
  <c r="W47" i="2"/>
  <c r="F111" i="2"/>
  <c r="W83" i="2"/>
  <c r="V92" i="2"/>
  <c r="P81" i="2"/>
  <c r="M44" i="2"/>
  <c r="U45" i="2"/>
  <c r="S105" i="2"/>
  <c r="W49" i="2"/>
  <c r="C43" i="2"/>
  <c r="T79" i="2"/>
  <c r="F86" i="2"/>
  <c r="G110" i="2"/>
  <c r="W61" i="2"/>
  <c r="J76" i="2"/>
  <c r="Q90" i="2"/>
  <c r="W106" i="2"/>
  <c r="L79" i="2"/>
  <c r="N53" i="2"/>
  <c r="D71" i="2"/>
  <c r="G88" i="2"/>
  <c r="E50" i="2"/>
  <c r="V66" i="2"/>
  <c r="K40" i="2"/>
  <c r="K92" i="2"/>
  <c r="Q107" i="2"/>
  <c r="C77" i="2"/>
  <c r="N91" i="2"/>
  <c r="P86" i="2"/>
  <c r="S47" i="2"/>
  <c r="X91" i="2"/>
  <c r="T96" i="2"/>
  <c r="M63" i="2"/>
  <c r="D40" i="2"/>
  <c r="Q50" i="2"/>
  <c r="I69" i="2"/>
  <c r="D75" i="2"/>
  <c r="F59" i="2"/>
  <c r="G86" i="2"/>
  <c r="T57" i="2"/>
  <c r="P56" i="2"/>
  <c r="P77" i="2"/>
  <c r="W52" i="2"/>
  <c r="F81" i="2"/>
  <c r="P45" i="2"/>
  <c r="T110" i="2"/>
  <c r="M42" i="2"/>
  <c r="F93" i="2"/>
  <c r="AB81" i="3"/>
  <c r="AP66" i="3"/>
  <c r="AB93" i="3"/>
  <c r="AP63" i="3"/>
  <c r="AP94" i="3"/>
  <c r="C49" i="3"/>
  <c r="AP64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AM42" i="3"/>
  <c r="W32" i="3"/>
  <c r="AE15" i="3"/>
  <c r="U13" i="3"/>
  <c r="AE36" i="3"/>
  <c r="J40" i="3"/>
  <c r="AJ35" i="3"/>
  <c r="L12" i="3"/>
  <c r="P28" i="3"/>
  <c r="AG41" i="3"/>
  <c r="V35" i="3"/>
  <c r="O31" i="3"/>
  <c r="AE26" i="3"/>
  <c r="H8" i="3"/>
  <c r="T15" i="3"/>
  <c r="AH18" i="3"/>
  <c r="AE22" i="3"/>
  <c r="T5" i="3"/>
  <c r="AP32" i="3"/>
  <c r="AI33" i="3"/>
  <c r="K20" i="3"/>
  <c r="T28" i="3"/>
  <c r="AD19" i="3"/>
  <c r="W38" i="3"/>
  <c r="K14" i="3"/>
  <c r="K39" i="3"/>
  <c r="AK8" i="3"/>
  <c r="V42" i="3"/>
  <c r="AN36" i="3"/>
  <c r="S10" i="3"/>
  <c r="Q18" i="3"/>
  <c r="J31" i="3"/>
  <c r="V39" i="3"/>
  <c r="G65" i="2"/>
  <c r="Q83" i="2"/>
  <c r="I98" i="2"/>
  <c r="O95" i="2"/>
  <c r="G71" i="2"/>
  <c r="N64" i="2"/>
  <c r="C94" i="2"/>
  <c r="E62" i="2"/>
  <c r="O68" i="2"/>
  <c r="J46" i="2"/>
  <c r="L65" i="2"/>
  <c r="K61" i="2"/>
  <c r="I104" i="2"/>
  <c r="M82" i="2"/>
  <c r="O82" i="2"/>
  <c r="K74" i="2"/>
  <c r="M54" i="2"/>
  <c r="C53" i="2"/>
  <c r="R81" i="2"/>
  <c r="T66" i="2"/>
  <c r="V80" i="2"/>
  <c r="W99" i="2"/>
  <c r="O58" i="2"/>
  <c r="V113" i="2"/>
  <c r="D52" i="2"/>
  <c r="R77" i="2"/>
  <c r="L111" i="2"/>
  <c r="W109" i="2"/>
  <c r="V111" i="2"/>
  <c r="K98" i="2"/>
  <c r="F48" i="2"/>
  <c r="C57" i="2"/>
  <c r="E51" i="2"/>
  <c r="S88" i="2"/>
  <c r="G68" i="2"/>
  <c r="O63" i="2"/>
  <c r="J73" i="2"/>
  <c r="E98" i="2"/>
  <c r="C105" i="2"/>
  <c r="O44" i="2"/>
  <c r="J111" i="2"/>
  <c r="M83" i="2"/>
  <c r="I42" i="2"/>
  <c r="N69" i="2"/>
  <c r="W53" i="2"/>
  <c r="I45" i="2"/>
  <c r="M109" i="2"/>
  <c r="F56" i="2"/>
  <c r="O79" i="2"/>
  <c r="H68" i="2"/>
  <c r="J49" i="2"/>
  <c r="Q98" i="2"/>
  <c r="I51" i="2"/>
  <c r="I105" i="2"/>
  <c r="F77" i="2"/>
  <c r="J88" i="2"/>
  <c r="F66" i="2"/>
  <c r="X78" i="2"/>
  <c r="L61" i="2"/>
  <c r="T70" i="2"/>
  <c r="I40" i="2"/>
  <c r="K106" i="2"/>
  <c r="K64" i="2"/>
  <c r="E77" i="2"/>
  <c r="X68" i="2"/>
  <c r="E96" i="2"/>
  <c r="V79" i="2"/>
  <c r="AB89" i="3"/>
  <c r="AB78" i="3"/>
  <c r="AB92" i="3"/>
  <c r="AB96" i="3"/>
  <c r="AB87" i="3"/>
  <c r="AP50" i="3"/>
  <c r="AB76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X39" i="3"/>
  <c r="AC34" i="3"/>
  <c r="K37" i="3"/>
  <c r="AL19" i="3"/>
  <c r="J10" i="3"/>
  <c r="M18" i="3"/>
  <c r="Q7" i="3"/>
  <c r="E95" i="2"/>
  <c r="S80" i="2"/>
  <c r="L86" i="2"/>
  <c r="U79" i="2"/>
  <c r="J43" i="2"/>
  <c r="F70" i="2"/>
  <c r="N45" i="2"/>
  <c r="S74" i="2"/>
  <c r="I67" i="2"/>
  <c r="O74" i="2"/>
  <c r="M53" i="2"/>
  <c r="C46" i="2"/>
  <c r="G99" i="2"/>
  <c r="P67" i="2"/>
  <c r="D63" i="2"/>
  <c r="F95" i="2"/>
  <c r="S43" i="2"/>
  <c r="X98" i="2"/>
  <c r="L113" i="2"/>
  <c r="Q76" i="2"/>
  <c r="T40" i="2"/>
  <c r="L41" i="2"/>
  <c r="P41" i="2"/>
  <c r="T94" i="2"/>
  <c r="C47" i="2"/>
  <c r="K105" i="2"/>
  <c r="L94" i="2"/>
  <c r="W42" i="2"/>
  <c r="R98" i="2"/>
  <c r="W54" i="2"/>
  <c r="W111" i="2"/>
  <c r="H72" i="2"/>
  <c r="S93" i="2"/>
  <c r="C60" i="2"/>
  <c r="P108" i="2"/>
  <c r="R93" i="2"/>
  <c r="C62" i="2"/>
  <c r="K48" i="2"/>
  <c r="V63" i="2"/>
  <c r="F61" i="2"/>
  <c r="X76" i="2"/>
  <c r="J44" i="2"/>
  <c r="D64" i="2"/>
  <c r="M84" i="2"/>
  <c r="N75" i="2"/>
  <c r="L99" i="2"/>
  <c r="N109" i="2"/>
  <c r="O104" i="2"/>
  <c r="V109" i="2"/>
  <c r="J77" i="2"/>
  <c r="D43" i="2"/>
  <c r="Q86" i="2"/>
  <c r="W64" i="2"/>
  <c r="J51" i="2"/>
  <c r="N110" i="2"/>
  <c r="M64" i="2"/>
  <c r="R104" i="2"/>
  <c r="K83" i="2"/>
  <c r="N46" i="2"/>
  <c r="G76" i="2"/>
  <c r="H77" i="2"/>
  <c r="G69" i="2"/>
  <c r="J67" i="2"/>
  <c r="C56" i="2"/>
  <c r="V83" i="2"/>
  <c r="L40" i="2"/>
  <c r="N77" i="2"/>
  <c r="AP84" i="3"/>
  <c r="AB80" i="3"/>
  <c r="AP55" i="3"/>
  <c r="AB71" i="3"/>
  <c r="AB82" i="3"/>
  <c r="AB67" i="3"/>
  <c r="AP60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G31" i="3"/>
  <c r="AM34" i="3"/>
  <c r="Y14" i="3"/>
  <c r="V28" i="3"/>
  <c r="AM6" i="3"/>
  <c r="Q17" i="3"/>
  <c r="AH8" i="3"/>
  <c r="P6" i="3"/>
  <c r="AA41" i="3"/>
  <c r="U36" i="3"/>
  <c r="AO17" i="3"/>
  <c r="H16" i="3"/>
  <c r="AD26" i="3"/>
  <c r="AK33" i="3"/>
  <c r="S6" i="3"/>
  <c r="AG5" i="3"/>
  <c r="C36" i="3"/>
  <c r="AC41" i="3"/>
  <c r="S106" i="2"/>
  <c r="O84" i="2"/>
  <c r="N97" i="2"/>
  <c r="M104" i="2"/>
  <c r="O56" i="2"/>
  <c r="G98" i="2"/>
  <c r="I95" i="2"/>
  <c r="U99" i="2"/>
  <c r="F50" i="2"/>
  <c r="D61" i="2"/>
  <c r="W93" i="2"/>
  <c r="P64" i="2"/>
  <c r="H110" i="2"/>
  <c r="T69" i="2"/>
  <c r="G58" i="2"/>
  <c r="M57" i="2"/>
  <c r="U75" i="2"/>
  <c r="K108" i="2"/>
  <c r="K104" i="2"/>
  <c r="S99" i="2"/>
  <c r="I113" i="2"/>
  <c r="R62" i="2"/>
  <c r="W88" i="2"/>
  <c r="D110" i="2"/>
  <c r="G61" i="2"/>
  <c r="S63" i="2"/>
  <c r="N72" i="2"/>
  <c r="T80" i="2"/>
  <c r="U62" i="2"/>
  <c r="H44" i="2"/>
  <c r="N90" i="2"/>
  <c r="R74" i="2"/>
  <c r="J63" i="2"/>
  <c r="Q88" i="2"/>
  <c r="U63" i="2"/>
  <c r="U94" i="2"/>
  <c r="S48" i="2"/>
  <c r="K51" i="2"/>
  <c r="X42" i="2"/>
  <c r="D46" i="2"/>
  <c r="L56" i="2"/>
  <c r="J40" i="2"/>
  <c r="D112" i="2"/>
  <c r="D55" i="2"/>
  <c r="O53" i="2"/>
  <c r="M43" i="2"/>
  <c r="N86" i="2"/>
  <c r="M72" i="2"/>
  <c r="F64" i="2"/>
  <c r="L64" i="2"/>
  <c r="I111" i="2"/>
  <c r="J48" i="2"/>
  <c r="G54" i="2"/>
  <c r="K112" i="2"/>
  <c r="C40" i="2"/>
  <c r="D67" i="2"/>
  <c r="W86" i="2"/>
  <c r="O67" i="2"/>
  <c r="M56" i="2"/>
  <c r="G42" i="2"/>
  <c r="W104" i="2"/>
  <c r="T62" i="2"/>
  <c r="R59" i="2"/>
  <c r="E48" i="2"/>
  <c r="R40" i="2"/>
  <c r="H109" i="2"/>
  <c r="X81" i="2"/>
  <c r="O61" i="2"/>
  <c r="F82" i="2"/>
  <c r="M59" i="2"/>
  <c r="U113" i="2"/>
  <c r="AP70" i="3"/>
  <c r="AB55" i="3"/>
  <c r="AP59" i="3"/>
  <c r="AP91" i="3"/>
  <c r="AP95" i="3"/>
  <c r="AP72" i="3"/>
  <c r="AP69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O9" i="3"/>
  <c r="L23" i="3"/>
  <c r="N36" i="3"/>
  <c r="P35" i="3"/>
  <c r="AQ12" i="3"/>
  <c r="AK41" i="3"/>
  <c r="AJ11" i="3"/>
  <c r="W9" i="3"/>
  <c r="AH41" i="3"/>
  <c r="AA10" i="3"/>
  <c r="P29" i="3"/>
  <c r="R9" i="3"/>
  <c r="I30" i="3"/>
  <c r="AM37" i="3"/>
  <c r="AE23" i="3"/>
  <c r="AL6" i="3"/>
  <c r="U10" i="3"/>
  <c r="K30" i="3"/>
  <c r="Q21" i="3"/>
  <c r="Y9" i="3"/>
  <c r="AG24" i="3"/>
  <c r="R19" i="3"/>
  <c r="AO36" i="3"/>
  <c r="U66" i="2"/>
  <c r="M40" i="2"/>
  <c r="K75" i="2"/>
  <c r="P55" i="2"/>
  <c r="G66" i="2"/>
  <c r="U80" i="2"/>
  <c r="C81" i="2"/>
  <c r="T55" i="2"/>
  <c r="S109" i="2"/>
  <c r="E52" i="2"/>
  <c r="J71" i="2"/>
  <c r="N50" i="2"/>
  <c r="O49" i="2"/>
  <c r="D53" i="2"/>
  <c r="V65" i="2"/>
  <c r="M46" i="2"/>
  <c r="F57" i="2"/>
  <c r="W71" i="2"/>
  <c r="T65" i="2"/>
  <c r="C49" i="2"/>
  <c r="F42" i="2"/>
  <c r="V73" i="2"/>
  <c r="R58" i="2"/>
  <c r="J94" i="2"/>
  <c r="R87" i="2"/>
  <c r="F49" i="2"/>
  <c r="R63" i="2"/>
  <c r="P62" i="2"/>
  <c r="O90" i="2"/>
  <c r="X96" i="2"/>
  <c r="Q82" i="2"/>
  <c r="D86" i="2"/>
  <c r="H111" i="2"/>
  <c r="U73" i="2"/>
  <c r="L108" i="2"/>
  <c r="H56" i="2"/>
  <c r="N62" i="2"/>
  <c r="R80" i="2"/>
  <c r="S72" i="2"/>
  <c r="T82" i="2"/>
  <c r="R70" i="2"/>
  <c r="E107" i="2"/>
  <c r="E93" i="2"/>
  <c r="M58" i="2"/>
  <c r="N99" i="2"/>
  <c r="X52" i="2"/>
  <c r="K89" i="2"/>
  <c r="M75" i="2"/>
  <c r="I55" i="2"/>
  <c r="N49" i="2"/>
  <c r="R43" i="2"/>
  <c r="P58" i="2"/>
  <c r="H106" i="2"/>
  <c r="T112" i="2"/>
  <c r="R45" i="2"/>
  <c r="H57" i="2"/>
  <c r="S90" i="2"/>
  <c r="J90" i="2"/>
  <c r="R65" i="2"/>
  <c r="T105" i="2"/>
  <c r="C51" i="2"/>
  <c r="D113" i="2"/>
  <c r="G62" i="2"/>
  <c r="S54" i="2"/>
  <c r="S95" i="2"/>
  <c r="I73" i="2"/>
  <c r="O108" i="2"/>
  <c r="U51" i="2"/>
  <c r="AB65" i="3"/>
  <c r="AP75" i="3"/>
  <c r="AP48" i="3"/>
  <c r="AB94" i="3"/>
  <c r="AP81" i="3"/>
  <c r="AB56" i="3"/>
  <c r="AB64" i="3"/>
  <c r="AB74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H60" i="2"/>
  <c r="D111" i="2"/>
  <c r="T97" i="2"/>
  <c r="T43" i="2"/>
  <c r="P107" i="2"/>
  <c r="Q74" i="2"/>
  <c r="R66" i="2"/>
  <c r="X47" i="2"/>
  <c r="D84" i="2"/>
  <c r="F60" i="2"/>
  <c r="M41" i="2"/>
  <c r="C106" i="2"/>
  <c r="V56" i="2"/>
  <c r="M95" i="2"/>
  <c r="M90" i="2"/>
  <c r="E80" i="2"/>
  <c r="C110" i="2"/>
  <c r="P57" i="2"/>
  <c r="C61" i="2"/>
  <c r="Q51" i="2"/>
  <c r="W112" i="2"/>
  <c r="C87" i="2"/>
  <c r="AB79" i="3"/>
  <c r="AP89" i="3"/>
  <c r="C37" i="3"/>
  <c r="AP10" i="3"/>
  <c r="R36" i="3"/>
  <c r="AH16" i="3"/>
  <c r="I36" i="3"/>
  <c r="AL30" i="3"/>
  <c r="Z11" i="3"/>
  <c r="AM41" i="3"/>
  <c r="AH36" i="3"/>
  <c r="AM26" i="3"/>
  <c r="R40" i="3"/>
  <c r="Q23" i="3"/>
  <c r="AB30" i="3"/>
  <c r="AC7" i="3"/>
  <c r="Y16" i="3"/>
  <c r="AP11" i="3"/>
  <c r="C40" i="3"/>
  <c r="E50" i="3"/>
  <c r="AP17" i="3"/>
  <c r="T12" i="3"/>
  <c r="AK10" i="3"/>
  <c r="Y32" i="3"/>
  <c r="Q28" i="3"/>
  <c r="M8" i="3"/>
  <c r="AH25" i="3"/>
  <c r="AN28" i="3"/>
  <c r="R41" i="3"/>
  <c r="U27" i="3"/>
  <c r="AG20" i="3"/>
  <c r="AM31" i="3"/>
  <c r="P7" i="3"/>
  <c r="AP24" i="3"/>
  <c r="T39" i="3"/>
  <c r="D48" i="3"/>
  <c r="O40" i="3"/>
  <c r="AK23" i="3"/>
  <c r="X41" i="3"/>
  <c r="X18" i="3"/>
  <c r="H39" i="3"/>
  <c r="K8" i="3"/>
  <c r="AQ11" i="3"/>
  <c r="N41" i="3"/>
  <c r="AO13" i="3"/>
  <c r="AQ15" i="3"/>
  <c r="W39" i="3"/>
  <c r="AA37" i="3"/>
  <c r="D97" i="2"/>
  <c r="G50" i="2"/>
  <c r="I88" i="2"/>
  <c r="U29" i="3"/>
  <c r="M86" i="2"/>
  <c r="S42" i="2"/>
  <c r="AB72" i="3"/>
  <c r="X17" i="3"/>
  <c r="AI26" i="3"/>
  <c r="P83" i="2"/>
  <c r="I25" i="3"/>
  <c r="U32" i="3"/>
  <c r="M106" i="2"/>
  <c r="Q53" i="2"/>
  <c r="C41" i="2"/>
  <c r="P63" i="2"/>
  <c r="Q89" i="2"/>
  <c r="X108" i="2"/>
  <c r="S78" i="2"/>
  <c r="N104" i="2"/>
  <c r="X82" i="2"/>
  <c r="K109" i="2"/>
  <c r="W55" i="2"/>
  <c r="W69" i="2"/>
  <c r="O110" i="2"/>
  <c r="O60" i="2"/>
  <c r="O55" i="2"/>
  <c r="W82" i="2"/>
  <c r="C104" i="2"/>
  <c r="H58" i="2"/>
  <c r="P52" i="2"/>
  <c r="U70" i="2"/>
  <c r="F62" i="2"/>
  <c r="D107" i="2"/>
  <c r="F88" i="2"/>
  <c r="AP61" i="3"/>
  <c r="AB69" i="3"/>
  <c r="L19" i="3"/>
  <c r="Q34" i="3"/>
  <c r="AJ22" i="3"/>
  <c r="W33" i="3"/>
  <c r="N19" i="3"/>
  <c r="X24" i="3"/>
  <c r="X35" i="3"/>
  <c r="AM21" i="3"/>
  <c r="AC27" i="3"/>
  <c r="AN37" i="3"/>
  <c r="AN25" i="3"/>
  <c r="Y19" i="3"/>
  <c r="AG10" i="3"/>
  <c r="J38" i="3"/>
  <c r="U37" i="3"/>
  <c r="Y30" i="3"/>
  <c r="H32" i="3"/>
  <c r="AC23" i="3"/>
  <c r="X26" i="3"/>
  <c r="AG36" i="3"/>
  <c r="X22" i="3"/>
  <c r="R33" i="3"/>
  <c r="P24" i="3"/>
  <c r="Y20" i="3"/>
  <c r="G38" i="3"/>
  <c r="AO12" i="3"/>
  <c r="L15" i="3"/>
  <c r="T20" i="3"/>
  <c r="AM10" i="3"/>
  <c r="AK6" i="3"/>
  <c r="X37" i="3"/>
  <c r="V21" i="3"/>
  <c r="Z39" i="3"/>
  <c r="AP27" i="3"/>
  <c r="M24" i="3"/>
  <c r="AA15" i="3"/>
  <c r="AJ27" i="3"/>
  <c r="H12" i="3"/>
  <c r="V37" i="3"/>
  <c r="AO8" i="3"/>
  <c r="Y21" i="3"/>
  <c r="J19" i="3"/>
  <c r="J11" i="3"/>
  <c r="AP35" i="3"/>
  <c r="V10" i="3"/>
  <c r="N27" i="3"/>
  <c r="AQ28" i="3"/>
  <c r="AO26" i="3"/>
  <c r="N32" i="3"/>
  <c r="AN29" i="3"/>
  <c r="Q41" i="3"/>
  <c r="AA11" i="3"/>
  <c r="U14" i="3"/>
  <c r="P31" i="3"/>
  <c r="AA16" i="3"/>
  <c r="AB14" i="3"/>
  <c r="AK40" i="3"/>
  <c r="I11" i="3"/>
  <c r="Q20" i="3"/>
  <c r="L34" i="3"/>
  <c r="C15" i="3"/>
  <c r="AL39" i="3"/>
  <c r="S38" i="3"/>
  <c r="G39" i="3"/>
  <c r="AD21" i="3"/>
  <c r="AL13" i="3"/>
  <c r="U35" i="3"/>
  <c r="Y12" i="3"/>
  <c r="T18" i="3"/>
  <c r="AH9" i="3"/>
  <c r="U42" i="3"/>
  <c r="AE40" i="3"/>
  <c r="AN15" i="3"/>
  <c r="AP38" i="3"/>
  <c r="AC24" i="3"/>
  <c r="W40" i="3"/>
  <c r="Y11" i="3"/>
  <c r="O16" i="3"/>
  <c r="AI28" i="3"/>
  <c r="AE29" i="3"/>
  <c r="U25" i="3"/>
  <c r="AQ27" i="3"/>
  <c r="Z18" i="3"/>
  <c r="AJ10" i="3"/>
  <c r="AB31" i="3"/>
  <c r="AQ7" i="3"/>
  <c r="AO40" i="3"/>
  <c r="D99" i="2"/>
  <c r="C99" i="2"/>
  <c r="E49" i="3"/>
  <c r="U11" i="3"/>
  <c r="O15" i="3"/>
  <c r="W6" i="3"/>
  <c r="AB42" i="3"/>
  <c r="AN40" i="3"/>
  <c r="Z41" i="3"/>
  <c r="J24" i="3"/>
  <c r="AJ9" i="3"/>
  <c r="V20" i="3"/>
  <c r="C67" i="2"/>
  <c r="E69" i="2"/>
  <c r="P82" i="2"/>
  <c r="W45" i="2"/>
  <c r="E73" i="2"/>
  <c r="AP80" i="3"/>
  <c r="H9" i="3"/>
  <c r="AE5" i="3"/>
  <c r="J29" i="3"/>
  <c r="J33" i="3"/>
  <c r="AB17" i="3"/>
  <c r="K49" i="2"/>
  <c r="E82" i="2"/>
  <c r="X59" i="2"/>
  <c r="J112" i="2"/>
  <c r="Q63" i="2"/>
  <c r="T95" i="2"/>
  <c r="X93" i="2"/>
  <c r="E104" i="2"/>
  <c r="K88" i="2"/>
  <c r="N40" i="2"/>
  <c r="V71" i="2"/>
  <c r="I86" i="2"/>
  <c r="W80" i="2"/>
  <c r="P43" i="2"/>
  <c r="M81" i="2"/>
  <c r="V93" i="2"/>
  <c r="D59" i="2"/>
  <c r="S59" i="2"/>
  <c r="J96" i="2"/>
  <c r="N54" i="2"/>
  <c r="Q44" i="2"/>
  <c r="H93" i="2"/>
  <c r="L105" i="2"/>
  <c r="AB88" i="3"/>
  <c r="AB75" i="3"/>
  <c r="AP73" i="3"/>
  <c r="O39" i="3"/>
  <c r="T25" i="3"/>
  <c r="AO15" i="3"/>
  <c r="AI41" i="3"/>
  <c r="L11" i="3"/>
  <c r="AP13" i="3"/>
  <c r="AL37" i="3"/>
  <c r="R32" i="3"/>
  <c r="AC42" i="3"/>
  <c r="N10" i="3"/>
  <c r="AC13" i="3"/>
  <c r="AI38" i="3"/>
  <c r="T22" i="3"/>
  <c r="M31" i="3"/>
  <c r="AN17" i="3"/>
  <c r="I29" i="3"/>
  <c r="AO10" i="3"/>
  <c r="AG18" i="3"/>
  <c r="W35" i="3"/>
  <c r="O27" i="3"/>
  <c r="AQ40" i="3"/>
  <c r="AH34" i="3"/>
  <c r="K10" i="3"/>
  <c r="N9" i="3"/>
  <c r="V30" i="3"/>
  <c r="AP20" i="3"/>
  <c r="I20" i="3"/>
  <c r="P37" i="3"/>
  <c r="AL28" i="3"/>
  <c r="AH27" i="3"/>
  <c r="C4" i="3"/>
  <c r="AI7" i="3"/>
  <c r="W25" i="3"/>
  <c r="AC11" i="3"/>
  <c r="H29" i="3"/>
  <c r="R7" i="3"/>
  <c r="V19" i="3"/>
  <c r="X6" i="3"/>
  <c r="AA32" i="3"/>
  <c r="L38" i="3"/>
  <c r="Q40" i="3"/>
  <c r="M12" i="3"/>
  <c r="R21" i="3"/>
  <c r="AN16" i="3"/>
  <c r="P50" i="2"/>
  <c r="I49" i="2"/>
  <c r="F108" i="2"/>
  <c r="W98" i="2"/>
  <c r="K90" i="2"/>
  <c r="W60" i="2"/>
  <c r="C98" i="2"/>
  <c r="C89" i="2"/>
  <c r="T75" i="2"/>
  <c r="G53" i="2"/>
  <c r="F51" i="2"/>
  <c r="H89" i="2"/>
  <c r="N43" i="2"/>
  <c r="G59" i="2"/>
  <c r="E88" i="2"/>
  <c r="R71" i="2"/>
  <c r="G49" i="2"/>
  <c r="T109" i="2"/>
  <c r="D68" i="2"/>
  <c r="M67" i="2"/>
  <c r="O50" i="2"/>
  <c r="T63" i="2"/>
  <c r="AB58" i="3"/>
  <c r="AB63" i="3"/>
  <c r="AB85" i="3"/>
  <c r="AN33" i="3"/>
  <c r="AO39" i="3"/>
  <c r="L25" i="3"/>
  <c r="AE9" i="3"/>
  <c r="S33" i="3"/>
  <c r="AQ18" i="3"/>
  <c r="AP30" i="3"/>
  <c r="AL31" i="3"/>
  <c r="AD38" i="3"/>
  <c r="AP8" i="3"/>
  <c r="AK24" i="3"/>
  <c r="AE19" i="3"/>
  <c r="Q38" i="3"/>
  <c r="H42" i="3"/>
  <c r="C24" i="3"/>
  <c r="AQ22" i="3"/>
  <c r="AO29" i="3"/>
  <c r="Z29" i="3"/>
  <c r="O10" i="3"/>
  <c r="N38" i="3"/>
  <c r="AH38" i="3"/>
  <c r="AI29" i="3"/>
  <c r="AJ40" i="3"/>
  <c r="S20" i="3"/>
  <c r="J22" i="3"/>
  <c r="X20" i="3"/>
  <c r="T6" i="3"/>
  <c r="M40" i="3"/>
  <c r="K5" i="3"/>
  <c r="AO27" i="3"/>
  <c r="AE42" i="3"/>
  <c r="I21" i="3"/>
  <c r="M5" i="3"/>
  <c r="Z21" i="3"/>
  <c r="Q12" i="3"/>
  <c r="AK32" i="3"/>
  <c r="H26" i="3"/>
  <c r="AC10" i="3"/>
  <c r="X23" i="3"/>
  <c r="AH6" i="3"/>
  <c r="L35" i="3"/>
  <c r="U19" i="3"/>
  <c r="AC36" i="3"/>
  <c r="R20" i="3"/>
  <c r="AQ41" i="3"/>
  <c r="AC5" i="3"/>
  <c r="V32" i="3"/>
  <c r="X33" i="3"/>
  <c r="J39" i="3"/>
  <c r="N17" i="3"/>
  <c r="K28" i="3"/>
  <c r="P36" i="3"/>
  <c r="G45" i="2"/>
  <c r="AP97" i="3"/>
  <c r="L20" i="3"/>
  <c r="S27" i="3"/>
  <c r="X25" i="3"/>
  <c r="K6" i="3"/>
  <c r="Q15" i="3"/>
  <c r="M42" i="3"/>
  <c r="AE16" i="3"/>
  <c r="O13" i="3"/>
  <c r="AD49" i="3"/>
  <c r="AJ29" i="3"/>
  <c r="I82" i="2"/>
  <c r="N76" i="2"/>
  <c r="O86" i="2"/>
  <c r="AA8" i="3"/>
  <c r="I7" i="3"/>
  <c r="Z7" i="3"/>
  <c r="AB7" i="3"/>
  <c r="AB40" i="3"/>
  <c r="L21" i="3"/>
  <c r="AK15" i="3"/>
  <c r="Q91" i="2"/>
  <c r="C74" i="2"/>
  <c r="N52" i="2"/>
  <c r="Q60" i="2"/>
  <c r="AN34" i="3"/>
  <c r="AI35" i="3"/>
  <c r="C10" i="3"/>
  <c r="AO5" i="3"/>
  <c r="M71" i="2"/>
  <c r="G40" i="2"/>
  <c r="S94" i="2"/>
  <c r="V75" i="2"/>
  <c r="T42" i="2"/>
  <c r="K80" i="2"/>
  <c r="P70" i="2"/>
  <c r="N82" i="2"/>
  <c r="G57" i="2"/>
  <c r="M60" i="2"/>
  <c r="D54" i="2"/>
  <c r="U109" i="2"/>
  <c r="O51" i="2"/>
  <c r="F107" i="2"/>
  <c r="R96" i="2"/>
  <c r="T71" i="2"/>
  <c r="D73" i="2"/>
  <c r="I110" i="2"/>
  <c r="G94" i="2"/>
  <c r="G64" i="2"/>
  <c r="L67" i="2"/>
  <c r="K111" i="2"/>
  <c r="AB73" i="3"/>
  <c r="AP47" i="3"/>
  <c r="AB84" i="3"/>
  <c r="AH23" i="3"/>
  <c r="AL41" i="3"/>
  <c r="I28" i="3"/>
  <c r="I19" i="3"/>
  <c r="N14" i="3"/>
  <c r="L29" i="3"/>
  <c r="I26" i="3"/>
  <c r="AH24" i="3"/>
  <c r="AP34" i="3"/>
  <c r="AA31" i="3"/>
  <c r="H21" i="3"/>
  <c r="S40" i="3"/>
  <c r="N81" i="2"/>
  <c r="K55" i="2"/>
  <c r="Q47" i="2"/>
  <c r="P32" i="3"/>
  <c r="AD35" i="3"/>
  <c r="J37" i="3"/>
  <c r="AO30" i="3"/>
  <c r="AE37" i="3"/>
  <c r="AL14" i="3"/>
  <c r="G47" i="3"/>
  <c r="I78" i="2"/>
  <c r="T107" i="2"/>
  <c r="D60" i="2"/>
  <c r="C95" i="2"/>
  <c r="V24" i="3"/>
  <c r="V41" i="3"/>
  <c r="D83" i="2"/>
  <c r="E79" i="2"/>
  <c r="U87" i="2"/>
  <c r="N111" i="2"/>
  <c r="G63" i="2"/>
  <c r="X74" i="2"/>
  <c r="E42" i="2"/>
  <c r="J16" i="3"/>
  <c r="K35" i="3"/>
  <c r="V38" i="3"/>
  <c r="AJ13" i="3"/>
  <c r="U9" i="3"/>
  <c r="AL18" i="3"/>
  <c r="P90" i="2"/>
  <c r="J107" i="2"/>
  <c r="M91" i="2"/>
  <c r="K52" i="2"/>
  <c r="E61" i="2"/>
  <c r="U53" i="2"/>
  <c r="U81" i="2"/>
  <c r="K60" i="2"/>
  <c r="Q106" i="2"/>
  <c r="K70" i="2"/>
  <c r="R89" i="2"/>
  <c r="J84" i="2"/>
  <c r="E68" i="2"/>
  <c r="R76" i="2"/>
  <c r="D95" i="2"/>
  <c r="Q42" i="2"/>
  <c r="W110" i="2"/>
  <c r="H63" i="2"/>
  <c r="H88" i="2"/>
  <c r="N67" i="2"/>
  <c r="S66" i="2"/>
  <c r="O47" i="2"/>
  <c r="AP96" i="3"/>
  <c r="AP92" i="3"/>
  <c r="AB95" i="3"/>
  <c r="H41" i="3"/>
  <c r="R25" i="3"/>
  <c r="P5" i="3"/>
  <c r="AA25" i="3"/>
  <c r="AE34" i="3"/>
  <c r="AD32" i="3"/>
  <c r="AN7" i="3"/>
  <c r="M33" i="3"/>
  <c r="C27" i="3"/>
  <c r="G48" i="3"/>
  <c r="I18" i="3"/>
  <c r="AE30" i="3"/>
  <c r="AO18" i="3"/>
  <c r="AN11" i="3"/>
  <c r="AP29" i="3"/>
  <c r="S15" i="3"/>
  <c r="V23" i="3"/>
  <c r="R48" i="2"/>
  <c r="M45" i="2"/>
  <c r="T46" i="2"/>
  <c r="R83" i="2"/>
  <c r="J97" i="2"/>
  <c r="P60" i="2"/>
  <c r="AK29" i="3"/>
  <c r="AK22" i="3"/>
  <c r="AC14" i="3"/>
  <c r="P15" i="3"/>
  <c r="T40" i="3"/>
  <c r="P104" i="2"/>
  <c r="K68" i="2"/>
  <c r="Z6" i="3"/>
  <c r="AJ41" i="3"/>
  <c r="J42" i="3"/>
  <c r="H36" i="3"/>
  <c r="O11" i="3"/>
  <c r="K18" i="3"/>
  <c r="S26" i="3"/>
  <c r="AM35" i="3"/>
  <c r="Y42" i="3"/>
  <c r="AM36" i="3"/>
  <c r="P12" i="3"/>
  <c r="AD41" i="3"/>
  <c r="H85" i="2"/>
  <c r="D106" i="2"/>
  <c r="C108" i="2"/>
  <c r="AL33" i="3"/>
  <c r="W18" i="3"/>
  <c r="AB18" i="3"/>
  <c r="Q22" i="3"/>
  <c r="V13" i="3"/>
  <c r="AA22" i="3"/>
  <c r="H31" i="3"/>
  <c r="M14" i="3"/>
  <c r="Q10" i="3"/>
  <c r="E90" i="2"/>
  <c r="Q85" i="2"/>
  <c r="T78" i="2"/>
  <c r="I80" i="2"/>
  <c r="F41" i="2"/>
  <c r="L72" i="2"/>
  <c r="O106" i="2"/>
  <c r="M78" i="2"/>
  <c r="R51" i="2"/>
  <c r="Q93" i="2"/>
  <c r="D74" i="2"/>
  <c r="S71" i="2"/>
  <c r="J42" i="2"/>
  <c r="R72" i="2"/>
  <c r="U69" i="2"/>
  <c r="S113" i="2"/>
  <c r="G80" i="2"/>
  <c r="U43" i="2"/>
  <c r="T74" i="2"/>
  <c r="G55" i="2"/>
  <c r="K63" i="2"/>
  <c r="G83" i="2"/>
  <c r="AB48" i="3"/>
  <c r="AP74" i="3"/>
  <c r="Z30" i="3"/>
  <c r="N26" i="3"/>
  <c r="R24" i="3"/>
  <c r="Z8" i="3"/>
  <c r="O37" i="3"/>
  <c r="S32" i="3"/>
  <c r="AE14" i="3"/>
  <c r="AM8" i="3"/>
  <c r="AM14" i="3"/>
  <c r="AM39" i="3"/>
  <c r="AA42" i="3"/>
  <c r="G32" i="3"/>
  <c r="AJ14" i="3"/>
  <c r="U12" i="3"/>
  <c r="C42" i="3"/>
  <c r="P21" i="3"/>
  <c r="AH10" i="3"/>
  <c r="E48" i="3"/>
  <c r="Q9" i="3"/>
  <c r="S24" i="3"/>
  <c r="S23" i="3"/>
  <c r="AL7" i="3"/>
  <c r="I6" i="3"/>
  <c r="AL12" i="3"/>
  <c r="AE17" i="3"/>
  <c r="U39" i="3"/>
  <c r="Q30" i="3"/>
  <c r="R13" i="3"/>
  <c r="N13" i="3"/>
  <c r="O36" i="3"/>
  <c r="M28" i="3"/>
  <c r="N31" i="3"/>
  <c r="K27" i="3"/>
  <c r="T42" i="3"/>
  <c r="AD34" i="3"/>
  <c r="N33" i="3"/>
  <c r="AI17" i="3"/>
  <c r="I17" i="3"/>
  <c r="K9" i="3"/>
  <c r="AK16" i="3"/>
  <c r="L41" i="3"/>
  <c r="N22" i="3"/>
  <c r="S37" i="3"/>
  <c r="AL16" i="3"/>
  <c r="I40" i="3"/>
  <c r="T11" i="3"/>
  <c r="L39" i="3"/>
  <c r="AE38" i="3"/>
  <c r="W13" i="3"/>
  <c r="AO9" i="3"/>
  <c r="AL25" i="3"/>
  <c r="AN10" i="3"/>
  <c r="Y29" i="3"/>
  <c r="Y10" i="3"/>
  <c r="AK38" i="3"/>
  <c r="AJ42" i="3"/>
  <c r="N23" i="3"/>
  <c r="AM18" i="3"/>
  <c r="C18" i="3"/>
  <c r="AN41" i="3"/>
  <c r="AG13" i="3"/>
  <c r="Y41" i="3"/>
  <c r="T13" i="3"/>
  <c r="AJ6" i="3"/>
  <c r="K16" i="3"/>
  <c r="U72" i="2"/>
  <c r="D96" i="2"/>
  <c r="O91" i="2"/>
  <c r="AP85" i="3"/>
  <c r="K40" i="3"/>
  <c r="AO21" i="3"/>
  <c r="L36" i="3"/>
  <c r="I10" i="3"/>
  <c r="K12" i="3"/>
  <c r="Q39" i="3"/>
  <c r="P65" i="2"/>
  <c r="L46" i="2"/>
  <c r="C91" i="2"/>
  <c r="U15" i="3"/>
  <c r="O24" i="3"/>
  <c r="AL21" i="3"/>
  <c r="AI40" i="3"/>
  <c r="AA26" i="3"/>
  <c r="X65" i="2"/>
  <c r="C83" i="2"/>
  <c r="AP71" i="3"/>
  <c r="O28" i="3"/>
  <c r="I8" i="3"/>
  <c r="O19" i="3"/>
  <c r="H30" i="3"/>
  <c r="AM27" i="3"/>
  <c r="P84" i="2"/>
  <c r="X83" i="2"/>
  <c r="P68" i="2"/>
  <c r="G47" i="2"/>
  <c r="N107" i="2"/>
  <c r="I77" i="2"/>
  <c r="W87" i="2"/>
  <c r="S92" i="2"/>
  <c r="P99" i="2"/>
  <c r="N66" i="2"/>
  <c r="S107" i="2"/>
  <c r="N108" i="2"/>
  <c r="L98" i="2"/>
  <c r="H62" i="2"/>
  <c r="N113" i="2"/>
  <c r="H42" i="2"/>
  <c r="K78" i="2"/>
  <c r="T52" i="2"/>
  <c r="S111" i="2"/>
  <c r="J95" i="2"/>
  <c r="G60" i="2"/>
  <c r="F69" i="2"/>
  <c r="AB77" i="3"/>
  <c r="AP54" i="3"/>
  <c r="W5" i="3"/>
  <c r="AM16" i="3"/>
  <c r="Z10" i="3"/>
  <c r="AK21" i="3"/>
  <c r="M29" i="3"/>
  <c r="K29" i="3"/>
  <c r="Q31" i="3"/>
  <c r="U24" i="3"/>
  <c r="AM40" i="3"/>
  <c r="S34" i="3"/>
  <c r="C25" i="3"/>
  <c r="AH11" i="3"/>
  <c r="R6" i="3"/>
  <c r="C33" i="3"/>
  <c r="AJ36" i="3"/>
  <c r="AC17" i="3"/>
  <c r="S19" i="3"/>
  <c r="AH28" i="3"/>
  <c r="AL40" i="3"/>
  <c r="AI37" i="3"/>
  <c r="AG33" i="3"/>
  <c r="F113" i="2"/>
  <c r="I87" i="2"/>
  <c r="U85" i="2"/>
  <c r="M47" i="2"/>
  <c r="G36" i="3"/>
  <c r="AC29" i="3"/>
  <c r="AG8" i="3"/>
  <c r="H10" i="3"/>
  <c r="V70" i="2"/>
  <c r="I22" i="3"/>
  <c r="Z37" i="3"/>
  <c r="AD40" i="3"/>
  <c r="Q14" i="3"/>
  <c r="AQ26" i="3"/>
  <c r="Q37" i="3"/>
  <c r="O21" i="3"/>
  <c r="AE39" i="3"/>
  <c r="N20" i="3"/>
  <c r="Y31" i="3"/>
  <c r="N30" i="3"/>
  <c r="AQ30" i="3"/>
  <c r="AA14" i="3"/>
  <c r="X9" i="3"/>
  <c r="S28" i="3"/>
  <c r="U44" i="2"/>
  <c r="L81" i="2"/>
  <c r="O76" i="2"/>
  <c r="V72" i="2"/>
  <c r="O78" i="2"/>
  <c r="X62" i="2"/>
  <c r="W40" i="2"/>
  <c r="O87" i="2"/>
  <c r="T48" i="2"/>
  <c r="K72" i="2"/>
  <c r="L53" i="2"/>
  <c r="C82" i="2"/>
  <c r="T83" i="2"/>
  <c r="N106" i="2"/>
  <c r="V81" i="2"/>
  <c r="F58" i="2"/>
  <c r="T86" i="2"/>
  <c r="V44" i="2"/>
  <c r="S58" i="2"/>
  <c r="K58" i="2"/>
  <c r="N57" i="2"/>
  <c r="V95" i="2"/>
  <c r="AP78" i="3"/>
  <c r="AP77" i="3"/>
  <c r="J36" i="3"/>
  <c r="AQ39" i="3"/>
  <c r="V8" i="3"/>
  <c r="AB20" i="3"/>
  <c r="AD28" i="3"/>
  <c r="N34" i="3"/>
  <c r="AH42" i="3"/>
  <c r="H24" i="3"/>
  <c r="M39" i="3"/>
  <c r="M20" i="3"/>
  <c r="M9" i="3"/>
  <c r="AA6" i="3"/>
  <c r="AM9" i="3"/>
  <c r="AI34" i="3"/>
  <c r="AI31" i="3"/>
  <c r="C8" i="3"/>
  <c r="AM24" i="3"/>
  <c r="AN19" i="3"/>
  <c r="I34" i="3"/>
  <c r="AK20" i="3"/>
  <c r="P19" i="3"/>
  <c r="AG34" i="3"/>
  <c r="AO16" i="3"/>
  <c r="Z40" i="3"/>
  <c r="R23" i="3"/>
  <c r="I33" i="3"/>
  <c r="L17" i="3"/>
  <c r="I12" i="3"/>
  <c r="AC21" i="3"/>
  <c r="Z42" i="3"/>
  <c r="AM28" i="3"/>
  <c r="AL32" i="3"/>
  <c r="AC32" i="3"/>
  <c r="N11" i="3"/>
  <c r="V17" i="3"/>
  <c r="S25" i="3"/>
  <c r="G34" i="3"/>
  <c r="AG40" i="3"/>
  <c r="K41" i="3"/>
  <c r="U17" i="3"/>
  <c r="AL11" i="3"/>
  <c r="AK28" i="3"/>
  <c r="T31" i="3"/>
  <c r="T50" i="2"/>
  <c r="F112" i="2"/>
  <c r="AJ31" i="3"/>
  <c r="U31" i="3"/>
  <c r="M13" i="3"/>
  <c r="AA21" i="3"/>
  <c r="U96" i="2"/>
  <c r="O99" i="2"/>
  <c r="K71" i="2"/>
  <c r="C79" i="2"/>
  <c r="AB70" i="3"/>
  <c r="P41" i="3"/>
  <c r="Z28" i="3"/>
  <c r="W31" i="3"/>
  <c r="Z38" i="3"/>
  <c r="AN42" i="3"/>
  <c r="AO19" i="3"/>
  <c r="J26" i="3"/>
  <c r="H22" i="3"/>
  <c r="BH158" i="1" l="1"/>
  <c r="B145" i="1"/>
  <c r="B139" i="1"/>
  <c r="B167" i="1" s="1"/>
  <c r="U184" i="1"/>
  <c r="D131" i="1"/>
  <c r="K177" i="1"/>
  <c r="M137" i="1"/>
  <c r="T82" i="1"/>
  <c r="M158" i="1"/>
  <c r="M193" i="1" s="1"/>
  <c r="U159" i="1"/>
  <c r="E185" i="1"/>
  <c r="W135" i="1"/>
  <c r="K173" i="1"/>
  <c r="T163" i="1"/>
  <c r="L137" i="1"/>
  <c r="F177" i="1"/>
  <c r="L131" i="1"/>
  <c r="C131" i="1"/>
  <c r="E150" i="1"/>
  <c r="N87" i="1"/>
  <c r="N112" i="1" s="1"/>
  <c r="N137" i="1"/>
  <c r="S145" i="1"/>
  <c r="W183" i="1"/>
  <c r="U177" i="1"/>
  <c r="W149" i="1"/>
  <c r="T146" i="1"/>
  <c r="S75" i="1"/>
  <c r="R146" i="1"/>
  <c r="H156" i="1"/>
  <c r="L87" i="1"/>
  <c r="C86" i="1"/>
  <c r="V81" i="1"/>
  <c r="M168" i="1"/>
  <c r="B87" i="1"/>
  <c r="B140" i="1"/>
  <c r="D158" i="1"/>
  <c r="D193" i="1" s="1"/>
  <c r="O135" i="1"/>
  <c r="R184" i="1"/>
  <c r="B184" i="1"/>
  <c r="Q162" i="1"/>
  <c r="D173" i="1"/>
  <c r="P137" i="1"/>
  <c r="J145" i="1"/>
  <c r="I150" i="1"/>
  <c r="F163" i="1"/>
  <c r="J146" i="1"/>
  <c r="H159" i="1"/>
  <c r="W166" i="1"/>
  <c r="G157" i="1"/>
  <c r="G192" i="1" s="1"/>
  <c r="R166" i="1"/>
  <c r="R196" i="1" s="1"/>
  <c r="K150" i="1"/>
  <c r="N162" i="1"/>
  <c r="G185" i="1"/>
  <c r="J85" i="1"/>
  <c r="V164" i="1"/>
  <c r="U135" i="1"/>
  <c r="W81" i="1"/>
  <c r="T87" i="1"/>
  <c r="T95" i="1" s="1"/>
  <c r="P163" i="1"/>
  <c r="B159" i="1"/>
  <c r="G158" i="1"/>
  <c r="G193" i="1" s="1"/>
  <c r="O158" i="1"/>
  <c r="O193" i="1" s="1"/>
  <c r="P156" i="1"/>
  <c r="C82" i="1"/>
  <c r="T86" i="1"/>
  <c r="T111" i="1" s="1"/>
  <c r="M145" i="1"/>
  <c r="T183" i="1"/>
  <c r="I184" i="1"/>
  <c r="D138" i="1"/>
  <c r="F157" i="1"/>
  <c r="F192" i="1" s="1"/>
  <c r="V159" i="1"/>
  <c r="O140" i="1"/>
  <c r="F159" i="1"/>
  <c r="J158" i="1"/>
  <c r="J193" i="1" s="1"/>
  <c r="B163" i="1"/>
  <c r="M150" i="1"/>
  <c r="F146" i="1"/>
  <c r="L150" i="1"/>
  <c r="F173" i="1"/>
  <c r="G135" i="1"/>
  <c r="D139" i="1"/>
  <c r="D167" i="1" s="1"/>
  <c r="S168" i="1"/>
  <c r="C130" i="1"/>
  <c r="I135" i="1"/>
  <c r="O138" i="1"/>
  <c r="J177" i="1"/>
  <c r="W173" i="1"/>
  <c r="F148" i="1"/>
  <c r="F144" i="1" s="1"/>
  <c r="D81" i="1"/>
  <c r="S176" i="1"/>
  <c r="R131" i="1"/>
  <c r="K131" i="1"/>
  <c r="J156" i="1"/>
  <c r="Q149" i="1"/>
  <c r="H185" i="1"/>
  <c r="W160" i="1"/>
  <c r="H172" i="1"/>
  <c r="C149" i="1"/>
  <c r="J130" i="1"/>
  <c r="M166" i="1"/>
  <c r="M196" i="1" s="1"/>
  <c r="F131" i="1"/>
  <c r="L146" i="1"/>
  <c r="O75" i="1"/>
  <c r="E135" i="1"/>
  <c r="C172" i="1"/>
  <c r="F150" i="1"/>
  <c r="W148" i="1"/>
  <c r="W144" i="1" s="1"/>
  <c r="O164" i="1"/>
  <c r="O168" i="1"/>
  <c r="C85" i="1"/>
  <c r="M153" i="1"/>
  <c r="L140" i="1"/>
  <c r="M75" i="1"/>
  <c r="M76" i="1" s="1"/>
  <c r="E158" i="1"/>
  <c r="E193" i="1" s="1"/>
  <c r="T75" i="1"/>
  <c r="T76" i="1" s="1"/>
  <c r="C140" i="1"/>
  <c r="G168" i="1"/>
  <c r="D156" i="1"/>
  <c r="K85" i="1"/>
  <c r="K110" i="1" s="1"/>
  <c r="S164" i="1"/>
  <c r="T132" i="1"/>
  <c r="N150" i="1"/>
  <c r="I163" i="1"/>
  <c r="P162" i="1"/>
  <c r="F183" i="1"/>
  <c r="T148" i="1"/>
  <c r="T144" i="1" s="1"/>
  <c r="Q86" i="1"/>
  <c r="Q97" i="1" s="1"/>
  <c r="U149" i="1"/>
  <c r="Q135" i="1"/>
  <c r="G145" i="1"/>
  <c r="H75" i="1"/>
  <c r="H76" i="1" s="1"/>
  <c r="V148" i="1"/>
  <c r="V144" i="1" s="1"/>
  <c r="V146" i="1"/>
  <c r="B160" i="1"/>
  <c r="E183" i="1"/>
  <c r="R140" i="1"/>
  <c r="H163" i="1"/>
  <c r="B173" i="1"/>
  <c r="U158" i="1"/>
  <c r="U193" i="1" s="1"/>
  <c r="U87" i="1"/>
  <c r="U95" i="1" s="1"/>
  <c r="S81" i="1"/>
  <c r="B75" i="1"/>
  <c r="J183" i="1"/>
  <c r="D82" i="1"/>
  <c r="S148" i="1"/>
  <c r="S144" i="1" s="1"/>
  <c r="C150" i="1"/>
  <c r="P148" i="1"/>
  <c r="P144" i="1" s="1"/>
  <c r="S185" i="1"/>
  <c r="L145" i="1"/>
  <c r="N164" i="1"/>
  <c r="O176" i="1"/>
  <c r="L149" i="1"/>
  <c r="P155" i="1"/>
  <c r="G85" i="1"/>
  <c r="G93" i="1" s="1"/>
  <c r="V135" i="1"/>
  <c r="J173" i="1"/>
  <c r="G160" i="1"/>
  <c r="F160" i="1"/>
  <c r="C132" i="1"/>
  <c r="V157" i="1"/>
  <c r="V192" i="1" s="1"/>
  <c r="I176" i="1"/>
  <c r="L163" i="1"/>
  <c r="V75" i="1"/>
  <c r="V76" i="1" s="1"/>
  <c r="C156" i="1"/>
  <c r="G87" i="1"/>
  <c r="G112" i="1" s="1"/>
  <c r="F176" i="1"/>
  <c r="J81" i="1"/>
  <c r="I158" i="1"/>
  <c r="I193" i="1" s="1"/>
  <c r="G149" i="1"/>
  <c r="R75" i="1"/>
  <c r="R76" i="1" s="1"/>
  <c r="W132" i="1"/>
  <c r="W139" i="1"/>
  <c r="W167" i="1" s="1"/>
  <c r="Q156" i="1"/>
  <c r="Q132" i="1"/>
  <c r="B71" i="1"/>
  <c r="D160" i="1"/>
  <c r="J168" i="1"/>
  <c r="B177" i="1"/>
  <c r="F166" i="1"/>
  <c r="F196" i="1" s="1"/>
  <c r="R164" i="1"/>
  <c r="R177" i="1"/>
  <c r="N159" i="1"/>
  <c r="R137" i="1"/>
  <c r="O185" i="1"/>
  <c r="F139" i="1"/>
  <c r="F167" i="1" s="1"/>
  <c r="G150" i="1"/>
  <c r="M176" i="1"/>
  <c r="M159" i="1"/>
  <c r="G131" i="1"/>
  <c r="R82" i="1"/>
  <c r="I138" i="1"/>
  <c r="E140" i="1"/>
  <c r="G137" i="1"/>
  <c r="O148" i="1"/>
  <c r="O144" i="1" s="1"/>
  <c r="P160" i="1"/>
  <c r="T185" i="1"/>
  <c r="F140" i="1"/>
  <c r="P131" i="1"/>
  <c r="S153" i="1"/>
  <c r="Q153" i="1"/>
  <c r="B172" i="1"/>
  <c r="B174" i="1" s="1"/>
  <c r="C222" i="1" s="1"/>
  <c r="C71" i="1"/>
  <c r="T85" i="1"/>
  <c r="S140" i="1"/>
  <c r="W138" i="1"/>
  <c r="L172" i="1"/>
  <c r="I148" i="1"/>
  <c r="I144" i="1" s="1"/>
  <c r="J153" i="1"/>
  <c r="K146" i="1"/>
  <c r="H135" i="1"/>
  <c r="N146" i="1"/>
  <c r="B158" i="1"/>
  <c r="B193" i="1" s="1"/>
  <c r="R172" i="1"/>
  <c r="B185" i="1"/>
  <c r="H139" i="1"/>
  <c r="H167" i="1" s="1"/>
  <c r="M82" i="1"/>
  <c r="E146" i="1"/>
  <c r="M172" i="1"/>
  <c r="D140" i="1"/>
  <c r="P86" i="1"/>
  <c r="B164" i="1"/>
  <c r="E159" i="1"/>
  <c r="L159" i="1"/>
  <c r="V173" i="1"/>
  <c r="W164" i="1"/>
  <c r="C184" i="1"/>
  <c r="M131" i="1"/>
  <c r="U185" i="1"/>
  <c r="L155" i="1"/>
  <c r="I183" i="1"/>
  <c r="C158" i="1"/>
  <c r="C193" i="1" s="1"/>
  <c r="N81" i="1"/>
  <c r="W86" i="1"/>
  <c r="K160" i="1"/>
  <c r="L184" i="1"/>
  <c r="M85" i="1"/>
  <c r="M93" i="1" s="1"/>
  <c r="R130" i="1"/>
  <c r="F145" i="1"/>
  <c r="M148" i="1"/>
  <c r="M144" i="1" s="1"/>
  <c r="C146" i="1"/>
  <c r="N185" i="1"/>
  <c r="W140" i="1"/>
  <c r="H131" i="1"/>
  <c r="T81" i="1"/>
  <c r="J149" i="1"/>
  <c r="B149" i="1"/>
  <c r="L86" i="1"/>
  <c r="D155" i="1"/>
  <c r="Q155" i="1"/>
  <c r="L132" i="1"/>
  <c r="L177" i="1"/>
  <c r="G164" i="1"/>
  <c r="B166" i="1"/>
  <c r="B196" i="1" s="1"/>
  <c r="U137" i="1"/>
  <c r="D185" i="1"/>
  <c r="Q157" i="1"/>
  <c r="Q192" i="1" s="1"/>
  <c r="E86" i="1"/>
  <c r="I146" i="1"/>
  <c r="U81" i="1"/>
  <c r="W157" i="1"/>
  <c r="D162" i="1"/>
  <c r="D72" i="1"/>
  <c r="I82" i="1"/>
  <c r="N160" i="1"/>
  <c r="M177" i="1"/>
  <c r="U130" i="1"/>
  <c r="H132" i="1"/>
  <c r="I139" i="1"/>
  <c r="I167" i="1" s="1"/>
  <c r="D86" i="1"/>
  <c r="U140" i="1"/>
  <c r="S177" i="1"/>
  <c r="E166" i="1"/>
  <c r="E196" i="1" s="1"/>
  <c r="E132" i="1"/>
  <c r="V130" i="1"/>
  <c r="M184" i="1"/>
  <c r="P172" i="1"/>
  <c r="P174" i="1" s="1"/>
  <c r="Q222" i="1" s="1"/>
  <c r="E81" i="1"/>
  <c r="F162" i="1"/>
  <c r="I131" i="1"/>
  <c r="C81" i="1"/>
  <c r="U145" i="1"/>
  <c r="B72" i="1"/>
  <c r="T158" i="1"/>
  <c r="T193" i="1" s="1"/>
  <c r="C153" i="1"/>
  <c r="G153" i="1"/>
  <c r="D177" i="1"/>
  <c r="S139" i="1"/>
  <c r="S167" i="1" s="1"/>
  <c r="D149" i="1"/>
  <c r="N163" i="1"/>
  <c r="P81" i="1"/>
  <c r="T184" i="1"/>
  <c r="S130" i="1"/>
  <c r="M132" i="1"/>
  <c r="O132" i="1"/>
  <c r="J138" i="1"/>
  <c r="S85" i="1"/>
  <c r="S110" i="1" s="1"/>
  <c r="S137" i="1"/>
  <c r="K156" i="1"/>
  <c r="L156" i="1"/>
  <c r="B148" i="1"/>
  <c r="D166" i="1"/>
  <c r="D196" i="1" s="1"/>
  <c r="R155" i="1"/>
  <c r="N75" i="1"/>
  <c r="N76" i="1" s="1"/>
  <c r="B85" i="1"/>
  <c r="K176" i="1"/>
  <c r="H81" i="1"/>
  <c r="K140" i="1"/>
  <c r="B144" i="1"/>
  <c r="I156" i="1"/>
  <c r="K159" i="1"/>
  <c r="L81" i="1"/>
  <c r="P146" i="1"/>
  <c r="V163" i="1"/>
  <c r="V150" i="1"/>
  <c r="Q160" i="1"/>
  <c r="Q177" i="1"/>
  <c r="M87" i="1"/>
  <c r="R153" i="1"/>
  <c r="R135" i="1"/>
  <c r="Q185" i="1"/>
  <c r="Q137" i="1"/>
  <c r="P130" i="1"/>
  <c r="W150" i="1"/>
  <c r="P159" i="1"/>
  <c r="N145" i="1"/>
  <c r="V85" i="1"/>
  <c r="V110" i="1" s="1"/>
  <c r="Q82" i="1"/>
  <c r="I149" i="1"/>
  <c r="C139" i="1"/>
  <c r="C167" i="1" s="1"/>
  <c r="D87" i="1"/>
  <c r="R157" i="1"/>
  <c r="R192" i="1" s="1"/>
  <c r="B86" i="1"/>
  <c r="V160" i="1"/>
  <c r="W131" i="1"/>
  <c r="O87" i="1"/>
  <c r="U162" i="1"/>
  <c r="F149" i="1"/>
  <c r="R162" i="1"/>
  <c r="F164" i="1"/>
  <c r="G140" i="1"/>
  <c r="K168" i="1"/>
  <c r="L130" i="1"/>
  <c r="W163" i="1"/>
  <c r="M164" i="1"/>
  <c r="J163" i="1"/>
  <c r="I157" i="1"/>
  <c r="I192" i="1" s="1"/>
  <c r="F185" i="1"/>
  <c r="D168" i="1"/>
  <c r="M156" i="1"/>
  <c r="K87" i="1"/>
  <c r="N148" i="1"/>
  <c r="N144" i="1" s="1"/>
  <c r="R86" i="1"/>
  <c r="R138" i="1"/>
  <c r="N135" i="1"/>
  <c r="G159" i="1"/>
  <c r="R185" i="1"/>
  <c r="D163" i="1"/>
  <c r="W184" i="1"/>
  <c r="U157" i="1"/>
  <c r="U192" i="1" s="1"/>
  <c r="T156" i="1"/>
  <c r="K157" i="1"/>
  <c r="K192" i="1" s="1"/>
  <c r="C166" i="1"/>
  <c r="C196" i="1" s="1"/>
  <c r="E163" i="1"/>
  <c r="H148" i="1"/>
  <c r="H144" i="1" s="1"/>
  <c r="G155" i="1"/>
  <c r="B168" i="1"/>
  <c r="J75" i="1"/>
  <c r="J76" i="1" s="1"/>
  <c r="T177" i="1"/>
  <c r="F75" i="1"/>
  <c r="F76" i="1" s="1"/>
  <c r="D153" i="1"/>
  <c r="Q81" i="1"/>
  <c r="T162" i="1"/>
  <c r="Q176" i="1"/>
  <c r="J155" i="1"/>
  <c r="T139" i="1"/>
  <c r="T167" i="1" s="1"/>
  <c r="T145" i="1"/>
  <c r="R176" i="1"/>
  <c r="B135" i="1"/>
  <c r="E138" i="1"/>
  <c r="E148" i="1"/>
  <c r="E144" i="1" s="1"/>
  <c r="G156" i="1"/>
  <c r="L164" i="1"/>
  <c r="J150" i="1"/>
  <c r="I159" i="1"/>
  <c r="C148" i="1"/>
  <c r="U166" i="1"/>
  <c r="U196" i="1" s="1"/>
  <c r="H162" i="1"/>
  <c r="F184" i="1"/>
  <c r="P185" i="1"/>
  <c r="V166" i="1"/>
  <c r="V196" i="1" s="1"/>
  <c r="T150" i="1"/>
  <c r="S159" i="1"/>
  <c r="H145" i="1"/>
  <c r="H137" i="1"/>
  <c r="Q146" i="1"/>
  <c r="L176" i="1"/>
  <c r="N155" i="1"/>
  <c r="U153" i="1"/>
  <c r="I145" i="1"/>
  <c r="W75" i="1"/>
  <c r="R149" i="1"/>
  <c r="B132" i="1"/>
  <c r="V183" i="1"/>
  <c r="I85" i="1"/>
  <c r="I110" i="1" s="1"/>
  <c r="M160" i="1"/>
  <c r="E149" i="1"/>
  <c r="S149" i="1"/>
  <c r="K135" i="1"/>
  <c r="V86" i="1"/>
  <c r="P138" i="1"/>
  <c r="G162" i="1"/>
  <c r="S138" i="1"/>
  <c r="G183" i="1"/>
  <c r="V131" i="1"/>
  <c r="J131" i="1"/>
  <c r="V176" i="1"/>
  <c r="Q172" i="1"/>
  <c r="U138" i="1"/>
  <c r="H140" i="1"/>
  <c r="D183" i="1"/>
  <c r="F81" i="1"/>
  <c r="S86" i="1"/>
  <c r="S111" i="1" s="1"/>
  <c r="Q163" i="1"/>
  <c r="T137" i="1"/>
  <c r="L158" i="1"/>
  <c r="L193" i="1" s="1"/>
  <c r="I87" i="1"/>
  <c r="C159" i="1"/>
  <c r="W155" i="1"/>
  <c r="G139" i="1"/>
  <c r="G167" i="1" s="1"/>
  <c r="P85" i="1"/>
  <c r="F168" i="1"/>
  <c r="H155" i="1"/>
  <c r="C157" i="1"/>
  <c r="C192" i="1" s="1"/>
  <c r="S172" i="1"/>
  <c r="K75" i="1"/>
  <c r="K76" i="1" s="1"/>
  <c r="Q158" i="1"/>
  <c r="Q193" i="1" s="1"/>
  <c r="T135" i="1"/>
  <c r="I75" i="1"/>
  <c r="I76" i="1" s="1"/>
  <c r="O160" i="1"/>
  <c r="B146" i="1"/>
  <c r="W82" i="1"/>
  <c r="O137" i="1"/>
  <c r="K158" i="1"/>
  <c r="K193" i="1" s="1"/>
  <c r="Q145" i="1"/>
  <c r="U75" i="1"/>
  <c r="U76" i="1" s="1"/>
  <c r="W137" i="1"/>
  <c r="C176" i="1"/>
  <c r="K153" i="1"/>
  <c r="T173" i="1"/>
  <c r="N139" i="1"/>
  <c r="N167" i="1" s="1"/>
  <c r="B137" i="1"/>
  <c r="V140" i="1"/>
  <c r="C164" i="1"/>
  <c r="K137" i="1"/>
  <c r="U148" i="1"/>
  <c r="U144" i="1" s="1"/>
  <c r="E176" i="1"/>
  <c r="V184" i="1"/>
  <c r="Q183" i="1"/>
  <c r="M157" i="1"/>
  <c r="M192" i="1" s="1"/>
  <c r="E157" i="1"/>
  <c r="E192" i="1" s="1"/>
  <c r="D150" i="1"/>
  <c r="L173" i="1"/>
  <c r="S160" i="1"/>
  <c r="D130" i="1"/>
  <c r="U82" i="1"/>
  <c r="E155" i="1"/>
  <c r="J184" i="1"/>
  <c r="Q139" i="1"/>
  <c r="Q167" i="1" s="1"/>
  <c r="C72" i="1"/>
  <c r="Q87" i="1"/>
  <c r="N183" i="1"/>
  <c r="G130" i="1"/>
  <c r="J139" i="1"/>
  <c r="J167" i="1" s="1"/>
  <c r="M155" i="1"/>
  <c r="O130" i="1"/>
  <c r="P184" i="1"/>
  <c r="V155" i="1"/>
  <c r="M130" i="1"/>
  <c r="O173" i="1"/>
  <c r="R87" i="1"/>
  <c r="B131" i="1"/>
  <c r="V149" i="1"/>
  <c r="W159" i="1"/>
  <c r="S183" i="1"/>
  <c r="O172" i="1"/>
  <c r="H86" i="1"/>
  <c r="D159" i="1"/>
  <c r="R145" i="1"/>
  <c r="K130" i="1"/>
  <c r="L82" i="1"/>
  <c r="J137" i="1"/>
  <c r="S166" i="1"/>
  <c r="S196" i="1" s="1"/>
  <c r="V177" i="1"/>
  <c r="E85" i="1"/>
  <c r="E110" i="1" s="1"/>
  <c r="T140" i="1"/>
  <c r="O85" i="1"/>
  <c r="O110" i="1" s="1"/>
  <c r="B157" i="1"/>
  <c r="B192" i="1" s="1"/>
  <c r="L148" i="1"/>
  <c r="L144" i="1" s="1"/>
  <c r="L135" i="1"/>
  <c r="V139" i="1"/>
  <c r="V167" i="1" s="1"/>
  <c r="N85" i="1"/>
  <c r="R81" i="1"/>
  <c r="O155" i="1"/>
  <c r="U163" i="1"/>
  <c r="O166" i="1"/>
  <c r="O196" i="1" s="1"/>
  <c r="N131" i="1"/>
  <c r="G184" i="1"/>
  <c r="U160" i="1"/>
  <c r="R159" i="1"/>
  <c r="Q168" i="1"/>
  <c r="K132" i="1"/>
  <c r="P149" i="1"/>
  <c r="C155" i="1"/>
  <c r="U156" i="1"/>
  <c r="N177" i="1"/>
  <c r="P158" i="1"/>
  <c r="P193" i="1" s="1"/>
  <c r="G148" i="1"/>
  <c r="G144" i="1" s="1"/>
  <c r="M138" i="1"/>
  <c r="D71" i="1"/>
  <c r="C75" i="1"/>
  <c r="P157" i="1"/>
  <c r="P192" i="1" s="1"/>
  <c r="F138" i="1"/>
  <c r="E164" i="1"/>
  <c r="V137" i="1"/>
  <c r="U164" i="1"/>
  <c r="O139" i="1"/>
  <c r="O167" i="1" s="1"/>
  <c r="V172" i="1"/>
  <c r="K162" i="1"/>
  <c r="E131" i="1"/>
  <c r="E139" i="1"/>
  <c r="E167" i="1" s="1"/>
  <c r="V158" i="1"/>
  <c r="V193" i="1" s="1"/>
  <c r="R173" i="1"/>
  <c r="T153" i="1"/>
  <c r="U173" i="1"/>
  <c r="P164" i="1"/>
  <c r="I168" i="1"/>
  <c r="I172" i="1"/>
  <c r="K82" i="1"/>
  <c r="R156" i="1"/>
  <c r="O81" i="1"/>
  <c r="I137" i="1"/>
  <c r="K163" i="1"/>
  <c r="D132" i="1"/>
  <c r="N132" i="1"/>
  <c r="B176" i="1"/>
  <c r="H158" i="1"/>
  <c r="H193" i="1" s="1"/>
  <c r="K155" i="1"/>
  <c r="N168" i="1"/>
  <c r="D137" i="1"/>
  <c r="N153" i="1"/>
  <c r="J135" i="1"/>
  <c r="S155" i="1"/>
  <c r="T138" i="1"/>
  <c r="B153" i="1"/>
  <c r="Q140" i="1"/>
  <c r="Q75" i="1"/>
  <c r="Q76" i="1" s="1"/>
  <c r="P176" i="1"/>
  <c r="J160" i="1"/>
  <c r="I164" i="1"/>
  <c r="Q131" i="1"/>
  <c r="B155" i="1"/>
  <c r="W185" i="1"/>
  <c r="H82" i="1"/>
  <c r="R132" i="1"/>
  <c r="C168" i="1"/>
  <c r="L166" i="1"/>
  <c r="L196" i="1" s="1"/>
  <c r="P153" i="1"/>
  <c r="E153" i="1"/>
  <c r="T149" i="1"/>
  <c r="K138" i="1"/>
  <c r="P150" i="1"/>
  <c r="V153" i="1"/>
  <c r="E177" i="1"/>
  <c r="I160" i="1"/>
  <c r="W87" i="1"/>
  <c r="O86" i="1"/>
  <c r="O111" i="1" s="1"/>
  <c r="N173" i="1"/>
  <c r="Q159" i="1"/>
  <c r="U132" i="1"/>
  <c r="D176" i="1"/>
  <c r="T130" i="1"/>
  <c r="H157" i="1"/>
  <c r="E184" i="1"/>
  <c r="O131" i="1"/>
  <c r="P139" i="1"/>
  <c r="P167" i="1" s="1"/>
  <c r="V82" i="1"/>
  <c r="E168" i="1"/>
  <c r="S162" i="1"/>
  <c r="Q138" i="1"/>
  <c r="M86" i="1"/>
  <c r="K149" i="1"/>
  <c r="R148" i="1"/>
  <c r="R144" i="1" s="1"/>
  <c r="E130" i="1"/>
  <c r="C145" i="1"/>
  <c r="Q85" i="1"/>
  <c r="Q110" i="1" s="1"/>
  <c r="O153" i="1"/>
  <c r="B156" i="1"/>
  <c r="H164" i="1"/>
  <c r="V156" i="1"/>
  <c r="C135" i="1"/>
  <c r="K81" i="1"/>
  <c r="M81" i="1"/>
  <c r="L157" i="1"/>
  <c r="L192" i="1" s="1"/>
  <c r="M173" i="1"/>
  <c r="W146" i="1"/>
  <c r="H177" i="1"/>
  <c r="S131" i="1"/>
  <c r="S184" i="1"/>
  <c r="J87" i="1"/>
  <c r="J112" i="1" s="1"/>
  <c r="K164" i="1"/>
  <c r="O150" i="1"/>
  <c r="O159" i="1"/>
  <c r="W168" i="1"/>
  <c r="I177" i="1"/>
  <c r="D146" i="1"/>
  <c r="S132" i="1"/>
  <c r="U155" i="1"/>
  <c r="S150" i="1"/>
  <c r="C177" i="1"/>
  <c r="F82" i="1"/>
  <c r="V132" i="1"/>
  <c r="G173" i="1"/>
  <c r="G81" i="1"/>
  <c r="T172" i="1"/>
  <c r="B183" i="1"/>
  <c r="C138" i="1"/>
  <c r="C162" i="1"/>
  <c r="C87" i="1"/>
  <c r="B150" i="1"/>
  <c r="V168" i="1"/>
  <c r="F135" i="1"/>
  <c r="S163" i="1"/>
  <c r="N166" i="1"/>
  <c r="N196" i="1" s="1"/>
  <c r="F137" i="1"/>
  <c r="H160" i="1"/>
  <c r="L168" i="1"/>
  <c r="R183" i="1"/>
  <c r="H166" i="1"/>
  <c r="H196" i="1" s="1"/>
  <c r="E145" i="1"/>
  <c r="L162" i="1"/>
  <c r="W162" i="1"/>
  <c r="C144" i="1"/>
  <c r="I185" i="1"/>
  <c r="I173" i="1"/>
  <c r="J159" i="1"/>
  <c r="N176" i="1"/>
  <c r="M185" i="1"/>
  <c r="Q184" i="1"/>
  <c r="J164" i="1"/>
  <c r="U172" i="1"/>
  <c r="P145" i="1"/>
  <c r="F156" i="1"/>
  <c r="H153" i="1"/>
  <c r="B138" i="1"/>
  <c r="H183" i="1"/>
  <c r="R158" i="1"/>
  <c r="R193" i="1" s="1"/>
  <c r="E160" i="1"/>
  <c r="W176" i="1"/>
  <c r="H130" i="1"/>
  <c r="U139" i="1"/>
  <c r="U167" i="1" s="1"/>
  <c r="T157" i="1"/>
  <c r="T192" i="1" s="1"/>
  <c r="G138" i="1"/>
  <c r="I162" i="1"/>
  <c r="C183" i="1"/>
  <c r="M162" i="1"/>
  <c r="O145" i="1"/>
  <c r="Q173" i="1"/>
  <c r="N157" i="1"/>
  <c r="L160" i="1"/>
  <c r="J157" i="1"/>
  <c r="J192" i="1" s="1"/>
  <c r="J176" i="1"/>
  <c r="R163" i="1"/>
  <c r="I130" i="1"/>
  <c r="N172" i="1"/>
  <c r="N174" i="1" s="1"/>
  <c r="O222" i="1" s="1"/>
  <c r="I155" i="1"/>
  <c r="N130" i="1"/>
  <c r="K185" i="1"/>
  <c r="H85" i="1"/>
  <c r="H110" i="1" s="1"/>
  <c r="D148" i="1"/>
  <c r="I153" i="1"/>
  <c r="V145" i="1"/>
  <c r="J185" i="1"/>
  <c r="N86" i="1"/>
  <c r="H138" i="1"/>
  <c r="E173" i="1"/>
  <c r="E174" i="1" s="1"/>
  <c r="F222" i="1" s="1"/>
  <c r="E82" i="1"/>
  <c r="O149" i="1"/>
  <c r="S173" i="1"/>
  <c r="G75" i="1"/>
  <c r="G76" i="1" s="1"/>
  <c r="I140" i="1"/>
  <c r="F158" i="1"/>
  <c r="F193" i="1" s="1"/>
  <c r="H150" i="1"/>
  <c r="G82" i="1"/>
  <c r="L139" i="1"/>
  <c r="L167" i="1" s="1"/>
  <c r="U146" i="1"/>
  <c r="L75" i="1"/>
  <c r="L76" i="1" s="1"/>
  <c r="N149" i="1"/>
  <c r="U176" i="1"/>
  <c r="F86" i="1"/>
  <c r="J148" i="1"/>
  <c r="J144" i="1" s="1"/>
  <c r="F85" i="1"/>
  <c r="B162" i="1"/>
  <c r="E75" i="1"/>
  <c r="E76" i="1" s="1"/>
  <c r="D157" i="1"/>
  <c r="D192" i="1" s="1"/>
  <c r="D164" i="1"/>
  <c r="E87" i="1"/>
  <c r="I81" i="1"/>
  <c r="P87" i="1"/>
  <c r="H149" i="1"/>
  <c r="K139" i="1"/>
  <c r="K167" i="1" s="1"/>
  <c r="U86" i="1"/>
  <c r="O146" i="1"/>
  <c r="D144" i="1"/>
  <c r="W172" i="1"/>
  <c r="D145" i="1"/>
  <c r="R168" i="1"/>
  <c r="G172" i="1"/>
  <c r="M140" i="1"/>
  <c r="Q148" i="1"/>
  <c r="Q144" i="1" s="1"/>
  <c r="B130" i="1"/>
  <c r="G146" i="1"/>
  <c r="K86" i="1"/>
  <c r="P75" i="1"/>
  <c r="P76" i="1" s="1"/>
  <c r="S82" i="1"/>
  <c r="V185" i="1"/>
  <c r="M135" i="1"/>
  <c r="S158" i="1"/>
  <c r="S193" i="1" s="1"/>
  <c r="Q164" i="1"/>
  <c r="W156" i="1"/>
  <c r="J162" i="1"/>
  <c r="V87" i="1"/>
  <c r="S146" i="1"/>
  <c r="M149" i="1"/>
  <c r="H173" i="1"/>
  <c r="T155" i="1"/>
  <c r="N156" i="1"/>
  <c r="M183" i="1"/>
  <c r="E137" i="1"/>
  <c r="K184" i="1"/>
  <c r="M146" i="1"/>
  <c r="D75" i="1"/>
  <c r="K172" i="1"/>
  <c r="W85" i="1"/>
  <c r="W110" i="1" s="1"/>
  <c r="Q130" i="1"/>
  <c r="W177" i="1"/>
  <c r="P183" i="1"/>
  <c r="R150" i="1"/>
  <c r="I86" i="1"/>
  <c r="U183" i="1"/>
  <c r="E162" i="1"/>
  <c r="I132" i="1"/>
  <c r="F153" i="1"/>
  <c r="O156" i="1"/>
  <c r="T131" i="1"/>
  <c r="C185" i="1"/>
  <c r="S156" i="1"/>
  <c r="E156" i="1"/>
  <c r="K145" i="1"/>
  <c r="L183" i="1"/>
  <c r="C173" i="1"/>
  <c r="J166" i="1"/>
  <c r="J196" i="1" s="1"/>
  <c r="T160" i="1"/>
  <c r="H146" i="1"/>
  <c r="L185" i="1"/>
  <c r="H176" i="1"/>
  <c r="R85" i="1"/>
  <c r="K183" i="1"/>
  <c r="T159" i="1"/>
  <c r="W153" i="1"/>
  <c r="F87" i="1"/>
  <c r="N184" i="1"/>
  <c r="C160" i="1"/>
  <c r="O157" i="1"/>
  <c r="O192" i="1" s="1"/>
  <c r="F155" i="1"/>
  <c r="T166" i="1"/>
  <c r="T196" i="1" s="1"/>
  <c r="R139" i="1"/>
  <c r="R167" i="1" s="1"/>
  <c r="M163" i="1"/>
  <c r="D172" i="1"/>
  <c r="J86" i="1"/>
  <c r="C163" i="1"/>
  <c r="H87" i="1"/>
  <c r="H184" i="1"/>
  <c r="K148" i="1"/>
  <c r="K144" i="1" s="1"/>
  <c r="S157" i="1"/>
  <c r="S192" i="1" s="1"/>
  <c r="N138" i="1"/>
  <c r="O183" i="1"/>
  <c r="H168" i="1"/>
  <c r="F172" i="1"/>
  <c r="W158" i="1"/>
  <c r="L138" i="1"/>
  <c r="O177" i="1"/>
  <c r="O163" i="1"/>
  <c r="F132" i="1"/>
  <c r="O184" i="1"/>
  <c r="R160" i="1"/>
  <c r="Q150" i="1"/>
  <c r="G163" i="1"/>
  <c r="P177" i="1"/>
  <c r="K166" i="1"/>
  <c r="K196" i="1" s="1"/>
  <c r="O82" i="1"/>
  <c r="D85" i="1"/>
  <c r="N158" i="1"/>
  <c r="N193" i="1" s="1"/>
  <c r="S87" i="1"/>
  <c r="U85" i="1"/>
  <c r="J172" i="1"/>
  <c r="G132" i="1"/>
  <c r="V162" i="1"/>
  <c r="S135" i="1"/>
  <c r="L153" i="1"/>
  <c r="T176" i="1"/>
  <c r="N140" i="1"/>
  <c r="U131" i="1"/>
  <c r="P82" i="1"/>
  <c r="P135" i="1"/>
  <c r="F130" i="1"/>
  <c r="T168" i="1"/>
  <c r="D184" i="1"/>
  <c r="U150" i="1"/>
  <c r="N82" i="1"/>
  <c r="P132" i="1"/>
  <c r="I166" i="1"/>
  <c r="I196" i="1" s="1"/>
  <c r="T164" i="1"/>
  <c r="M139" i="1"/>
  <c r="J140" i="1"/>
  <c r="V138" i="1"/>
  <c r="O162" i="1"/>
  <c r="G86" i="1"/>
  <c r="J82" i="1"/>
  <c r="L85" i="1"/>
  <c r="L110" i="1" s="1"/>
  <c r="G177" i="1"/>
  <c r="U168" i="1"/>
  <c r="AQ17" i="1"/>
  <c r="BV30" i="1"/>
  <c r="BW17" i="1"/>
  <c r="BE30" i="1"/>
  <c r="BA17" i="1"/>
  <c r="BN17" i="1"/>
  <c r="BD17" i="1"/>
  <c r="AS30" i="1"/>
  <c r="AR30" i="1"/>
  <c r="BP30" i="1"/>
  <c r="AW17" i="1"/>
  <c r="BC17" i="1"/>
  <c r="BB30" i="1"/>
  <c r="AW30" i="1"/>
  <c r="BG17" i="1"/>
  <c r="BM17" i="1"/>
  <c r="BI30" i="1"/>
  <c r="BT30" i="1"/>
  <c r="AZ17" i="1"/>
  <c r="AI17" i="1"/>
  <c r="BF30" i="1"/>
  <c r="AO17" i="1"/>
  <c r="BV17" i="1"/>
  <c r="BF17" i="1"/>
  <c r="AX30" i="1"/>
  <c r="BH54" i="1"/>
  <c r="AP17" i="1"/>
  <c r="BE17" i="1"/>
  <c r="BO17" i="1"/>
  <c r="AZ30" i="1"/>
  <c r="BJ30" i="1"/>
  <c r="BJ34" i="1" s="1"/>
  <c r="AU55" i="1"/>
  <c r="BD30" i="1"/>
  <c r="AY30" i="1"/>
  <c r="BR30" i="1"/>
  <c r="BK17" i="1"/>
  <c r="BQ17" i="1"/>
  <c r="AP30" i="1"/>
  <c r="BS17" i="1"/>
  <c r="AO30" i="1"/>
  <c r="BW30" i="1"/>
  <c r="AQ30" i="1"/>
  <c r="AV30" i="1"/>
  <c r="BM30" i="1"/>
  <c r="BP17" i="1"/>
  <c r="BG30" i="1"/>
  <c r="BH30" i="1"/>
  <c r="AT30" i="1"/>
  <c r="AN30" i="1"/>
  <c r="BS30" i="1"/>
  <c r="BU30" i="1"/>
  <c r="BO30" i="1"/>
  <c r="BJ17" i="1"/>
  <c r="BJ18" i="1" s="1"/>
  <c r="BC30" i="1"/>
  <c r="BK30" i="1"/>
  <c r="BQ30" i="1"/>
  <c r="AU30" i="1"/>
  <c r="BN30" i="1"/>
  <c r="BA30" i="1"/>
  <c r="AI30" i="1"/>
  <c r="AN17" i="1"/>
  <c r="BH17" i="1"/>
  <c r="AW55" i="1"/>
  <c r="AV17" i="1"/>
  <c r="AR17" i="1"/>
  <c r="BR17" i="1"/>
  <c r="AT17" i="1"/>
  <c r="BT17" i="1"/>
  <c r="BI17" i="1"/>
  <c r="BU17" i="1"/>
  <c r="AX17" i="1"/>
  <c r="AS17" i="1"/>
  <c r="AU17" i="1"/>
  <c r="BB17" i="1"/>
  <c r="AV55" i="1"/>
  <c r="AY17" i="1"/>
  <c r="BH156" i="1"/>
  <c r="BI156" i="1" s="1"/>
  <c r="BV150" i="1"/>
  <c r="BW150" i="1" s="1"/>
  <c r="BV156" i="1"/>
  <c r="BW156" i="1" s="1"/>
  <c r="BH150" i="1"/>
  <c r="BI150" i="1" s="1"/>
  <c r="G110" i="1"/>
  <c r="T94" i="1"/>
  <c r="S76" i="1"/>
  <c r="AV40" i="1"/>
  <c r="AV207" i="1" s="1"/>
  <c r="BA29" i="1"/>
  <c r="BF31" i="1"/>
  <c r="AY44" i="1"/>
  <c r="BU59" i="1"/>
  <c r="AQ29" i="1"/>
  <c r="BE21" i="1"/>
  <c r="AP55" i="1"/>
  <c r="AQ44" i="1"/>
  <c r="AU31" i="1"/>
  <c r="BG55" i="1"/>
  <c r="AW33" i="1"/>
  <c r="AY32" i="1"/>
  <c r="AW29" i="1"/>
  <c r="BJ47" i="1"/>
  <c r="AR53" i="1"/>
  <c r="BV54" i="1"/>
  <c r="AQ31" i="1"/>
  <c r="BM47" i="1"/>
  <c r="BK55" i="1"/>
  <c r="BK22" i="1"/>
  <c r="BF28" i="1"/>
  <c r="BF10" i="1" s="1"/>
  <c r="AW59" i="1"/>
  <c r="BJ81" i="1"/>
  <c r="BG47" i="1"/>
  <c r="BH176" i="1"/>
  <c r="BI176" i="1" s="1"/>
  <c r="BU16" i="1"/>
  <c r="BU244" i="1" s="1"/>
  <c r="BQ28" i="1"/>
  <c r="BQ10" i="1" s="1"/>
  <c r="AQ23" i="1"/>
  <c r="BS33" i="1"/>
  <c r="AX23" i="1"/>
  <c r="BS40" i="1"/>
  <c r="BS207" i="1" s="1"/>
  <c r="BH153" i="1"/>
  <c r="BI153" i="1" s="1"/>
  <c r="BJ215" i="1" s="1"/>
  <c r="BC31" i="1"/>
  <c r="BB29" i="1"/>
  <c r="AI23" i="1"/>
  <c r="BM44" i="1"/>
  <c r="BG54" i="1"/>
  <c r="AS59" i="1"/>
  <c r="BB43" i="1"/>
  <c r="BB59" i="1"/>
  <c r="AR54" i="1"/>
  <c r="AU22" i="1"/>
  <c r="BD16" i="1"/>
  <c r="AP23" i="1"/>
  <c r="BB55" i="1"/>
  <c r="BV138" i="1"/>
  <c r="BW138" i="1" s="1"/>
  <c r="BM31" i="1"/>
  <c r="BK54" i="1"/>
  <c r="BK28" i="1"/>
  <c r="BK10" i="1" s="1"/>
  <c r="AT43" i="1"/>
  <c r="BW44" i="1"/>
  <c r="BI32" i="1"/>
  <c r="BJ53" i="1"/>
  <c r="AS40" i="1"/>
  <c r="AT44" i="1"/>
  <c r="BQ33" i="1"/>
  <c r="AT29" i="1"/>
  <c r="BT23" i="1"/>
  <c r="BH172" i="1"/>
  <c r="BI21" i="1"/>
  <c r="BE22" i="1"/>
  <c r="AY31" i="1"/>
  <c r="BH177" i="1"/>
  <c r="BI177" i="1" s="1"/>
  <c r="BH81" i="1"/>
  <c r="AP54" i="1"/>
  <c r="BH155" i="1"/>
  <c r="AY40" i="1"/>
  <c r="AY207" i="1" s="1"/>
  <c r="AR22" i="1"/>
  <c r="BP47" i="1"/>
  <c r="BE54" i="1"/>
  <c r="AQ53" i="1"/>
  <c r="BB32" i="1"/>
  <c r="BW21" i="1"/>
  <c r="BC29" i="1"/>
  <c r="BD59" i="1"/>
  <c r="BO47" i="1"/>
  <c r="AI47" i="1"/>
  <c r="BI23" i="1"/>
  <c r="BQ16" i="1"/>
  <c r="BF59" i="1"/>
  <c r="AV31" i="1"/>
  <c r="AT23" i="1"/>
  <c r="BT59" i="1"/>
  <c r="AQ28" i="1"/>
  <c r="BS54" i="1"/>
  <c r="BB40" i="1"/>
  <c r="BH159" i="1"/>
  <c r="BI159" i="1" s="1"/>
  <c r="BV132" i="1"/>
  <c r="BT32" i="1"/>
  <c r="BQ55" i="1"/>
  <c r="BV131" i="1"/>
  <c r="BW131" i="1" s="1"/>
  <c r="BN16" i="1"/>
  <c r="BR43" i="1"/>
  <c r="BU54" i="1"/>
  <c r="AX53" i="1"/>
  <c r="AN22" i="1"/>
  <c r="AT22" i="1"/>
  <c r="BK32" i="1"/>
  <c r="BJ43" i="1"/>
  <c r="AP31" i="1"/>
  <c r="AX22" i="1"/>
  <c r="BR31" i="1"/>
  <c r="BM54" i="1"/>
  <c r="BP59" i="1"/>
  <c r="BA47" i="1"/>
  <c r="BM23" i="1"/>
  <c r="BQ44" i="1"/>
  <c r="AZ59" i="1"/>
  <c r="BE47" i="1"/>
  <c r="AI55" i="1"/>
  <c r="BU55" i="1"/>
  <c r="BB54" i="1"/>
  <c r="BF33" i="1"/>
  <c r="BD33" i="1"/>
  <c r="BM28" i="1"/>
  <c r="BM10" i="1" s="1"/>
  <c r="BT28" i="1"/>
  <c r="BT10" i="1" s="1"/>
  <c r="BQ40" i="1"/>
  <c r="BQ207" i="1" s="1"/>
  <c r="AS31" i="1"/>
  <c r="AJ81" i="1"/>
  <c r="BP54" i="1"/>
  <c r="AW21" i="1"/>
  <c r="AV22" i="1"/>
  <c r="BI22" i="1"/>
  <c r="AS33" i="1"/>
  <c r="BI53" i="1"/>
  <c r="BP21" i="1"/>
  <c r="AZ33" i="1"/>
  <c r="AY47" i="1"/>
  <c r="BH28" i="1"/>
  <c r="BH10" i="1" s="1"/>
  <c r="BA33" i="1"/>
  <c r="BF29" i="1"/>
  <c r="BC44" i="1"/>
  <c r="BW29" i="1"/>
  <c r="BR40" i="1"/>
  <c r="AX28" i="1"/>
  <c r="AX10" i="1" s="1"/>
  <c r="BS21" i="1"/>
  <c r="BQ32" i="1"/>
  <c r="BE32" i="1"/>
  <c r="BP16" i="1"/>
  <c r="BP244" i="1" s="1"/>
  <c r="AO29" i="1"/>
  <c r="BV164" i="1"/>
  <c r="BW164" i="1" s="1"/>
  <c r="BA21" i="1"/>
  <c r="BV59" i="1"/>
  <c r="AY21" i="1"/>
  <c r="BI54" i="1"/>
  <c r="BH160" i="1"/>
  <c r="BI160" i="1" s="1"/>
  <c r="BN33" i="1"/>
  <c r="AS28" i="1"/>
  <c r="AW23" i="1"/>
  <c r="AU53" i="1"/>
  <c r="AI21" i="1"/>
  <c r="AT16" i="1"/>
  <c r="BT55" i="1"/>
  <c r="BE59" i="1"/>
  <c r="BR33" i="1"/>
  <c r="BA28" i="1"/>
  <c r="BA10" i="1" s="1"/>
  <c r="AI28" i="1"/>
  <c r="BD29" i="1"/>
  <c r="AN47" i="1"/>
  <c r="BW54" i="1"/>
  <c r="AY16" i="1"/>
  <c r="BW23" i="1"/>
  <c r="AM53" i="1"/>
  <c r="AT28" i="1"/>
  <c r="BE31" i="1"/>
  <c r="AR21" i="1"/>
  <c r="BM22" i="1"/>
  <c r="BC43" i="1"/>
  <c r="BG40" i="1"/>
  <c r="BG207" i="1" s="1"/>
  <c r="AZ47" i="1"/>
  <c r="BH32" i="1"/>
  <c r="BJ59" i="1"/>
  <c r="BS59" i="1"/>
  <c r="BR54" i="1"/>
  <c r="BE55" i="1"/>
  <c r="AY33" i="1"/>
  <c r="BV163" i="1"/>
  <c r="BW163" i="1" s="1"/>
  <c r="BV47" i="1"/>
  <c r="BQ59" i="1"/>
  <c r="AI54" i="1"/>
  <c r="AN55" i="1"/>
  <c r="AQ55" i="1"/>
  <c r="BW28" i="1"/>
  <c r="BW10" i="1" s="1"/>
  <c r="AO23" i="1"/>
  <c r="AW22" i="1"/>
  <c r="BR23" i="1"/>
  <c r="BH29" i="1"/>
  <c r="BH31" i="1"/>
  <c r="AI33" i="1"/>
  <c r="BO55" i="1"/>
  <c r="BO29" i="1"/>
  <c r="AP40" i="1"/>
  <c r="AQ40" i="1"/>
  <c r="BT33" i="1"/>
  <c r="AY55" i="1"/>
  <c r="BV167" i="1"/>
  <c r="BW167" i="1" s="1"/>
  <c r="AZ32" i="1"/>
  <c r="BK43" i="1"/>
  <c r="BH82" i="1"/>
  <c r="BH40" i="1"/>
  <c r="BH207" i="1" s="1"/>
  <c r="AT33" i="1"/>
  <c r="BV145" i="1"/>
  <c r="BR59" i="1"/>
  <c r="BP55" i="1"/>
  <c r="AN43" i="1"/>
  <c r="BS32" i="1"/>
  <c r="AX59" i="1"/>
  <c r="AZ21" i="1"/>
  <c r="BB31" i="1"/>
  <c r="AW44" i="1"/>
  <c r="BD23" i="1"/>
  <c r="BN40" i="1"/>
  <c r="BM16" i="1"/>
  <c r="AO22" i="1"/>
  <c r="BK29" i="1"/>
  <c r="BN22" i="1"/>
  <c r="BH16" i="1"/>
  <c r="BH244" i="1" s="1"/>
  <c r="BA44" i="1"/>
  <c r="BH130" i="1"/>
  <c r="BA59" i="1"/>
  <c r="BH59" i="1"/>
  <c r="AP43" i="1"/>
  <c r="BI29" i="1"/>
  <c r="BS43" i="1"/>
  <c r="BN21" i="1"/>
  <c r="AY43" i="1"/>
  <c r="AV28" i="1"/>
  <c r="BW55" i="1"/>
  <c r="BO33" i="1"/>
  <c r="BO31" i="1"/>
  <c r="BB21" i="1"/>
  <c r="BI55" i="1"/>
  <c r="AN44" i="1"/>
  <c r="AU21" i="1"/>
  <c r="BT47" i="1"/>
  <c r="BQ53" i="1"/>
  <c r="BG32" i="1"/>
  <c r="BU44" i="1"/>
  <c r="BV135" i="1"/>
  <c r="BW135" i="1" s="1"/>
  <c r="BQ43" i="1"/>
  <c r="BO40" i="1"/>
  <c r="BO207" i="1" s="1"/>
  <c r="BG33" i="1"/>
  <c r="BV172" i="1"/>
  <c r="AM81" i="1"/>
  <c r="BO59" i="1"/>
  <c r="AO47" i="1"/>
  <c r="BV33" i="1"/>
  <c r="BH131" i="1"/>
  <c r="BI131" i="1" s="1"/>
  <c r="BS16" i="1"/>
  <c r="BS244" i="1" s="1"/>
  <c r="BH44" i="1"/>
  <c r="AZ22" i="1"/>
  <c r="BV160" i="1"/>
  <c r="BW160" i="1" s="1"/>
  <c r="BG31" i="1"/>
  <c r="AQ33" i="1"/>
  <c r="AP16" i="1"/>
  <c r="AP244" i="1" s="1"/>
  <c r="AO21" i="1"/>
  <c r="BD43" i="1"/>
  <c r="BD47" i="1"/>
  <c r="BW53" i="1"/>
  <c r="BR22" i="1"/>
  <c r="AT47" i="1"/>
  <c r="BT31" i="1"/>
  <c r="BU29" i="1"/>
  <c r="AN54" i="1"/>
  <c r="AZ16" i="1"/>
  <c r="AN32" i="1"/>
  <c r="BV23" i="1"/>
  <c r="AQ22" i="1"/>
  <c r="BP40" i="1"/>
  <c r="BI31" i="1"/>
  <c r="BA53" i="1"/>
  <c r="AZ55" i="1"/>
  <c r="BV162" i="1"/>
  <c r="BW162" i="1" s="1"/>
  <c r="BW40" i="1"/>
  <c r="BW207" i="1" s="1"/>
  <c r="AV23" i="1"/>
  <c r="AO33" i="1"/>
  <c r="BO43" i="1"/>
  <c r="BM43" i="1"/>
  <c r="AP21" i="1"/>
  <c r="AS22" i="1"/>
  <c r="BG23" i="1"/>
  <c r="BV176" i="1"/>
  <c r="BW176" i="1" s="1"/>
  <c r="BV81" i="1"/>
  <c r="AQ21" i="1"/>
  <c r="AX31" i="1"/>
  <c r="BV155" i="1"/>
  <c r="BW155" i="1" s="1"/>
  <c r="BK16" i="1"/>
  <c r="AR55" i="1"/>
  <c r="AU23" i="1"/>
  <c r="BT21" i="1"/>
  <c r="AI16" i="1"/>
  <c r="BU47" i="1"/>
  <c r="BC54" i="1"/>
  <c r="BA55" i="1"/>
  <c r="BD55" i="1"/>
  <c r="BW22" i="1"/>
  <c r="BV29" i="1"/>
  <c r="BG28" i="1"/>
  <c r="BG10" i="1" s="1"/>
  <c r="AO53" i="1"/>
  <c r="BN54" i="1"/>
  <c r="AW40" i="1"/>
  <c r="AW207" i="1" s="1"/>
  <c r="BC21" i="1"/>
  <c r="AM82" i="1"/>
  <c r="BS53" i="1"/>
  <c r="BU28" i="1"/>
  <c r="BU10" i="1" s="1"/>
  <c r="BU43" i="1"/>
  <c r="BN55" i="1"/>
  <c r="BH164" i="1"/>
  <c r="BI164" i="1" s="1"/>
  <c r="BR55" i="1"/>
  <c r="BA16" i="1"/>
  <c r="BA244" i="1" s="1"/>
  <c r="AZ28" i="1"/>
  <c r="AZ10" i="1" s="1"/>
  <c r="BO44" i="1"/>
  <c r="AI31" i="1"/>
  <c r="BE43" i="1"/>
  <c r="AW16" i="1"/>
  <c r="BP22" i="1"/>
  <c r="BR53" i="1"/>
  <c r="AR32" i="1"/>
  <c r="BF43" i="1"/>
  <c r="BV177" i="1"/>
  <c r="BW177" i="1" s="1"/>
  <c r="BT29" i="1"/>
  <c r="AR29" i="1"/>
  <c r="BO54" i="1"/>
  <c r="BA43" i="1"/>
  <c r="AZ23" i="1"/>
  <c r="AV54" i="1"/>
  <c r="BQ31" i="1"/>
  <c r="AX40" i="1"/>
  <c r="AX207" i="1" s="1"/>
  <c r="AO16" i="1"/>
  <c r="BV32" i="1"/>
  <c r="AJ82" i="1"/>
  <c r="BC28" i="1"/>
  <c r="BC10" i="1" s="1"/>
  <c r="BI28" i="1"/>
  <c r="BI10" i="1" s="1"/>
  <c r="BA40" i="1"/>
  <c r="BS29" i="1"/>
  <c r="AO59" i="1"/>
  <c r="BB16" i="1"/>
  <c r="AV29" i="1"/>
  <c r="BW43" i="1"/>
  <c r="BK40" i="1"/>
  <c r="AO31" i="1"/>
  <c r="AW32" i="1"/>
  <c r="BE28" i="1"/>
  <c r="BE10" i="1" s="1"/>
  <c r="BR44" i="1"/>
  <c r="BS47" i="1"/>
  <c r="AV43" i="1"/>
  <c r="BU33" i="1"/>
  <c r="BH132" i="1"/>
  <c r="BR16" i="1"/>
  <c r="BR244" i="1" s="1"/>
  <c r="BH167" i="1"/>
  <c r="BI167" i="1" s="1"/>
  <c r="BM33" i="1"/>
  <c r="BN53" i="1"/>
  <c r="AU16" i="1"/>
  <c r="BC59" i="1"/>
  <c r="AX55" i="1"/>
  <c r="BI40" i="1"/>
  <c r="BM53" i="1"/>
  <c r="BW31" i="1"/>
  <c r="AP32" i="1"/>
  <c r="BA54" i="1"/>
  <c r="BN47" i="1"/>
  <c r="AR40" i="1"/>
  <c r="AR207" i="1" s="1"/>
  <c r="BI43" i="1"/>
  <c r="BU22" i="1"/>
  <c r="AK82" i="1"/>
  <c r="BT40" i="1"/>
  <c r="AI59" i="1"/>
  <c r="BJ55" i="1"/>
  <c r="AX21" i="1"/>
  <c r="AR43" i="1"/>
  <c r="BI44" i="1"/>
  <c r="AP47" i="1"/>
  <c r="AZ31" i="1"/>
  <c r="BQ54" i="1"/>
  <c r="AN21" i="1"/>
  <c r="AR59" i="1"/>
  <c r="BV130" i="1"/>
  <c r="AV59" i="1"/>
  <c r="AN33" i="1"/>
  <c r="AQ59" i="1"/>
  <c r="BK47" i="1"/>
  <c r="BH22" i="1"/>
  <c r="AV47" i="1"/>
  <c r="BC23" i="1"/>
  <c r="AO54" i="1"/>
  <c r="AT40" i="1"/>
  <c r="AT207" i="1" s="1"/>
  <c r="BH140" i="1"/>
  <c r="BI140" i="1" s="1"/>
  <c r="AW31" i="1"/>
  <c r="BD44" i="1"/>
  <c r="BH162" i="1"/>
  <c r="AV32" i="1"/>
  <c r="AI32" i="1"/>
  <c r="AT59" i="1"/>
  <c r="AN59" i="1"/>
  <c r="BR29" i="1"/>
  <c r="AR33" i="1"/>
  <c r="BR32" i="1"/>
  <c r="BH165" i="1"/>
  <c r="BI165" i="1" s="1"/>
  <c r="BP33" i="1"/>
  <c r="BF47" i="1"/>
  <c r="BU23" i="1"/>
  <c r="BR47" i="1"/>
  <c r="BH47" i="1"/>
  <c r="AI53" i="1"/>
  <c r="AU44" i="1"/>
  <c r="BH168" i="1"/>
  <c r="BI168" i="1" s="1"/>
  <c r="AR28" i="1"/>
  <c r="BV146" i="1"/>
  <c r="BQ21" i="1"/>
  <c r="BU53" i="1"/>
  <c r="BG21" i="1"/>
  <c r="BH55" i="1"/>
  <c r="BI16" i="1"/>
  <c r="BI244" i="1" s="1"/>
  <c r="BW59" i="1"/>
  <c r="AS16" i="1"/>
  <c r="AS244" i="1" s="1"/>
  <c r="BH145" i="1"/>
  <c r="BB44" i="1"/>
  <c r="BW32" i="1"/>
  <c r="BK33" i="1"/>
  <c r="BA31" i="1"/>
  <c r="BG43" i="1"/>
  <c r="BU21" i="1"/>
  <c r="AN28" i="1"/>
  <c r="BP23" i="1"/>
  <c r="BJ44" i="1"/>
  <c r="BJ265" i="1" s="1"/>
  <c r="BO53" i="1"/>
  <c r="BU40" i="1"/>
  <c r="BH139" i="1"/>
  <c r="BI139" i="1" s="1"/>
  <c r="AO44" i="1"/>
  <c r="AQ16" i="1"/>
  <c r="AQ244" i="1" s="1"/>
  <c r="AQ32" i="1"/>
  <c r="BV159" i="1"/>
  <c r="BW159" i="1" s="1"/>
  <c r="BP53" i="1"/>
  <c r="BV166" i="1"/>
  <c r="BC16" i="1"/>
  <c r="BC244" i="1" s="1"/>
  <c r="BB23" i="1"/>
  <c r="BV165" i="1"/>
  <c r="BW165" i="1" s="1"/>
  <c r="BH166" i="1"/>
  <c r="BR28" i="1"/>
  <c r="BR10" i="1" s="1"/>
  <c r="BN44" i="1"/>
  <c r="BA22" i="1"/>
  <c r="AP29" i="1"/>
  <c r="AR31" i="1"/>
  <c r="BS23" i="1"/>
  <c r="AX43" i="1"/>
  <c r="BV40" i="1"/>
  <c r="BV207" i="1" s="1"/>
  <c r="BD40" i="1"/>
  <c r="BD207" i="1" s="1"/>
  <c r="BF55" i="1"/>
  <c r="BD31" i="1"/>
  <c r="BD28" i="1"/>
  <c r="BD10" i="1" s="1"/>
  <c r="BD22" i="1"/>
  <c r="AS55" i="1"/>
  <c r="BV153" i="1"/>
  <c r="BW153" i="1" s="1"/>
  <c r="BX215" i="1" s="1"/>
  <c r="BS55" i="1"/>
  <c r="AO43" i="1"/>
  <c r="AV33" i="1"/>
  <c r="BF40" i="1"/>
  <c r="BF207" i="1" s="1"/>
  <c r="BA23" i="1"/>
  <c r="BK59" i="1"/>
  <c r="BV158" i="1"/>
  <c r="BK31" i="1"/>
  <c r="BS22" i="1"/>
  <c r="AW54" i="1"/>
  <c r="AV16" i="1"/>
  <c r="AV244" i="1" s="1"/>
  <c r="AO40" i="1"/>
  <c r="AO207" i="1" s="1"/>
  <c r="AX29" i="1"/>
  <c r="AR44" i="1"/>
  <c r="BR21" i="1"/>
  <c r="AI22" i="1"/>
  <c r="BU32" i="1"/>
  <c r="BV173" i="1"/>
  <c r="BT54" i="1"/>
  <c r="BT16" i="1"/>
  <c r="AM54" i="1"/>
  <c r="AV44" i="1"/>
  <c r="BN31" i="1"/>
  <c r="AP59" i="1"/>
  <c r="AV21" i="1"/>
  <c r="BH21" i="1"/>
  <c r="BQ47" i="1"/>
  <c r="AY53" i="1"/>
  <c r="AR47" i="1"/>
  <c r="BM21" i="1"/>
  <c r="BW33" i="1"/>
  <c r="AV53" i="1"/>
  <c r="BT53" i="1"/>
  <c r="AP44" i="1"/>
  <c r="AZ40" i="1"/>
  <c r="BH135" i="1"/>
  <c r="BI135" i="1" s="1"/>
  <c r="BK44" i="1"/>
  <c r="BH146" i="1"/>
  <c r="AY54" i="1"/>
  <c r="BQ23" i="1"/>
  <c r="BE29" i="1"/>
  <c r="BV31" i="1"/>
  <c r="BD53" i="1"/>
  <c r="BM59" i="1"/>
  <c r="BM55" i="1"/>
  <c r="BV53" i="1"/>
  <c r="BH137" i="1"/>
  <c r="BV139" i="1"/>
  <c r="BW139" i="1" s="1"/>
  <c r="BH144" i="1"/>
  <c r="BI59" i="1"/>
  <c r="AT32" i="1"/>
  <c r="BD32" i="1"/>
  <c r="BF16" i="1"/>
  <c r="AX16" i="1"/>
  <c r="AT53" i="1"/>
  <c r="BV148" i="1"/>
  <c r="BW148" i="1" s="1"/>
  <c r="BP31" i="1"/>
  <c r="BC33" i="1"/>
  <c r="AK81" i="1"/>
  <c r="BP32" i="1"/>
  <c r="BF21" i="1"/>
  <c r="BM29" i="1"/>
  <c r="AO28" i="1"/>
  <c r="BV55" i="1"/>
  <c r="BK21" i="1"/>
  <c r="AO32" i="1"/>
  <c r="AZ54" i="1"/>
  <c r="BW47" i="1"/>
  <c r="AY29" i="1"/>
  <c r="AS23" i="1"/>
  <c r="AY28" i="1"/>
  <c r="AY10" i="1" s="1"/>
  <c r="AU47" i="1"/>
  <c r="AQ54" i="1"/>
  <c r="BJ82" i="1"/>
  <c r="BV137" i="1"/>
  <c r="BW137" i="1" s="1"/>
  <c r="BM32" i="1"/>
  <c r="AQ47" i="1"/>
  <c r="AX44" i="1"/>
  <c r="BG29" i="1"/>
  <c r="BF22" i="1"/>
  <c r="AU29" i="1"/>
  <c r="BE44" i="1"/>
  <c r="AZ44" i="1"/>
  <c r="BF54" i="1"/>
  <c r="BS44" i="1"/>
  <c r="BV140" i="1"/>
  <c r="BW140" i="1" s="1"/>
  <c r="BG22" i="1"/>
  <c r="BF44" i="1"/>
  <c r="BC55" i="1"/>
  <c r="BE40" i="1"/>
  <c r="BE207" i="1" s="1"/>
  <c r="BE33" i="1"/>
  <c r="BE16" i="1"/>
  <c r="BE244" i="1" s="1"/>
  <c r="BT43" i="1"/>
  <c r="BN29" i="1"/>
  <c r="BC40" i="1"/>
  <c r="BC207" i="1" s="1"/>
  <c r="BI47" i="1"/>
  <c r="AW28" i="1"/>
  <c r="BH157" i="1"/>
  <c r="AP53" i="1"/>
  <c r="AS21" i="1"/>
  <c r="BS31" i="1"/>
  <c r="AT31" i="1"/>
  <c r="AW43" i="1"/>
  <c r="BG16" i="1"/>
  <c r="BP28" i="1"/>
  <c r="BP10" i="1" s="1"/>
  <c r="AR23" i="1"/>
  <c r="AW53" i="1"/>
  <c r="BF53" i="1"/>
  <c r="BV21" i="1"/>
  <c r="AI29" i="1"/>
  <c r="AT54" i="1"/>
  <c r="BH43" i="1"/>
  <c r="BV157" i="1"/>
  <c r="AP28" i="1"/>
  <c r="AS43" i="1"/>
  <c r="BO23" i="1"/>
  <c r="BP43" i="1"/>
  <c r="BC22" i="1"/>
  <c r="BB53" i="1"/>
  <c r="BE23" i="1"/>
  <c r="BV44" i="1"/>
  <c r="AP33" i="1"/>
  <c r="AX54" i="1"/>
  <c r="AU43" i="1"/>
  <c r="AZ29" i="1"/>
  <c r="BD21" i="1"/>
  <c r="AS29" i="1"/>
  <c r="BN23" i="1"/>
  <c r="BM40" i="1"/>
  <c r="BJ40" i="1"/>
  <c r="AM55" i="1"/>
  <c r="BQ29" i="1"/>
  <c r="AU33" i="1"/>
  <c r="AX32" i="1"/>
  <c r="BS28" i="1"/>
  <c r="BS10" i="1" s="1"/>
  <c r="BB47" i="1"/>
  <c r="BC32" i="1"/>
  <c r="AT55" i="1"/>
  <c r="AW47" i="1"/>
  <c r="BV43" i="1"/>
  <c r="BH53" i="1"/>
  <c r="AN31" i="1"/>
  <c r="AX33" i="1"/>
  <c r="AP22" i="1"/>
  <c r="BP29" i="1"/>
  <c r="AQ43" i="1"/>
  <c r="BV82" i="1"/>
  <c r="AM59" i="1"/>
  <c r="BH23" i="1"/>
  <c r="AU28" i="1"/>
  <c r="BA32" i="1"/>
  <c r="BV168" i="1"/>
  <c r="BW168" i="1" s="1"/>
  <c r="BE53" i="1"/>
  <c r="AS47" i="1"/>
  <c r="AI43" i="1"/>
  <c r="BV144" i="1"/>
  <c r="AY59" i="1"/>
  <c r="BN43" i="1"/>
  <c r="BO21" i="1"/>
  <c r="BG53" i="1"/>
  <c r="BI33" i="1"/>
  <c r="AY23" i="1"/>
  <c r="BU31" i="1"/>
  <c r="BF32" i="1"/>
  <c r="BB28" i="1"/>
  <c r="BB10" i="1" s="1"/>
  <c r="BV28" i="1"/>
  <c r="BV10" i="1" s="1"/>
  <c r="BG44" i="1"/>
  <c r="BT44" i="1"/>
  <c r="AN23" i="1"/>
  <c r="BO22" i="1"/>
  <c r="BT22" i="1"/>
  <c r="AZ53" i="1"/>
  <c r="AS54" i="1"/>
  <c r="BH33" i="1"/>
  <c r="BO28" i="1"/>
  <c r="BO10" i="1" s="1"/>
  <c r="BH148" i="1"/>
  <c r="BI148" i="1" s="1"/>
  <c r="BC53" i="1"/>
  <c r="BH173" i="1"/>
  <c r="BO32" i="1"/>
  <c r="AN40" i="1"/>
  <c r="AN16" i="1"/>
  <c r="BK53" i="1"/>
  <c r="BV22" i="1"/>
  <c r="AS44" i="1"/>
  <c r="AO55" i="1"/>
  <c r="AI81" i="1"/>
  <c r="BB33" i="1"/>
  <c r="BN28" i="1"/>
  <c r="BN10" i="1" s="1"/>
  <c r="AN29" i="1"/>
  <c r="AU32" i="1"/>
  <c r="BH138" i="1"/>
  <c r="BI138" i="1" s="1"/>
  <c r="AU40" i="1"/>
  <c r="AU207" i="1" s="1"/>
  <c r="AI44" i="1"/>
  <c r="BW16" i="1"/>
  <c r="BO16" i="1"/>
  <c r="BG59" i="1"/>
  <c r="BC47" i="1"/>
  <c r="AR16" i="1"/>
  <c r="AR244" i="1" s="1"/>
  <c r="BN32" i="1"/>
  <c r="BP44" i="1"/>
  <c r="BK23" i="1"/>
  <c r="AS32" i="1"/>
  <c r="AY22" i="1"/>
  <c r="AU59" i="1"/>
  <c r="BB22" i="1"/>
  <c r="AX47" i="1"/>
  <c r="BD54" i="1"/>
  <c r="BQ22" i="1"/>
  <c r="BH163" i="1"/>
  <c r="BI163" i="1" s="1"/>
  <c r="BF23" i="1"/>
  <c r="BJ54" i="1"/>
  <c r="AN53" i="1"/>
  <c r="BN59" i="1"/>
  <c r="AI40" i="1"/>
  <c r="AI207" i="1" s="1"/>
  <c r="BV16" i="1"/>
  <c r="BV244" i="1" s="1"/>
  <c r="AZ43" i="1"/>
  <c r="AT21" i="1"/>
  <c r="AS53" i="1"/>
  <c r="AU54" i="1"/>
  <c r="K77" i="1"/>
  <c r="Q77" i="1"/>
  <c r="U78" i="1"/>
  <c r="M107" i="1"/>
  <c r="H77" i="1"/>
  <c r="E77" i="1"/>
  <c r="V77" i="1"/>
  <c r="O74" i="1"/>
  <c r="W74" i="1"/>
  <c r="CQ207" i="1"/>
  <c r="CQ145" i="1"/>
  <c r="DA85" i="1"/>
  <c r="CX73" i="1"/>
  <c r="CY71" i="1"/>
  <c r="AB137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78" i="1"/>
  <c r="G78" i="1"/>
  <c r="S77" i="1"/>
  <c r="I77" i="1"/>
  <c r="J78" i="1" s="1"/>
  <c r="L77" i="1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X93" i="3"/>
  <c r="J49" i="3"/>
  <c r="AM66" i="3"/>
  <c r="V70" i="3"/>
  <c r="W71" i="3"/>
  <c r="J64" i="3"/>
  <c r="K68" i="3"/>
  <c r="R64" i="3"/>
  <c r="V74" i="3"/>
  <c r="AH54" i="3"/>
  <c r="AL72" i="3"/>
  <c r="V68" i="3"/>
  <c r="J65" i="3"/>
  <c r="S50" i="3"/>
  <c r="AK73" i="3"/>
  <c r="X75" i="3"/>
  <c r="W95" i="3"/>
  <c r="AK88" i="3"/>
  <c r="AH97" i="3"/>
  <c r="V94" i="3"/>
  <c r="AE76" i="3"/>
  <c r="AC49" i="3"/>
  <c r="K65" i="3"/>
  <c r="AK93" i="3"/>
  <c r="J81" i="3"/>
  <c r="H84" i="3"/>
  <c r="Z58" i="3"/>
  <c r="N56" i="3"/>
  <c r="AG85" i="3"/>
  <c r="I49" i="3"/>
  <c r="AO84" i="3"/>
  <c r="J75" i="3"/>
  <c r="AL79" i="3"/>
  <c r="U93" i="3"/>
  <c r="Q90" i="3"/>
  <c r="AJ76" i="3"/>
  <c r="Y61" i="3"/>
  <c r="Z72" i="3"/>
  <c r="W76" i="3"/>
  <c r="Y69" i="3"/>
  <c r="Z54" i="3"/>
  <c r="Q93" i="3"/>
  <c r="Z63" i="3"/>
  <c r="V96" i="3"/>
  <c r="L88" i="3"/>
  <c r="H80" i="3"/>
  <c r="AG47" i="3"/>
  <c r="S59" i="3"/>
  <c r="Y88" i="3"/>
  <c r="AQ81" i="3"/>
  <c r="Y79" i="3"/>
  <c r="AI83" i="3"/>
  <c r="L60" i="3"/>
  <c r="P80" i="3"/>
  <c r="AC87" i="3"/>
  <c r="H50" i="3"/>
  <c r="O55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AH95" i="3"/>
  <c r="T87" i="3"/>
  <c r="Z50" i="3"/>
  <c r="AJ49" i="3"/>
  <c r="AL75" i="3"/>
  <c r="Q65" i="3"/>
  <c r="X48" i="3"/>
  <c r="N60" i="3"/>
  <c r="W54" i="3"/>
  <c r="AH92" i="3"/>
  <c r="AJ78" i="3"/>
  <c r="Z95" i="3"/>
  <c r="AN87" i="3"/>
  <c r="J67" i="3"/>
  <c r="X87" i="3"/>
  <c r="W72" i="3"/>
  <c r="V59" i="3"/>
  <c r="AE77" i="3"/>
  <c r="X74" i="3"/>
  <c r="AL80" i="3"/>
  <c r="AJ68" i="3"/>
  <c r="X64" i="3"/>
  <c r="AN56" i="3"/>
  <c r="AJ90" i="3"/>
  <c r="N55" i="3"/>
  <c r="K95" i="3"/>
  <c r="Z71" i="3"/>
  <c r="H56" i="3"/>
  <c r="AA67" i="3"/>
  <c r="AC62" i="3"/>
  <c r="R57" i="3"/>
  <c r="AQ56" i="3"/>
  <c r="T62" i="3"/>
  <c r="I76" i="3"/>
  <c r="L90" i="3"/>
  <c r="N73" i="3"/>
  <c r="L75" i="3"/>
  <c r="AA47" i="3"/>
  <c r="AM90" i="3"/>
  <c r="K84" i="3"/>
  <c r="J55" i="3"/>
  <c r="I67" i="3"/>
  <c r="AM49" i="3"/>
  <c r="AM65" i="3"/>
  <c r="P74" i="3"/>
  <c r="AH78" i="3"/>
  <c r="X66" i="3"/>
  <c r="Y50" i="3"/>
  <c r="AN97" i="3"/>
  <c r="AA84" i="3"/>
  <c r="AO57" i="3"/>
  <c r="Z91" i="3"/>
  <c r="AO85" i="3"/>
  <c r="Q95" i="3"/>
  <c r="R74" i="3"/>
  <c r="L63" i="3"/>
  <c r="Y47" i="3"/>
  <c r="AJ47" i="3"/>
  <c r="U58" i="3"/>
  <c r="K55" i="3"/>
  <c r="Y87" i="3"/>
  <c r="K64" i="3"/>
  <c r="AQ78" i="3"/>
  <c r="AA85" i="3"/>
  <c r="U57" i="3"/>
  <c r="AH55" i="3"/>
  <c r="AH49" i="3"/>
  <c r="AI94" i="3"/>
  <c r="Q73" i="3"/>
  <c r="AO78" i="3"/>
  <c r="I58" i="3"/>
  <c r="AM89" i="3"/>
  <c r="AO88" i="3"/>
  <c r="AJ58" i="3"/>
  <c r="AQ91" i="3"/>
  <c r="S63" i="3"/>
  <c r="X83" i="3"/>
  <c r="Y67" i="3"/>
  <c r="K92" i="3"/>
  <c r="AH64" i="3"/>
  <c r="AI69" i="3"/>
  <c r="H96" i="3"/>
  <c r="AI88" i="3"/>
  <c r="W89" i="3"/>
  <c r="AN88" i="3"/>
  <c r="AE83" i="3"/>
  <c r="AQ66" i="3"/>
  <c r="AH87" i="3"/>
  <c r="AO80" i="3"/>
  <c r="Y60" i="3"/>
  <c r="S60" i="3"/>
  <c r="J84" i="3"/>
  <c r="Y48" i="3"/>
  <c r="Z97" i="3"/>
  <c r="I93" i="3"/>
  <c r="AL94" i="3"/>
  <c r="AI96" i="3"/>
  <c r="P56" i="3"/>
  <c r="Y74" i="3"/>
  <c r="AJ82" i="3"/>
  <c r="AL66" i="3"/>
  <c r="AI68" i="3"/>
  <c r="AA81" i="3"/>
  <c r="X97" i="3"/>
  <c r="R79" i="3"/>
  <c r="Z57" i="3"/>
  <c r="U95" i="3"/>
  <c r="AQ95" i="3"/>
  <c r="AG71" i="3"/>
  <c r="R50" i="3"/>
  <c r="AO81" i="3"/>
  <c r="AI47" i="3"/>
  <c r="Q60" i="3"/>
  <c r="W74" i="3"/>
  <c r="U67" i="3"/>
  <c r="Z89" i="3"/>
  <c r="V71" i="3"/>
  <c r="AK59" i="3"/>
  <c r="AN77" i="3"/>
  <c r="H65" i="3"/>
  <c r="AA56" i="3"/>
  <c r="X68" i="3"/>
  <c r="J77" i="3"/>
  <c r="I84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U72" i="3"/>
  <c r="P81" i="3"/>
  <c r="I91" i="3"/>
  <c r="S64" i="3"/>
  <c r="AM70" i="3"/>
  <c r="AQ50" i="3"/>
  <c r="AG89" i="3"/>
  <c r="AO87" i="3"/>
  <c r="R85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AA68" i="3"/>
  <c r="T56" i="3"/>
  <c r="S62" i="3"/>
  <c r="AJ62" i="3"/>
  <c r="K76" i="3"/>
  <c r="J63" i="3"/>
  <c r="AQ68" i="3"/>
  <c r="U70" i="3"/>
  <c r="R81" i="3"/>
  <c r="AJ92" i="3"/>
  <c r="AH93" i="3"/>
  <c r="U64" i="3"/>
  <c r="T50" i="3"/>
  <c r="AE88" i="3"/>
  <c r="AM68" i="3"/>
  <c r="K97" i="3"/>
  <c r="AA60" i="3"/>
  <c r="J89" i="3"/>
  <c r="J88" i="3"/>
  <c r="L50" i="3"/>
  <c r="M62" i="3"/>
  <c r="AQ54" i="3"/>
  <c r="AC72" i="3"/>
  <c r="Q79" i="3"/>
  <c r="Y81" i="3"/>
  <c r="T61" i="3"/>
  <c r="V91" i="3"/>
  <c r="R68" i="3"/>
  <c r="W83" i="3"/>
  <c r="AJ73" i="3"/>
  <c r="AI48" i="3"/>
  <c r="AA78" i="3"/>
  <c r="T77" i="3"/>
  <c r="AM54" i="3"/>
  <c r="R65" i="3"/>
  <c r="P77" i="3"/>
  <c r="AE60" i="3"/>
  <c r="AC89" i="3"/>
  <c r="Q49" i="3"/>
  <c r="M81" i="3"/>
  <c r="Y77" i="3"/>
  <c r="AI97" i="3"/>
  <c r="L78" i="3"/>
  <c r="O58" i="3"/>
  <c r="Y83" i="3"/>
  <c r="P84" i="3"/>
  <c r="U69" i="3"/>
  <c r="AO68" i="3"/>
  <c r="Y64" i="3"/>
  <c r="P79" i="3"/>
  <c r="AC58" i="3"/>
  <c r="AN72" i="3"/>
  <c r="AJ79" i="3"/>
  <c r="Q61" i="3"/>
  <c r="AA74" i="3"/>
  <c r="AM62" i="3"/>
  <c r="AJ55" i="3"/>
  <c r="AA48" i="3"/>
  <c r="U83" i="3"/>
  <c r="P67" i="3"/>
  <c r="AC67" i="3"/>
  <c r="Z56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I97" i="3"/>
  <c r="AQ88" i="3"/>
  <c r="AL87" i="3"/>
  <c r="R61" i="3"/>
  <c r="O75" i="3"/>
  <c r="U54" i="3"/>
  <c r="AL91" i="3"/>
  <c r="N79" i="3"/>
  <c r="AO64" i="3"/>
  <c r="X77" i="3"/>
  <c r="AG65" i="3"/>
  <c r="U81" i="3"/>
  <c r="AC54" i="3"/>
  <c r="AH82" i="3"/>
  <c r="AL76" i="3"/>
  <c r="U71" i="3"/>
  <c r="Z94" i="3"/>
  <c r="L55" i="3"/>
  <c r="AK92" i="3"/>
  <c r="P63" i="3"/>
  <c r="U50" i="3"/>
  <c r="V58" i="3"/>
  <c r="P65" i="3"/>
  <c r="U89" i="3"/>
  <c r="K57" i="3"/>
  <c r="V75" i="3"/>
  <c r="AC64" i="3"/>
  <c r="I83" i="3"/>
  <c r="L94" i="3"/>
  <c r="Q68" i="3"/>
  <c r="AQ94" i="3"/>
  <c r="AM88" i="3"/>
  <c r="AJ59" i="3"/>
  <c r="AH96" i="3"/>
  <c r="X94" i="3"/>
  <c r="N48" i="3"/>
  <c r="K91" i="3"/>
  <c r="S76" i="3"/>
  <c r="AI71" i="3"/>
  <c r="AK97" i="3"/>
  <c r="L62" i="3"/>
  <c r="AJ69" i="3"/>
  <c r="Q94" i="3"/>
  <c r="S70" i="3"/>
  <c r="H60" i="3"/>
  <c r="AM58" i="3"/>
  <c r="V47" i="3"/>
  <c r="AK65" i="3"/>
  <c r="AJ88" i="3"/>
  <c r="V72" i="3"/>
  <c r="K58" i="3"/>
  <c r="J74" i="3"/>
  <c r="P55" i="3"/>
  <c r="I78" i="3"/>
  <c r="AL61" i="3"/>
  <c r="Q71" i="3"/>
  <c r="AI87" i="3"/>
  <c r="O83" i="3"/>
  <c r="J60" i="3"/>
  <c r="N91" i="3"/>
  <c r="AG70" i="3"/>
  <c r="AJ66" i="3"/>
  <c r="AH70" i="3"/>
  <c r="Q97" i="3"/>
  <c r="Y91" i="3"/>
  <c r="AI49" i="3"/>
  <c r="N89" i="3"/>
  <c r="L58" i="3"/>
  <c r="Q89" i="3"/>
  <c r="N70" i="3"/>
  <c r="AM64" i="3"/>
  <c r="M88" i="3"/>
  <c r="X76" i="3"/>
  <c r="R49" i="3"/>
  <c r="P72" i="3"/>
  <c r="AH58" i="3"/>
  <c r="AM63" i="3"/>
  <c r="N97" i="3"/>
  <c r="U84" i="3"/>
  <c r="J73" i="3"/>
  <c r="T47" i="3"/>
  <c r="AI54" i="3"/>
  <c r="P66" i="3"/>
  <c r="J70" i="3"/>
  <c r="L84" i="3"/>
  <c r="X90" i="3"/>
  <c r="AH84" i="3"/>
  <c r="V69" i="3"/>
  <c r="AH79" i="3"/>
  <c r="Z96" i="3"/>
  <c r="M64" i="3"/>
  <c r="AG83" i="3"/>
  <c r="S84" i="3"/>
  <c r="Q64" i="3"/>
  <c r="AE58" i="3"/>
  <c r="X81" i="3"/>
  <c r="AI63" i="3"/>
  <c r="L56" i="3"/>
  <c r="AE49" i="3"/>
  <c r="T65" i="3"/>
  <c r="AM75" i="3"/>
  <c r="R55" i="3"/>
  <c r="V64" i="3"/>
  <c r="Y89" i="3"/>
  <c r="AL50" i="3"/>
  <c r="W80" i="3"/>
  <c r="AH61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AM80" i="3"/>
  <c r="S65" i="3"/>
  <c r="U94" i="3"/>
  <c r="N54" i="3"/>
  <c r="L79" i="3"/>
  <c r="J97" i="3"/>
  <c r="AH94" i="3"/>
  <c r="AG94" i="3"/>
  <c r="AO92" i="3"/>
  <c r="AQ6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H69" i="3"/>
  <c r="AM81" i="3"/>
  <c r="H85" i="3"/>
  <c r="AE68" i="3"/>
  <c r="P50" i="3"/>
  <c r="X89" i="3"/>
  <c r="AO82" i="3"/>
  <c r="AO62" i="3"/>
  <c r="AJ75" i="3"/>
  <c r="AC57" i="3"/>
  <c r="S48" i="3"/>
  <c r="L93" i="3"/>
  <c r="AK54" i="3"/>
  <c r="Q88" i="3"/>
  <c r="M57" i="3"/>
  <c r="M72" i="3"/>
  <c r="AH69" i="3"/>
  <c r="O76" i="3"/>
  <c r="AN59" i="3"/>
  <c r="O64" i="3"/>
  <c r="I55" i="3"/>
  <c r="K93" i="3"/>
  <c r="AG82" i="3"/>
  <c r="K85" i="3"/>
  <c r="N86" i="3"/>
  <c r="Z76" i="3"/>
  <c r="Y84" i="3"/>
  <c r="R54" i="3"/>
  <c r="H47" i="3"/>
  <c r="P69" i="3"/>
  <c r="AC86" i="3"/>
  <c r="S85" i="3"/>
  <c r="AO49" i="3"/>
  <c r="H70" i="3"/>
  <c r="Q74" i="3"/>
  <c r="AQ58" i="3"/>
  <c r="J92" i="3"/>
  <c r="K54" i="3"/>
  <c r="X80" i="3"/>
  <c r="S58" i="3"/>
  <c r="M60" i="3"/>
  <c r="X49" i="3"/>
  <c r="J90" i="3"/>
  <c r="O86" i="3"/>
  <c r="Z48" i="3"/>
  <c r="AN94" i="3"/>
  <c r="S93" i="3"/>
  <c r="V61" i="3"/>
  <c r="AE90" i="3"/>
  <c r="AG95" i="3"/>
  <c r="AJ48" i="3"/>
  <c r="Z65" i="3"/>
  <c r="AM56" i="3"/>
  <c r="AA63" i="3"/>
  <c r="K94" i="3"/>
  <c r="R83" i="3"/>
  <c r="H93" i="3"/>
  <c r="O70" i="3"/>
  <c r="AA86" i="3"/>
  <c r="L95" i="3"/>
  <c r="AG91" i="3"/>
  <c r="T73" i="3"/>
  <c r="S83" i="3"/>
  <c r="AC71" i="3"/>
  <c r="S75" i="3"/>
  <c r="AN48" i="3"/>
  <c r="AQ92" i="3"/>
  <c r="X86" i="3"/>
  <c r="N64" i="3"/>
  <c r="P47" i="3"/>
  <c r="H67" i="3"/>
  <c r="AO76" i="3"/>
  <c r="AN89" i="3"/>
  <c r="AC79" i="3"/>
  <c r="AJ81" i="3"/>
  <c r="W94" i="3"/>
  <c r="I86" i="3"/>
  <c r="AA92" i="3"/>
  <c r="U66" i="3"/>
  <c r="Q55" i="3"/>
  <c r="U85" i="3"/>
  <c r="N84" i="3"/>
  <c r="AN58" i="3"/>
  <c r="Z86" i="3"/>
  <c r="AO89" i="3"/>
  <c r="H74" i="3"/>
  <c r="W62" i="3"/>
  <c r="AC48" i="3"/>
  <c r="AO95" i="3"/>
  <c r="L76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I77" i="3"/>
  <c r="S71" i="3"/>
  <c r="O63" i="3"/>
  <c r="P88" i="3"/>
  <c r="AC75" i="3"/>
  <c r="AO58" i="3"/>
  <c r="AM91" i="3"/>
  <c r="I54" i="3"/>
  <c r="AJ50" i="3"/>
  <c r="X65" i="3"/>
  <c r="AQ82" i="3"/>
  <c r="AE56" i="3"/>
  <c r="X56" i="3"/>
  <c r="V67" i="3"/>
  <c r="J59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W81" i="3"/>
  <c r="AM96" i="3"/>
  <c r="AG90" i="3"/>
  <c r="R78" i="3"/>
  <c r="V66" i="3"/>
  <c r="AH50" i="3"/>
  <c r="Z68" i="3"/>
  <c r="Z82" i="3"/>
  <c r="I87" i="3"/>
  <c r="AN67" i="3"/>
  <c r="H55" i="3"/>
  <c r="O92" i="3"/>
  <c r="Q66" i="3"/>
  <c r="Y90" i="3"/>
  <c r="H77" i="3"/>
  <c r="O74" i="3"/>
  <c r="AE47" i="3"/>
  <c r="O84" i="3"/>
  <c r="AN83" i="3"/>
  <c r="I66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I81" i="3"/>
  <c r="W50" i="3"/>
  <c r="AN76" i="3"/>
  <c r="AH48" i="3"/>
  <c r="AQ97" i="3"/>
  <c r="T84" i="3"/>
  <c r="AK80" i="3"/>
  <c r="H79" i="3"/>
  <c r="AJ70" i="3"/>
  <c r="W61" i="3"/>
  <c r="K78" i="3"/>
  <c r="AL47" i="3"/>
  <c r="AH90" i="3"/>
  <c r="AC85" i="3"/>
  <c r="X50" i="3"/>
  <c r="N68" i="3"/>
  <c r="Q80" i="3"/>
  <c r="U92" i="3"/>
  <c r="U78" i="3"/>
  <c r="AQ48" i="3"/>
  <c r="AN84" i="3"/>
  <c r="AH59" i="3"/>
  <c r="AN66" i="3"/>
  <c r="AG55" i="3"/>
  <c r="N66" i="3"/>
  <c r="AL69" i="3"/>
  <c r="R66" i="3"/>
  <c r="AL90" i="3"/>
  <c r="Z85" i="3"/>
  <c r="Y93" i="3"/>
  <c r="I74" i="3"/>
  <c r="W47" i="3"/>
  <c r="X61" i="3"/>
  <c r="N61" i="3"/>
  <c r="M66" i="3"/>
  <c r="Y92" i="3"/>
  <c r="J76" i="3"/>
  <c r="I65" i="3"/>
  <c r="L78" i="1" l="1"/>
  <c r="R147" i="1"/>
  <c r="M133" i="1"/>
  <c r="I174" i="1"/>
  <c r="J222" i="1" s="1"/>
  <c r="L133" i="1"/>
  <c r="L100" i="1" s="1"/>
  <c r="L103" i="1" s="1"/>
  <c r="E133" i="1"/>
  <c r="F147" i="1"/>
  <c r="C133" i="1"/>
  <c r="N95" i="1"/>
  <c r="G116" i="1"/>
  <c r="U174" i="1"/>
  <c r="V222" i="1" s="1"/>
  <c r="N133" i="1"/>
  <c r="N261" i="1" s="1"/>
  <c r="P215" i="1"/>
  <c r="G95" i="1"/>
  <c r="N116" i="1"/>
  <c r="B73" i="1"/>
  <c r="T215" i="1"/>
  <c r="D141" i="1"/>
  <c r="O174" i="1"/>
  <c r="U161" i="1"/>
  <c r="U195" i="1" s="1"/>
  <c r="U194" i="1" s="1"/>
  <c r="BJ24" i="1"/>
  <c r="BJ7" i="1"/>
  <c r="O133" i="1"/>
  <c r="D133" i="1"/>
  <c r="N93" i="1"/>
  <c r="N110" i="1"/>
  <c r="Q215" i="1"/>
  <c r="W116" i="1"/>
  <c r="W112" i="1"/>
  <c r="C215" i="1"/>
  <c r="C141" i="1"/>
  <c r="F141" i="1"/>
  <c r="F45" i="1" s="1"/>
  <c r="I161" i="1"/>
  <c r="I195" i="1" s="1"/>
  <c r="I194" i="1" s="1"/>
  <c r="S174" i="1"/>
  <c r="T222" i="1" s="1"/>
  <c r="S215" i="1"/>
  <c r="N147" i="1"/>
  <c r="L147" i="1"/>
  <c r="V174" i="1"/>
  <c r="W222" i="1" s="1"/>
  <c r="V215" i="1"/>
  <c r="M174" i="1"/>
  <c r="S186" i="1"/>
  <c r="T174" i="1"/>
  <c r="B186" i="1"/>
  <c r="C147" i="1"/>
  <c r="Q186" i="1"/>
  <c r="H133" i="1"/>
  <c r="H115" i="1"/>
  <c r="H111" i="1"/>
  <c r="R141" i="1"/>
  <c r="R45" i="1" s="1"/>
  <c r="V141" i="1"/>
  <c r="S161" i="1"/>
  <c r="T133" i="1"/>
  <c r="H186" i="1"/>
  <c r="C186" i="1"/>
  <c r="I133" i="1"/>
  <c r="J110" i="1"/>
  <c r="J93" i="1"/>
  <c r="J147" i="1"/>
  <c r="S115" i="1"/>
  <c r="S97" i="1"/>
  <c r="P93" i="1"/>
  <c r="P110" i="1"/>
  <c r="M161" i="1"/>
  <c r="M195" i="1" s="1"/>
  <c r="M194" i="1" s="1"/>
  <c r="U147" i="1"/>
  <c r="B169" i="1"/>
  <c r="B198" i="1" s="1"/>
  <c r="B197" i="1" s="1"/>
  <c r="K93" i="1"/>
  <c r="S147" i="1"/>
  <c r="B147" i="1"/>
  <c r="K215" i="1"/>
  <c r="H174" i="1"/>
  <c r="C73" i="1"/>
  <c r="S141" i="1"/>
  <c r="S169" i="1"/>
  <c r="C161" i="1"/>
  <c r="K174" i="1"/>
  <c r="D174" i="1"/>
  <c r="F174" i="1"/>
  <c r="M215" i="1"/>
  <c r="F133" i="1"/>
  <c r="L116" i="1"/>
  <c r="L112" i="1"/>
  <c r="T147" i="1"/>
  <c r="T41" i="1" s="1"/>
  <c r="B133" i="1"/>
  <c r="C220" i="1" s="1"/>
  <c r="G147" i="1"/>
  <c r="T141" i="1"/>
  <c r="M186" i="1"/>
  <c r="O141" i="1"/>
  <c r="L215" i="1"/>
  <c r="B141" i="1"/>
  <c r="N186" i="1"/>
  <c r="D73" i="1"/>
  <c r="D115" i="1" s="1"/>
  <c r="K161" i="1"/>
  <c r="K141" i="1"/>
  <c r="F161" i="1"/>
  <c r="J174" i="1"/>
  <c r="G133" i="1"/>
  <c r="D186" i="1"/>
  <c r="J141" i="1"/>
  <c r="N215" i="1"/>
  <c r="E186" i="1"/>
  <c r="R215" i="1"/>
  <c r="L161" i="1"/>
  <c r="D215" i="1"/>
  <c r="G161" i="1"/>
  <c r="G195" i="1" s="1"/>
  <c r="G194" i="1" s="1"/>
  <c r="K133" i="1"/>
  <c r="C174" i="1"/>
  <c r="P161" i="1"/>
  <c r="W141" i="1"/>
  <c r="D161" i="1"/>
  <c r="U133" i="1"/>
  <c r="F169" i="1"/>
  <c r="F198" i="1" s="1"/>
  <c r="R161" i="1"/>
  <c r="C169" i="1"/>
  <c r="W186" i="1"/>
  <c r="E215" i="1"/>
  <c r="J161" i="1"/>
  <c r="E147" i="1"/>
  <c r="H169" i="1"/>
  <c r="H198" i="1" s="1"/>
  <c r="H197" i="1" s="1"/>
  <c r="H141" i="1"/>
  <c r="U215" i="1"/>
  <c r="I147" i="1"/>
  <c r="V186" i="1"/>
  <c r="P141" i="1"/>
  <c r="G186" i="1"/>
  <c r="J133" i="1"/>
  <c r="Q174" i="1"/>
  <c r="N169" i="1"/>
  <c r="N198" i="1" s="1"/>
  <c r="N197" i="1" s="1"/>
  <c r="V161" i="1"/>
  <c r="O161" i="1"/>
  <c r="I141" i="1"/>
  <c r="I181" i="1" s="1"/>
  <c r="I117" i="1" s="1"/>
  <c r="O215" i="1"/>
  <c r="D147" i="1"/>
  <c r="G174" i="1"/>
  <c r="Q147" i="1"/>
  <c r="T161" i="1"/>
  <c r="E141" i="1"/>
  <c r="E219" i="1" s="1"/>
  <c r="M147" i="1"/>
  <c r="Q133" i="1"/>
  <c r="P186" i="1"/>
  <c r="E161" i="1"/>
  <c r="L186" i="1"/>
  <c r="K186" i="1"/>
  <c r="K147" i="1"/>
  <c r="N141" i="1"/>
  <c r="O186" i="1"/>
  <c r="L141" i="1"/>
  <c r="P133" i="1"/>
  <c r="B161" i="1"/>
  <c r="T186" i="1"/>
  <c r="J186" i="1"/>
  <c r="P147" i="1"/>
  <c r="G141" i="1"/>
  <c r="U141" i="1"/>
  <c r="D169" i="1"/>
  <c r="H215" i="1"/>
  <c r="S133" i="1"/>
  <c r="W147" i="1"/>
  <c r="F186" i="1"/>
  <c r="O147" i="1"/>
  <c r="L174" i="1"/>
  <c r="R174" i="1"/>
  <c r="I186" i="1"/>
  <c r="R133" i="1"/>
  <c r="R62" i="1" s="1"/>
  <c r="Q161" i="1"/>
  <c r="V133" i="1"/>
  <c r="Q141" i="1"/>
  <c r="K169" i="1"/>
  <c r="Q111" i="1"/>
  <c r="Q115" i="1"/>
  <c r="I116" i="1"/>
  <c r="I112" i="1"/>
  <c r="Q112" i="1"/>
  <c r="Q116" i="1"/>
  <c r="R116" i="1"/>
  <c r="R112" i="1"/>
  <c r="R95" i="1"/>
  <c r="N192" i="1"/>
  <c r="N161" i="1"/>
  <c r="U110" i="1"/>
  <c r="U93" i="1"/>
  <c r="P169" i="1"/>
  <c r="P198" i="1" s="1"/>
  <c r="P197" i="1" s="1"/>
  <c r="T169" i="1"/>
  <c r="J169" i="1"/>
  <c r="E169" i="1"/>
  <c r="G169" i="1"/>
  <c r="O169" i="1"/>
  <c r="U169" i="1"/>
  <c r="L169" i="1"/>
  <c r="L188" i="1"/>
  <c r="J97" i="1"/>
  <c r="Q94" i="1"/>
  <c r="G97" i="1"/>
  <c r="E95" i="1"/>
  <c r="T116" i="1"/>
  <c r="T112" i="1"/>
  <c r="T115" i="1"/>
  <c r="T97" i="1"/>
  <c r="U116" i="1"/>
  <c r="U112" i="1"/>
  <c r="T93" i="1"/>
  <c r="T110" i="1"/>
  <c r="P115" i="1"/>
  <c r="P94" i="1"/>
  <c r="P111" i="1"/>
  <c r="W111" i="1"/>
  <c r="W115" i="1"/>
  <c r="L115" i="1"/>
  <c r="L111" i="1"/>
  <c r="L97" i="1"/>
  <c r="E111" i="1"/>
  <c r="E97" i="1"/>
  <c r="E115" i="1"/>
  <c r="M116" i="1"/>
  <c r="M95" i="1"/>
  <c r="O112" i="1"/>
  <c r="O116" i="1"/>
  <c r="K116" i="1"/>
  <c r="K112" i="1"/>
  <c r="R115" i="1"/>
  <c r="R111" i="1"/>
  <c r="R94" i="1"/>
  <c r="V111" i="1"/>
  <c r="V115" i="1"/>
  <c r="O115" i="1"/>
  <c r="O97" i="1"/>
  <c r="H192" i="1"/>
  <c r="H161" i="1"/>
  <c r="M97" i="1"/>
  <c r="M115" i="1"/>
  <c r="M94" i="1"/>
  <c r="J116" i="1"/>
  <c r="J95" i="1"/>
  <c r="R186" i="1"/>
  <c r="J215" i="1"/>
  <c r="I215" i="1"/>
  <c r="N115" i="1"/>
  <c r="N94" i="1"/>
  <c r="N111" i="1"/>
  <c r="F115" i="1"/>
  <c r="F97" i="1"/>
  <c r="F111" i="1"/>
  <c r="F94" i="1"/>
  <c r="F110" i="1"/>
  <c r="F93" i="1"/>
  <c r="E116" i="1"/>
  <c r="E112" i="1"/>
  <c r="P116" i="1"/>
  <c r="P95" i="1"/>
  <c r="P112" i="1"/>
  <c r="U94" i="1"/>
  <c r="U115" i="1"/>
  <c r="U111" i="1"/>
  <c r="K115" i="1"/>
  <c r="K111" i="1"/>
  <c r="V112" i="1"/>
  <c r="V116" i="1"/>
  <c r="I115" i="1"/>
  <c r="I97" i="1"/>
  <c r="I111" i="1"/>
  <c r="U186" i="1"/>
  <c r="G215" i="1"/>
  <c r="F215" i="1"/>
  <c r="R110" i="1"/>
  <c r="R93" i="1"/>
  <c r="X215" i="1"/>
  <c r="W215" i="1"/>
  <c r="F116" i="1"/>
  <c r="F95" i="1"/>
  <c r="F112" i="1"/>
  <c r="J115" i="1"/>
  <c r="J111" i="1"/>
  <c r="J94" i="1"/>
  <c r="H116" i="1"/>
  <c r="H112" i="1"/>
  <c r="S116" i="1"/>
  <c r="S112" i="1"/>
  <c r="M167" i="1"/>
  <c r="M169" i="1" s="1"/>
  <c r="M141" i="1"/>
  <c r="G115" i="1"/>
  <c r="G111" i="1"/>
  <c r="G94" i="1"/>
  <c r="V147" i="1"/>
  <c r="I169" i="1"/>
  <c r="H147" i="1"/>
  <c r="Q169" i="1"/>
  <c r="V169" i="1"/>
  <c r="R169" i="1"/>
  <c r="BH147" i="1"/>
  <c r="BH151" i="1" s="1"/>
  <c r="L62" i="1"/>
  <c r="AX153" i="1"/>
  <c r="AY153" i="1" s="1"/>
  <c r="AZ166" i="1"/>
  <c r="AZ196" i="1" s="1"/>
  <c r="BA196" i="1" s="1"/>
  <c r="BR139" i="1"/>
  <c r="BS139" i="1" s="1"/>
  <c r="AZ167" i="1"/>
  <c r="BA167" i="1" s="1"/>
  <c r="BT144" i="1"/>
  <c r="BP168" i="1"/>
  <c r="BQ168" i="1" s="1"/>
  <c r="BP81" i="1"/>
  <c r="BF138" i="1"/>
  <c r="BG138" i="1" s="1"/>
  <c r="AP159" i="1"/>
  <c r="AQ159" i="1" s="1"/>
  <c r="BI81" i="1"/>
  <c r="AX157" i="1"/>
  <c r="AX192" i="1" s="1"/>
  <c r="BR172" i="1"/>
  <c r="BF82" i="1"/>
  <c r="AZ165" i="1"/>
  <c r="BA165" i="1" s="1"/>
  <c r="BD148" i="1"/>
  <c r="BE148" i="1" s="1"/>
  <c r="AZ130" i="1"/>
  <c r="BA130" i="1" s="1"/>
  <c r="BN177" i="1"/>
  <c r="BO177" i="1" s="1"/>
  <c r="BF160" i="1"/>
  <c r="BG160" i="1" s="1"/>
  <c r="BT164" i="1"/>
  <c r="BU164" i="1" s="1"/>
  <c r="BN132" i="1"/>
  <c r="AX131" i="1"/>
  <c r="AY131" i="1" s="1"/>
  <c r="BW82" i="1"/>
  <c r="BN139" i="1"/>
  <c r="BO139" i="1" s="1"/>
  <c r="AX164" i="1"/>
  <c r="AY164" i="1" s="1"/>
  <c r="AP138" i="1"/>
  <c r="AQ138" i="1" s="1"/>
  <c r="AT144" i="1"/>
  <c r="AZ144" i="1"/>
  <c r="BF167" i="1"/>
  <c r="BG167" i="1" s="1"/>
  <c r="BR140" i="1"/>
  <c r="BS140" i="1" s="1"/>
  <c r="BD160" i="1"/>
  <c r="BE160" i="1" s="1"/>
  <c r="AP156" i="1"/>
  <c r="AQ156" i="1" s="1"/>
  <c r="AV148" i="1"/>
  <c r="AW148" i="1" s="1"/>
  <c r="BB148" i="1"/>
  <c r="BC148" i="1" s="1"/>
  <c r="AN130" i="1"/>
  <c r="AR177" i="1"/>
  <c r="AS177" i="1" s="1"/>
  <c r="AQ81" i="1"/>
  <c r="AT164" i="1"/>
  <c r="AU164" i="1" s="1"/>
  <c r="AX82" i="1"/>
  <c r="BA81" i="1"/>
  <c r="BF164" i="1"/>
  <c r="BG164" i="1" s="1"/>
  <c r="BN135" i="1"/>
  <c r="BO135" i="1" s="1"/>
  <c r="BP140" i="1"/>
  <c r="BQ140" i="1" s="1"/>
  <c r="BF137" i="1"/>
  <c r="BG137" i="1" s="1"/>
  <c r="BF176" i="1"/>
  <c r="BG176" i="1" s="1"/>
  <c r="AZ173" i="1"/>
  <c r="AW81" i="1"/>
  <c r="BP139" i="1"/>
  <c r="BQ139" i="1" s="1"/>
  <c r="BD165" i="1"/>
  <c r="BE165" i="1" s="1"/>
  <c r="BG81" i="1"/>
  <c r="AZ155" i="1"/>
  <c r="BA155" i="1" s="1"/>
  <c r="BD173" i="1"/>
  <c r="BT130" i="1"/>
  <c r="BU130" i="1" s="1"/>
  <c r="BN165" i="1"/>
  <c r="BO165" i="1" s="1"/>
  <c r="BD162" i="1"/>
  <c r="BE162" i="1" s="1"/>
  <c r="BT165" i="1"/>
  <c r="BU165" i="1" s="1"/>
  <c r="BM82" i="1"/>
  <c r="BN140" i="1"/>
  <c r="BO140" i="1" s="1"/>
  <c r="BR145" i="1"/>
  <c r="BP157" i="1"/>
  <c r="BP192" i="1" s="1"/>
  <c r="BQ192" i="1" s="1"/>
  <c r="AT172" i="1"/>
  <c r="BF177" i="1"/>
  <c r="BG177" i="1" s="1"/>
  <c r="AZ148" i="1"/>
  <c r="BA148" i="1" s="1"/>
  <c r="BT159" i="1"/>
  <c r="BU159" i="1" s="1"/>
  <c r="BP137" i="1"/>
  <c r="BQ137" i="1" s="1"/>
  <c r="BP155" i="1"/>
  <c r="BQ155" i="1" s="1"/>
  <c r="BT82" i="1"/>
  <c r="AR156" i="1"/>
  <c r="AS156" i="1" s="1"/>
  <c r="BF131" i="1"/>
  <c r="BG131" i="1" s="1"/>
  <c r="AX81" i="1"/>
  <c r="AX160" i="1"/>
  <c r="AY160" i="1" s="1"/>
  <c r="AX165" i="1"/>
  <c r="AY165" i="1" s="1"/>
  <c r="BB137" i="1"/>
  <c r="BF130" i="1"/>
  <c r="BG130" i="1" s="1"/>
  <c r="AZ160" i="1"/>
  <c r="BA160" i="1" s="1"/>
  <c r="BP144" i="1"/>
  <c r="AV157" i="1"/>
  <c r="AV192" i="1" s="1"/>
  <c r="AW192" i="1" s="1"/>
  <c r="BW81" i="1"/>
  <c r="BN168" i="1"/>
  <c r="BO168" i="1" s="1"/>
  <c r="BR162" i="1"/>
  <c r="BS162" i="1" s="1"/>
  <c r="BP132" i="1"/>
  <c r="BR81" i="1"/>
  <c r="BB82" i="1"/>
  <c r="BD82" i="1"/>
  <c r="AT138" i="1"/>
  <c r="AU138" i="1" s="1"/>
  <c r="BN138" i="1"/>
  <c r="BO138" i="1" s="1"/>
  <c r="BB159" i="1"/>
  <c r="BC159" i="1" s="1"/>
  <c r="BF145" i="1"/>
  <c r="AT135" i="1"/>
  <c r="AU135" i="1" s="1"/>
  <c r="BB145" i="1"/>
  <c r="AN135" i="1"/>
  <c r="AO135" i="1" s="1"/>
  <c r="BB139" i="1"/>
  <c r="BC139" i="1" s="1"/>
  <c r="BP153" i="1"/>
  <c r="BQ153" i="1" s="1"/>
  <c r="AP153" i="1"/>
  <c r="AV153" i="1"/>
  <c r="AV163" i="1"/>
  <c r="AW163" i="1" s="1"/>
  <c r="AN131" i="1"/>
  <c r="AO131" i="1" s="1"/>
  <c r="AN82" i="1"/>
  <c r="BE82" i="1"/>
  <c r="AX135" i="1"/>
  <c r="AY135" i="1" s="1"/>
  <c r="AX173" i="1"/>
  <c r="BB132" i="1"/>
  <c r="AZ158" i="1"/>
  <c r="AZ193" i="1" s="1"/>
  <c r="BA193" i="1" s="1"/>
  <c r="BT157" i="1"/>
  <c r="BT192" i="1" s="1"/>
  <c r="BU192" i="1" s="1"/>
  <c r="AP132" i="1"/>
  <c r="BR164" i="1"/>
  <c r="BS164" i="1" s="1"/>
  <c r="AT146" i="1"/>
  <c r="AX163" i="1"/>
  <c r="AY163" i="1" s="1"/>
  <c r="BN159" i="1"/>
  <c r="BO159" i="1" s="1"/>
  <c r="BN145" i="1"/>
  <c r="AY82" i="1"/>
  <c r="BR157" i="1"/>
  <c r="BR192" i="1" s="1"/>
  <c r="BS192" i="1" s="1"/>
  <c r="BB173" i="1"/>
  <c r="BD144" i="1"/>
  <c r="BT166" i="1"/>
  <c r="BT196" i="1" s="1"/>
  <c r="BU196" i="1" s="1"/>
  <c r="BA82" i="1"/>
  <c r="BR159" i="1"/>
  <c r="BS159" i="1" s="1"/>
  <c r="BB140" i="1"/>
  <c r="BC140" i="1" s="1"/>
  <c r="BP158" i="1"/>
  <c r="BP193" i="1" s="1"/>
  <c r="BQ193" i="1" s="1"/>
  <c r="AT157" i="1"/>
  <c r="AT192" i="1" s="1"/>
  <c r="AU192" i="1" s="1"/>
  <c r="BC81" i="1"/>
  <c r="BD164" i="1"/>
  <c r="BE164" i="1" s="1"/>
  <c r="BR158" i="1"/>
  <c r="BR193" i="1" s="1"/>
  <c r="BS193" i="1" s="1"/>
  <c r="BT172" i="1"/>
  <c r="AV162" i="1"/>
  <c r="AW162" i="1" s="1"/>
  <c r="BN155" i="1"/>
  <c r="BO155" i="1" s="1"/>
  <c r="AZ157" i="1"/>
  <c r="AZ192" i="1" s="1"/>
  <c r="BA192" i="1" s="1"/>
  <c r="AP137" i="1"/>
  <c r="AQ137" i="1" s="1"/>
  <c r="BP130" i="1"/>
  <c r="BQ130" i="1" s="1"/>
  <c r="BD139" i="1"/>
  <c r="BE139" i="1" s="1"/>
  <c r="BP145" i="1"/>
  <c r="AP163" i="1"/>
  <c r="AQ163" i="1" s="1"/>
  <c r="BD177" i="1"/>
  <c r="BE177" i="1" s="1"/>
  <c r="AV172" i="1"/>
  <c r="AV130" i="1"/>
  <c r="AW130" i="1" s="1"/>
  <c r="AR132" i="1"/>
  <c r="AR155" i="1"/>
  <c r="AS155" i="1" s="1"/>
  <c r="AZ153" i="1"/>
  <c r="BA153" i="1" s="1"/>
  <c r="AP176" i="1"/>
  <c r="AQ176" i="1" s="1"/>
  <c r="AP155" i="1"/>
  <c r="AN150" i="1"/>
  <c r="AO150" i="1" s="1"/>
  <c r="AV138" i="1"/>
  <c r="AW138" i="1" s="1"/>
  <c r="AV139" i="1"/>
  <c r="AW139" i="1" s="1"/>
  <c r="AR167" i="1"/>
  <c r="AS167" i="1" s="1"/>
  <c r="AV146" i="1"/>
  <c r="AR131" i="1"/>
  <c r="AS131" i="1" s="1"/>
  <c r="AR165" i="1"/>
  <c r="AS165" i="1" s="1"/>
  <c r="BP172" i="1"/>
  <c r="AN163" i="1"/>
  <c r="AO163" i="1" s="1"/>
  <c r="AR137" i="1"/>
  <c r="AN173" i="1"/>
  <c r="AV177" i="1"/>
  <c r="AW177" i="1" s="1"/>
  <c r="AR166" i="1"/>
  <c r="AR196" i="1" s="1"/>
  <c r="AN139" i="1"/>
  <c r="AO139" i="1" s="1"/>
  <c r="AR135" i="1"/>
  <c r="AS135" i="1" s="1"/>
  <c r="AR159" i="1"/>
  <c r="AS159" i="1" s="1"/>
  <c r="BB144" i="1"/>
  <c r="AV81" i="1"/>
  <c r="AU81" i="1"/>
  <c r="AR173" i="1"/>
  <c r="AV166" i="1"/>
  <c r="AV196" i="1" s="1"/>
  <c r="AT162" i="1"/>
  <c r="AU162" i="1" s="1"/>
  <c r="AT166" i="1"/>
  <c r="AT196" i="1" s="1"/>
  <c r="AU196" i="1" s="1"/>
  <c r="AR81" i="1"/>
  <c r="BO82" i="1"/>
  <c r="BT153" i="1"/>
  <c r="AP146" i="1"/>
  <c r="BF163" i="1"/>
  <c r="BG163" i="1" s="1"/>
  <c r="BN81" i="1"/>
  <c r="AV173" i="1"/>
  <c r="AR157" i="1"/>
  <c r="AR192" i="1" s="1"/>
  <c r="AS192" i="1" s="1"/>
  <c r="BP162" i="1"/>
  <c r="BQ162" i="1" s="1"/>
  <c r="AV164" i="1"/>
  <c r="AW164" i="1" s="1"/>
  <c r="BT140" i="1"/>
  <c r="BU140" i="1" s="1"/>
  <c r="AR160" i="1"/>
  <c r="AS160" i="1" s="1"/>
  <c r="BB158" i="1"/>
  <c r="BB193" i="1" s="1"/>
  <c r="BC193" i="1" s="1"/>
  <c r="AT131" i="1"/>
  <c r="AU131" i="1" s="1"/>
  <c r="BO81" i="1"/>
  <c r="AX176" i="1"/>
  <c r="AY176" i="1" s="1"/>
  <c r="BB153" i="1"/>
  <c r="BC153" i="1" s="1"/>
  <c r="BD130" i="1"/>
  <c r="BR148" i="1"/>
  <c r="BS148" i="1" s="1"/>
  <c r="BB166" i="1"/>
  <c r="BB196" i="1" s="1"/>
  <c r="BF173" i="1"/>
  <c r="BP166" i="1"/>
  <c r="BP196" i="1" s="1"/>
  <c r="BQ196" i="1" s="1"/>
  <c r="AX168" i="1"/>
  <c r="AY168" i="1" s="1"/>
  <c r="BN172" i="1"/>
  <c r="AZ139" i="1"/>
  <c r="BA139" i="1" s="1"/>
  <c r="AX144" i="1"/>
  <c r="BN157" i="1"/>
  <c r="BN192" i="1" s="1"/>
  <c r="BO192" i="1" s="1"/>
  <c r="BR131" i="1"/>
  <c r="BS131" i="1" s="1"/>
  <c r="BF158" i="1"/>
  <c r="BF193" i="1" s="1"/>
  <c r="BG193" i="1" s="1"/>
  <c r="BS81" i="1"/>
  <c r="BQ82" i="1"/>
  <c r="AT148" i="1"/>
  <c r="AU148" i="1" s="1"/>
  <c r="AT139" i="1"/>
  <c r="AU139" i="1" s="1"/>
  <c r="AZ135" i="1"/>
  <c r="BA135" i="1" s="1"/>
  <c r="BD176" i="1"/>
  <c r="BE176" i="1" s="1"/>
  <c r="BD135" i="1"/>
  <c r="BE135" i="1" s="1"/>
  <c r="BT132" i="1"/>
  <c r="BB167" i="1"/>
  <c r="BC167" i="1" s="1"/>
  <c r="BF144" i="1"/>
  <c r="AX132" i="1"/>
  <c r="AX148" i="1"/>
  <c r="AY148" i="1" s="1"/>
  <c r="AX158" i="1"/>
  <c r="AX193" i="1" s="1"/>
  <c r="AY193" i="1" s="1"/>
  <c r="AZ146" i="1"/>
  <c r="AZ168" i="1"/>
  <c r="BA168" i="1" s="1"/>
  <c r="BF166" i="1"/>
  <c r="BF196" i="1" s="1"/>
  <c r="BG196" i="1" s="1"/>
  <c r="BF148" i="1"/>
  <c r="BG148" i="1" s="1"/>
  <c r="BD163" i="1"/>
  <c r="BE163" i="1" s="1"/>
  <c r="BN163" i="1"/>
  <c r="BO163" i="1" s="1"/>
  <c r="AQ82" i="1"/>
  <c r="BR82" i="1"/>
  <c r="AZ140" i="1"/>
  <c r="BA140" i="1" s="1"/>
  <c r="BD159" i="1"/>
  <c r="BE159" i="1" s="1"/>
  <c r="BD137" i="1"/>
  <c r="BE137" i="1" s="1"/>
  <c r="BT148" i="1"/>
  <c r="BU148" i="1" s="1"/>
  <c r="BP82" i="1"/>
  <c r="AV167" i="1"/>
  <c r="AW167" i="1" s="1"/>
  <c r="BN82" i="1"/>
  <c r="BR177" i="1"/>
  <c r="BS177" i="1" s="1"/>
  <c r="AN177" i="1"/>
  <c r="AO177" i="1" s="1"/>
  <c r="AT163" i="1"/>
  <c r="AO81" i="1"/>
  <c r="AX162" i="1"/>
  <c r="AX145" i="1"/>
  <c r="AX150" i="1"/>
  <c r="AY150" i="1" s="1"/>
  <c r="BE81" i="1"/>
  <c r="BN146" i="1"/>
  <c r="BN176" i="1"/>
  <c r="BO176" i="1" s="1"/>
  <c r="BN137" i="1"/>
  <c r="BN158" i="1"/>
  <c r="BN193" i="1" s="1"/>
  <c r="BO193" i="1" s="1"/>
  <c r="BN167" i="1"/>
  <c r="BO167" i="1" s="1"/>
  <c r="AY81" i="1"/>
  <c r="BR155" i="1"/>
  <c r="BS155" i="1" s="1"/>
  <c r="BB162" i="1"/>
  <c r="BC162" i="1" s="1"/>
  <c r="BB164" i="1"/>
  <c r="BC164" i="1" s="1"/>
  <c r="AZ164" i="1"/>
  <c r="BA164" i="1" s="1"/>
  <c r="BF155" i="1"/>
  <c r="BG155" i="1" s="1"/>
  <c r="BD158" i="1"/>
  <c r="BD193" i="1" s="1"/>
  <c r="BE193" i="1" s="1"/>
  <c r="BT167" i="1"/>
  <c r="BU167" i="1" s="1"/>
  <c r="BT173" i="1"/>
  <c r="BP156" i="1"/>
  <c r="BQ156" i="1" s="1"/>
  <c r="BP164" i="1"/>
  <c r="BQ164" i="1" s="1"/>
  <c r="AP131" i="1"/>
  <c r="AQ131" i="1" s="1"/>
  <c r="AZ131" i="1"/>
  <c r="BA131" i="1" s="1"/>
  <c r="AX139" i="1"/>
  <c r="AY139" i="1" s="1"/>
  <c r="AX155" i="1"/>
  <c r="AY155" i="1" s="1"/>
  <c r="BN160" i="1"/>
  <c r="BO160" i="1" s="1"/>
  <c r="BR146" i="1"/>
  <c r="BR168" i="1"/>
  <c r="BS168" i="1" s="1"/>
  <c r="BR163" i="1"/>
  <c r="BS163" i="1" s="1"/>
  <c r="BB135" i="1"/>
  <c r="BC135" i="1" s="1"/>
  <c r="AZ145" i="1"/>
  <c r="AP162" i="1"/>
  <c r="AQ162" i="1" s="1"/>
  <c r="AW82" i="1"/>
  <c r="AS81" i="1"/>
  <c r="AT140" i="1"/>
  <c r="AU140" i="1" s="1"/>
  <c r="AT158" i="1"/>
  <c r="AT193" i="1" s="1"/>
  <c r="AU193" i="1" s="1"/>
  <c r="AT168" i="1"/>
  <c r="AU168" i="1" s="1"/>
  <c r="AT159" i="1"/>
  <c r="AU159" i="1" s="1"/>
  <c r="AT167" i="1"/>
  <c r="AU167" i="1" s="1"/>
  <c r="AT130" i="1"/>
  <c r="BB163" i="1"/>
  <c r="BC163" i="1" s="1"/>
  <c r="AZ176" i="1"/>
  <c r="BA176" i="1" s="1"/>
  <c r="AZ163" i="1"/>
  <c r="BA163" i="1" s="1"/>
  <c r="BF132" i="1"/>
  <c r="BD132" i="1"/>
  <c r="BD153" i="1"/>
  <c r="BE153" i="1" s="1"/>
  <c r="AP82" i="1"/>
  <c r="BG82" i="1"/>
  <c r="BF135" i="1"/>
  <c r="BG135" i="1" s="1"/>
  <c r="AZ177" i="1"/>
  <c r="BA177" i="1" s="1"/>
  <c r="BF153" i="1"/>
  <c r="BG153" i="1" s="1"/>
  <c r="BH215" i="1" s="1"/>
  <c r="BD155" i="1"/>
  <c r="BE155" i="1" s="1"/>
  <c r="BP135" i="1"/>
  <c r="BQ135" i="1" s="1"/>
  <c r="BK81" i="1"/>
  <c r="AP135" i="1"/>
  <c r="AQ135" i="1" s="1"/>
  <c r="AT156" i="1"/>
  <c r="AU156" i="1" s="1"/>
  <c r="AT132" i="1"/>
  <c r="BN166" i="1"/>
  <c r="BN196" i="1" s="1"/>
  <c r="BO196" i="1" s="1"/>
  <c r="BB146" i="1"/>
  <c r="BB155" i="1"/>
  <c r="BC155" i="1" s="1"/>
  <c r="AZ162" i="1"/>
  <c r="BA162" i="1" s="1"/>
  <c r="BP159" i="1"/>
  <c r="BQ159" i="1" s="1"/>
  <c r="AN159" i="1"/>
  <c r="AO159" i="1" s="1"/>
  <c r="BT158" i="1"/>
  <c r="BT193" i="1" s="1"/>
  <c r="BU193" i="1" s="1"/>
  <c r="BD166" i="1"/>
  <c r="BD196" i="1" s="1"/>
  <c r="BE196" i="1" s="1"/>
  <c r="BF139" i="1"/>
  <c r="BG139" i="1" s="1"/>
  <c r="BT163" i="1"/>
  <c r="BU163" i="1" s="1"/>
  <c r="AN172" i="1"/>
  <c r="AZ150" i="1"/>
  <c r="BA150" i="1" s="1"/>
  <c r="AP139" i="1"/>
  <c r="AQ139" i="1" s="1"/>
  <c r="AP157" i="1"/>
  <c r="AP192" i="1" s="1"/>
  <c r="AQ192" i="1" s="1"/>
  <c r="AN165" i="1"/>
  <c r="AO165" i="1" s="1"/>
  <c r="BP138" i="1"/>
  <c r="BQ138" i="1" s="1"/>
  <c r="AV159" i="1"/>
  <c r="AW159" i="1" s="1"/>
  <c r="AR138" i="1"/>
  <c r="AS138" i="1" s="1"/>
  <c r="AR82" i="1"/>
  <c r="BT160" i="1"/>
  <c r="BU160" i="1" s="1"/>
  <c r="BP165" i="1"/>
  <c r="BQ165" i="1" s="1"/>
  <c r="AN176" i="1"/>
  <c r="AO176" i="1" s="1"/>
  <c r="AV82" i="1"/>
  <c r="AP140" i="1"/>
  <c r="AQ140" i="1" s="1"/>
  <c r="AV131" i="1"/>
  <c r="AW131" i="1" s="1"/>
  <c r="AV176" i="1"/>
  <c r="AW176" i="1" s="1"/>
  <c r="AR130" i="1"/>
  <c r="AV137" i="1"/>
  <c r="BD81" i="1"/>
  <c r="AP166" i="1"/>
  <c r="AP196" i="1" s="1"/>
  <c r="AQ196" i="1" s="1"/>
  <c r="BP146" i="1"/>
  <c r="AN160" i="1"/>
  <c r="AO160" i="1" s="1"/>
  <c r="AR150" i="1"/>
  <c r="AS150" i="1" s="1"/>
  <c r="BI82" i="1"/>
  <c r="AS82" i="1"/>
  <c r="AR163" i="1"/>
  <c r="AS163" i="1" s="1"/>
  <c r="AP173" i="1"/>
  <c r="AN167" i="1"/>
  <c r="AO167" i="1" s="1"/>
  <c r="AV140" i="1"/>
  <c r="AW140" i="1" s="1"/>
  <c r="BP167" i="1"/>
  <c r="BQ167" i="1" s="1"/>
  <c r="AN164" i="1"/>
  <c r="AO164" i="1" s="1"/>
  <c r="AN148" i="1"/>
  <c r="AO148" i="1" s="1"/>
  <c r="AR140" i="1"/>
  <c r="AS140" i="1" s="1"/>
  <c r="AV165" i="1"/>
  <c r="AW165" i="1" s="1"/>
  <c r="BQ81" i="1"/>
  <c r="BS82" i="1"/>
  <c r="AR162" i="1"/>
  <c r="AS162" i="1" s="1"/>
  <c r="AP81" i="1"/>
  <c r="BR137" i="1"/>
  <c r="BS137" i="1" s="1"/>
  <c r="AV155" i="1"/>
  <c r="AW155" i="1" s="1"/>
  <c r="AN156" i="1"/>
  <c r="AO156" i="1" s="1"/>
  <c r="AN145" i="1"/>
  <c r="AR176" i="1"/>
  <c r="AS176" i="1" s="1"/>
  <c r="AV158" i="1"/>
  <c r="AV193" i="1" s="1"/>
  <c r="AW193" i="1" s="1"/>
  <c r="AN155" i="1"/>
  <c r="AR139" i="1"/>
  <c r="AS139" i="1" s="1"/>
  <c r="AX166" i="1"/>
  <c r="AX196" i="1" s="1"/>
  <c r="AY196" i="1" s="1"/>
  <c r="BB81" i="1"/>
  <c r="AZ159" i="1"/>
  <c r="BA159" i="1" s="1"/>
  <c r="BD172" i="1"/>
  <c r="BR167" i="1"/>
  <c r="BS167" i="1" s="1"/>
  <c r="BT145" i="1"/>
  <c r="BK82" i="1"/>
  <c r="AX130" i="1"/>
  <c r="AX167" i="1"/>
  <c r="AY167" i="1" s="1"/>
  <c r="BB138" i="1"/>
  <c r="BC138" i="1" s="1"/>
  <c r="BF157" i="1"/>
  <c r="BF192" i="1" s="1"/>
  <c r="BG192" i="1" s="1"/>
  <c r="BT138" i="1"/>
  <c r="BU138" i="1" s="1"/>
  <c r="AX137" i="1"/>
  <c r="BR153" i="1"/>
  <c r="BT137" i="1"/>
  <c r="AP168" i="1"/>
  <c r="AQ168" i="1" s="1"/>
  <c r="AT177" i="1"/>
  <c r="AU177" i="1" s="1"/>
  <c r="AT165" i="1"/>
  <c r="AU165" i="1" s="1"/>
  <c r="BC82" i="1"/>
  <c r="AZ137" i="1"/>
  <c r="BA137" i="1" s="1"/>
  <c r="BF165" i="1"/>
  <c r="BG165" i="1" s="1"/>
  <c r="BD157" i="1"/>
  <c r="BD192" i="1" s="1"/>
  <c r="BE192" i="1" s="1"/>
  <c r="AT82" i="1"/>
  <c r="BB157" i="1"/>
  <c r="BB192" i="1" s="1"/>
  <c r="BC192" i="1" s="1"/>
  <c r="BT168" i="1"/>
  <c r="BU168" i="1" s="1"/>
  <c r="BB160" i="1"/>
  <c r="BC160" i="1" s="1"/>
  <c r="AN153" i="1"/>
  <c r="BP163" i="1"/>
  <c r="BQ163" i="1" s="1"/>
  <c r="AN146" i="1"/>
  <c r="BT81" i="1"/>
  <c r="AP158" i="1"/>
  <c r="AP193" i="1" s="1"/>
  <c r="AQ193" i="1" s="1"/>
  <c r="AV144" i="1"/>
  <c r="BD140" i="1"/>
  <c r="BE140" i="1" s="1"/>
  <c r="AX172" i="1"/>
  <c r="AX177" i="1"/>
  <c r="AY177" i="1" s="1"/>
  <c r="AX138" i="1"/>
  <c r="AY138" i="1" s="1"/>
  <c r="BB176" i="1"/>
  <c r="BC176" i="1" s="1"/>
  <c r="BU81" i="1"/>
  <c r="AZ82" i="1"/>
  <c r="BF159" i="1"/>
  <c r="BG159" i="1" s="1"/>
  <c r="BF140" i="1"/>
  <c r="BG140" i="1" s="1"/>
  <c r="BD146" i="1"/>
  <c r="BN153" i="1"/>
  <c r="BR165" i="1"/>
  <c r="BS165" i="1" s="1"/>
  <c r="BR132" i="1"/>
  <c r="BR138" i="1"/>
  <c r="BS138" i="1" s="1"/>
  <c r="BR130" i="1"/>
  <c r="BB177" i="1"/>
  <c r="BC177" i="1" s="1"/>
  <c r="AZ132" i="1"/>
  <c r="BF162" i="1"/>
  <c r="BG162" i="1" s="1"/>
  <c r="BD131" i="1"/>
  <c r="BE131" i="1" s="1"/>
  <c r="BT177" i="1"/>
  <c r="BU177" i="1" s="1"/>
  <c r="BP173" i="1"/>
  <c r="AP145" i="1"/>
  <c r="AV145" i="1"/>
  <c r="BN144" i="1"/>
  <c r="BR160" i="1"/>
  <c r="BS160" i="1" s="1"/>
  <c r="AX146" i="1"/>
  <c r="AX159" i="1"/>
  <c r="AY159" i="1" s="1"/>
  <c r="BN173" i="1"/>
  <c r="BN131" i="1"/>
  <c r="BO131" i="1" s="1"/>
  <c r="BN162" i="1"/>
  <c r="BO162" i="1" s="1"/>
  <c r="BR173" i="1"/>
  <c r="BR135" i="1"/>
  <c r="BS135" i="1" s="1"/>
  <c r="BB172" i="1"/>
  <c r="BF146" i="1"/>
  <c r="BT131" i="1"/>
  <c r="BU131" i="1" s="1"/>
  <c r="BP176" i="1"/>
  <c r="BQ176" i="1" s="1"/>
  <c r="BP160" i="1"/>
  <c r="BQ160" i="1" s="1"/>
  <c r="BM81" i="1"/>
  <c r="AX140" i="1"/>
  <c r="AY140" i="1" s="1"/>
  <c r="BN164" i="1"/>
  <c r="BO164" i="1" s="1"/>
  <c r="BN130" i="1"/>
  <c r="BO130" i="1" s="1"/>
  <c r="BR144" i="1"/>
  <c r="BR176" i="1"/>
  <c r="BS176" i="1" s="1"/>
  <c r="BR166" i="1"/>
  <c r="BR196" i="1" s="1"/>
  <c r="BS196" i="1" s="1"/>
  <c r="BB168" i="1"/>
  <c r="BC168" i="1" s="1"/>
  <c r="AZ172" i="1"/>
  <c r="BD168" i="1"/>
  <c r="BE168" i="1" s="1"/>
  <c r="BT146" i="1"/>
  <c r="AP164" i="1"/>
  <c r="AQ164" i="1" s="1"/>
  <c r="AT153" i="1"/>
  <c r="AU153" i="1" s="1"/>
  <c r="AT173" i="1"/>
  <c r="AT137" i="1"/>
  <c r="AU137" i="1" s="1"/>
  <c r="AT155" i="1"/>
  <c r="BN148" i="1"/>
  <c r="BO148" i="1" s="1"/>
  <c r="BB165" i="1"/>
  <c r="BC165" i="1" s="1"/>
  <c r="BU82" i="1"/>
  <c r="AZ138" i="1"/>
  <c r="BA138" i="1" s="1"/>
  <c r="BF168" i="1"/>
  <c r="BG168" i="1" s="1"/>
  <c r="BP131" i="1"/>
  <c r="BQ131" i="1" s="1"/>
  <c r="BF172" i="1"/>
  <c r="BF81" i="1"/>
  <c r="BD138" i="1"/>
  <c r="BE138" i="1" s="1"/>
  <c r="BT135" i="1"/>
  <c r="BU135" i="1" s="1"/>
  <c r="AP165" i="1"/>
  <c r="AQ165" i="1" s="1"/>
  <c r="AT176" i="1"/>
  <c r="AU176" i="1" s="1"/>
  <c r="AT160" i="1"/>
  <c r="AU160" i="1" s="1"/>
  <c r="BT139" i="1"/>
  <c r="BU139" i="1" s="1"/>
  <c r="AU82" i="1"/>
  <c r="BB131" i="1"/>
  <c r="BC131" i="1" s="1"/>
  <c r="AZ81" i="1"/>
  <c r="BT155" i="1"/>
  <c r="BU155" i="1" s="1"/>
  <c r="AP177" i="1"/>
  <c r="AQ177" i="1" s="1"/>
  <c r="BB130" i="1"/>
  <c r="AN158" i="1"/>
  <c r="AN193" i="1" s="1"/>
  <c r="AO193" i="1" s="1"/>
  <c r="BD167" i="1"/>
  <c r="BE167" i="1" s="1"/>
  <c r="BT176" i="1"/>
  <c r="BU176" i="1" s="1"/>
  <c r="BP148" i="1"/>
  <c r="BQ148" i="1" s="1"/>
  <c r="AP148" i="1"/>
  <c r="AQ148" i="1" s="1"/>
  <c r="AN137" i="1"/>
  <c r="BP177" i="1"/>
  <c r="BQ177" i="1" s="1"/>
  <c r="AP130" i="1"/>
  <c r="AQ130" i="1" s="1"/>
  <c r="AN132" i="1"/>
  <c r="AV135" i="1"/>
  <c r="AW135" i="1" s="1"/>
  <c r="AR148" i="1"/>
  <c r="AS148" i="1" s="1"/>
  <c r="AR153" i="1"/>
  <c r="AS153" i="1" s="1"/>
  <c r="AR146" i="1"/>
  <c r="AP172" i="1"/>
  <c r="AP160" i="1"/>
  <c r="AQ160" i="1" s="1"/>
  <c r="AN166" i="1"/>
  <c r="AN196" i="1" s="1"/>
  <c r="AO196" i="1" s="1"/>
  <c r="AV168" i="1"/>
  <c r="AW168" i="1" s="1"/>
  <c r="AP144" i="1"/>
  <c r="AR145" i="1"/>
  <c r="AR144" i="1"/>
  <c r="AR172" i="1"/>
  <c r="BD145" i="1"/>
  <c r="AN157" i="1"/>
  <c r="AN192" i="1" s="1"/>
  <c r="AO192" i="1" s="1"/>
  <c r="AV132" i="1"/>
  <c r="AR158" i="1"/>
  <c r="BT162" i="1"/>
  <c r="BU162" i="1" s="1"/>
  <c r="AN162" i="1"/>
  <c r="AO162" i="1" s="1"/>
  <c r="AR168" i="1"/>
  <c r="AS168" i="1" s="1"/>
  <c r="AP167" i="1"/>
  <c r="AQ167" i="1" s="1"/>
  <c r="AN140" i="1"/>
  <c r="AO140" i="1" s="1"/>
  <c r="AN168" i="1"/>
  <c r="AO168" i="1" s="1"/>
  <c r="AR164" i="1"/>
  <c r="AS164" i="1" s="1"/>
  <c r="AN144" i="1"/>
  <c r="AT145" i="1"/>
  <c r="AT81" i="1"/>
  <c r="AN81" i="1"/>
  <c r="AN138" i="1"/>
  <c r="AO138" i="1" s="1"/>
  <c r="AO82" i="1"/>
  <c r="AV160" i="1"/>
  <c r="AW160" i="1" s="1"/>
  <c r="BH174" i="1"/>
  <c r="BI155" i="1"/>
  <c r="BH161" i="1"/>
  <c r="BH195" i="1" s="1"/>
  <c r="BI162" i="1"/>
  <c r="BH169" i="1"/>
  <c r="BH198" i="1" s="1"/>
  <c r="BI137" i="1"/>
  <c r="BI141" i="1" s="1"/>
  <c r="BH141" i="1"/>
  <c r="AV150" i="1"/>
  <c r="AW150" i="1" s="1"/>
  <c r="AV156" i="1"/>
  <c r="AZ18" i="1"/>
  <c r="AP150" i="1"/>
  <c r="AQ150" i="1" s="1"/>
  <c r="BF150" i="1"/>
  <c r="BG150" i="1" s="1"/>
  <c r="AT150" i="1"/>
  <c r="AU150" i="1" s="1"/>
  <c r="BP150" i="1"/>
  <c r="BQ150" i="1" s="1"/>
  <c r="BD150" i="1"/>
  <c r="BE150" i="1" s="1"/>
  <c r="BN150" i="1"/>
  <c r="BO150" i="1" s="1"/>
  <c r="BR150" i="1"/>
  <c r="BS150" i="1" s="1"/>
  <c r="BT150" i="1"/>
  <c r="BU150" i="1" s="1"/>
  <c r="BB150" i="1"/>
  <c r="BC150" i="1" s="1"/>
  <c r="BT156" i="1"/>
  <c r="BB156" i="1"/>
  <c r="BF156" i="1"/>
  <c r="AX156" i="1"/>
  <c r="BD156" i="1"/>
  <c r="AZ156" i="1"/>
  <c r="BR156" i="1"/>
  <c r="BN156" i="1"/>
  <c r="AN265" i="1"/>
  <c r="AI45" i="1"/>
  <c r="BV174" i="1"/>
  <c r="BW222" i="1" s="1"/>
  <c r="AP265" i="1"/>
  <c r="BK265" i="1"/>
  <c r="BO34" i="1"/>
  <c r="AU106" i="1"/>
  <c r="AU107" i="1" s="1"/>
  <c r="BH265" i="1"/>
  <c r="BI265" i="1"/>
  <c r="BU34" i="1"/>
  <c r="BD34" i="1"/>
  <c r="BK18" i="1"/>
  <c r="BK7" i="1" s="1"/>
  <c r="AT244" i="1"/>
  <c r="AP207" i="1"/>
  <c r="AP266" i="1"/>
  <c r="AY18" i="1"/>
  <c r="AY7" i="1" s="1"/>
  <c r="AM56" i="1"/>
  <c r="BO265" i="1"/>
  <c r="BR34" i="1"/>
  <c r="BW34" i="1"/>
  <c r="BF265" i="1"/>
  <c r="AX34" i="1"/>
  <c r="BI130" i="1"/>
  <c r="BH133" i="1"/>
  <c r="BH100" i="1" s="1"/>
  <c r="BH104" i="1" s="1"/>
  <c r="AZ244" i="1"/>
  <c r="BC106" i="1"/>
  <c r="BC107" i="1" s="1"/>
  <c r="AY265" i="1"/>
  <c r="AW18" i="1"/>
  <c r="AW24" i="1" s="1"/>
  <c r="BN266" i="1"/>
  <c r="AP18" i="1"/>
  <c r="BJ106" i="1"/>
  <c r="BJ107" i="1" s="1"/>
  <c r="BJ110" i="1" s="1"/>
  <c r="AI196" i="1"/>
  <c r="AI198" i="1"/>
  <c r="AI195" i="1"/>
  <c r="AN207" i="1"/>
  <c r="AN41" i="1"/>
  <c r="C188" i="1"/>
  <c r="C62" i="1"/>
  <c r="AW34" i="1"/>
  <c r="AU34" i="1"/>
  <c r="BQ265" i="1"/>
  <c r="BN106" i="1"/>
  <c r="BN107" i="1" s="1"/>
  <c r="BM18" i="1"/>
  <c r="BM7" i="1" s="1"/>
  <c r="AO266" i="1"/>
  <c r="BA18" i="1"/>
  <c r="BW266" i="1"/>
  <c r="BR106" i="1"/>
  <c r="BR107" i="1" s="1"/>
  <c r="BP265" i="1"/>
  <c r="BQ18" i="1"/>
  <c r="BQ7" i="1" s="1"/>
  <c r="BQ244" i="1"/>
  <c r="BS106" i="1"/>
  <c r="BS107" i="1" s="1"/>
  <c r="BB207" i="1"/>
  <c r="BB266" i="1"/>
  <c r="BN265" i="1"/>
  <c r="BO106" i="1"/>
  <c r="BO107" i="1" s="1"/>
  <c r="BO110" i="1" s="1"/>
  <c r="BN244" i="1"/>
  <c r="BM244" i="1"/>
  <c r="BP106" i="1"/>
  <c r="BP107" i="1" s="1"/>
  <c r="BK34" i="1"/>
  <c r="BU265" i="1"/>
  <c r="BU18" i="1"/>
  <c r="BU7" i="1" s="1"/>
  <c r="M188" i="1"/>
  <c r="M100" i="1"/>
  <c r="M62" i="1"/>
  <c r="M220" i="1"/>
  <c r="F151" i="1"/>
  <c r="F41" i="1"/>
  <c r="N188" i="1"/>
  <c r="N62" i="1"/>
  <c r="E188" i="1"/>
  <c r="E100" i="1"/>
  <c r="R151" i="1"/>
  <c r="R41" i="1"/>
  <c r="BD18" i="1"/>
  <c r="BD7" i="1" s="1"/>
  <c r="BD266" i="1"/>
  <c r="BD244" i="1"/>
  <c r="BG106" i="1"/>
  <c r="BG107" i="1" s="1"/>
  <c r="AI216" i="1"/>
  <c r="AI214" i="1" s="1"/>
  <c r="AI34" i="1"/>
  <c r="E62" i="1"/>
  <c r="BV266" i="1"/>
  <c r="BJ35" i="1"/>
  <c r="BV18" i="1"/>
  <c r="BO18" i="1"/>
  <c r="BO7" i="1" s="1"/>
  <c r="BK45" i="1"/>
  <c r="AR266" i="1"/>
  <c r="BU106" i="1"/>
  <c r="BU107" i="1" s="1"/>
  <c r="BW141" i="1"/>
  <c r="BW106" i="1"/>
  <c r="BW107" i="1" s="1"/>
  <c r="AZ106" i="1"/>
  <c r="AZ107" i="1" s="1"/>
  <c r="AZ110" i="1" s="1"/>
  <c r="BG34" i="1"/>
  <c r="BA265" i="1"/>
  <c r="AY266" i="1"/>
  <c r="AT18" i="1"/>
  <c r="AT24" i="1" s="1"/>
  <c r="AZ34" i="1"/>
  <c r="AS34" i="1"/>
  <c r="BO244" i="1"/>
  <c r="AS265" i="1"/>
  <c r="BA34" i="1"/>
  <c r="AZ265" i="1"/>
  <c r="BE34" i="1"/>
  <c r="BV161" i="1"/>
  <c r="BV195" i="1" s="1"/>
  <c r="BR18" i="1"/>
  <c r="BR7" i="1" s="1"/>
  <c r="AR34" i="1"/>
  <c r="BD265" i="1"/>
  <c r="BI34" i="1"/>
  <c r="BM45" i="1"/>
  <c r="BQ34" i="1"/>
  <c r="AR18" i="1"/>
  <c r="AS18" i="1"/>
  <c r="AT34" i="1"/>
  <c r="K94" i="1"/>
  <c r="BP34" i="1"/>
  <c r="BT266" i="1"/>
  <c r="AP34" i="1"/>
  <c r="R78" i="1"/>
  <c r="AI18" i="1"/>
  <c r="BV192" i="1"/>
  <c r="BW192" i="1" s="1"/>
  <c r="BX106" i="1"/>
  <c r="BX107" i="1" s="1"/>
  <c r="BG266" i="1"/>
  <c r="BV106" i="1"/>
  <c r="BV107" i="1" s="1"/>
  <c r="AL106" i="1"/>
  <c r="AL107" i="1" s="1"/>
  <c r="AL112" i="1" s="1"/>
  <c r="AT265" i="1"/>
  <c r="AT106" i="1"/>
  <c r="AT107" i="1" s="1"/>
  <c r="BT106" i="1"/>
  <c r="BT107" i="1" s="1"/>
  <c r="AW266" i="1"/>
  <c r="BS265" i="1"/>
  <c r="AX265" i="1"/>
  <c r="AO265" i="1"/>
  <c r="K78" i="1"/>
  <c r="AN34" i="1"/>
  <c r="BT34" i="1"/>
  <c r="AQ34" i="1"/>
  <c r="AV34" i="1"/>
  <c r="BH34" i="1"/>
  <c r="BI18" i="1"/>
  <c r="BI7" i="1" s="1"/>
  <c r="BP18" i="1"/>
  <c r="BP7" i="1" s="1"/>
  <c r="AY34" i="1"/>
  <c r="BF34" i="1"/>
  <c r="BN34" i="1"/>
  <c r="AU18" i="1"/>
  <c r="K95" i="1"/>
  <c r="AY244" i="1"/>
  <c r="BV265" i="1"/>
  <c r="AI193" i="1"/>
  <c r="BV141" i="1"/>
  <c r="BS18" i="1"/>
  <c r="BS7" i="1" s="1"/>
  <c r="BQ106" i="1"/>
  <c r="BQ107" i="1" s="1"/>
  <c r="BQ110" i="1" s="1"/>
  <c r="BV196" i="1"/>
  <c r="BE18" i="1"/>
  <c r="BE7" i="1" s="1"/>
  <c r="BY106" i="1"/>
  <c r="BY107" i="1" s="1"/>
  <c r="BE265" i="1"/>
  <c r="BL106" i="1"/>
  <c r="BL107" i="1" s="1"/>
  <c r="AT266" i="1"/>
  <c r="BT265" i="1"/>
  <c r="BM266" i="1"/>
  <c r="BM216" i="1"/>
  <c r="BM214" i="1" s="1"/>
  <c r="BM41" i="1"/>
  <c r="BM207" i="1"/>
  <c r="BP266" i="1"/>
  <c r="BP207" i="1"/>
  <c r="BR266" i="1"/>
  <c r="BR207" i="1"/>
  <c r="BC18" i="1"/>
  <c r="BC7" i="1" s="1"/>
  <c r="AU266" i="1"/>
  <c r="BV193" i="1"/>
  <c r="BW193" i="1" s="1"/>
  <c r="BH106" i="1"/>
  <c r="BH107" i="1" s="1"/>
  <c r="BH111" i="1" s="1"/>
  <c r="BF266" i="1"/>
  <c r="BD106" i="1"/>
  <c r="BD107" i="1" s="1"/>
  <c r="AI41" i="1"/>
  <c r="BH18" i="1"/>
  <c r="BH7" i="1" s="1"/>
  <c r="BH193" i="1"/>
  <c r="BI193" i="1" s="1"/>
  <c r="AX106" i="1"/>
  <c r="AX107" i="1" s="1"/>
  <c r="BQ266" i="1"/>
  <c r="BK106" i="1"/>
  <c r="BK107" i="1" s="1"/>
  <c r="BK112" i="1" s="1"/>
  <c r="AX266" i="1"/>
  <c r="AR106" i="1"/>
  <c r="AR107" i="1" s="1"/>
  <c r="AQ265" i="1"/>
  <c r="AS106" i="1"/>
  <c r="AS107" i="1" s="1"/>
  <c r="AQ18" i="1"/>
  <c r="BT207" i="1"/>
  <c r="BH192" i="1"/>
  <c r="BI192" i="1" s="1"/>
  <c r="AR265" i="1"/>
  <c r="BU207" i="1"/>
  <c r="BU266" i="1"/>
  <c r="BW130" i="1"/>
  <c r="BV133" i="1"/>
  <c r="BK266" i="1"/>
  <c r="BK207" i="1"/>
  <c r="BK41" i="1"/>
  <c r="BK216" i="1"/>
  <c r="BK214" i="1" s="1"/>
  <c r="BK244" i="1"/>
  <c r="BM106" i="1"/>
  <c r="BM107" i="1" s="1"/>
  <c r="BM265" i="1"/>
  <c r="BS34" i="1"/>
  <c r="AN18" i="1"/>
  <c r="AN244" i="1"/>
  <c r="AN106" i="1"/>
  <c r="AN107" i="1" s="1"/>
  <c r="AO106" i="1"/>
  <c r="AO107" i="1" s="1"/>
  <c r="AU244" i="1"/>
  <c r="BO266" i="1"/>
  <c r="BF106" i="1"/>
  <c r="BF107" i="1" s="1"/>
  <c r="BF18" i="1"/>
  <c r="BF7" i="1" s="1"/>
  <c r="AV18" i="1"/>
  <c r="AY106" i="1"/>
  <c r="AY107" i="1" s="1"/>
  <c r="AW106" i="1"/>
  <c r="AW107" i="1" s="1"/>
  <c r="AV265" i="1"/>
  <c r="AP106" i="1"/>
  <c r="AP107" i="1" s="1"/>
  <c r="AV106" i="1"/>
  <c r="AV107" i="1" s="1"/>
  <c r="BW18" i="1"/>
  <c r="BW7" i="1" s="1"/>
  <c r="BW244" i="1"/>
  <c r="BZ106" i="1"/>
  <c r="BZ107" i="1" s="1"/>
  <c r="BV147" i="1"/>
  <c r="AO34" i="1"/>
  <c r="BR265" i="1"/>
  <c r="BN41" i="1"/>
  <c r="BN207" i="1"/>
  <c r="AQ266" i="1"/>
  <c r="AQ207" i="1"/>
  <c r="BN18" i="1"/>
  <c r="BN7" i="1" s="1"/>
  <c r="BW265" i="1"/>
  <c r="BI266" i="1"/>
  <c r="BI207" i="1"/>
  <c r="BB244" i="1"/>
  <c r="BB18" i="1"/>
  <c r="BB7" i="1" s="1"/>
  <c r="BM34" i="1"/>
  <c r="BI106" i="1"/>
  <c r="BI107" i="1" s="1"/>
  <c r="BI111" i="1" s="1"/>
  <c r="BF244" i="1"/>
  <c r="BE106" i="1"/>
  <c r="BE107" i="1" s="1"/>
  <c r="BE112" i="1" s="1"/>
  <c r="AN266" i="1"/>
  <c r="BC265" i="1"/>
  <c r="AV266" i="1"/>
  <c r="BC266" i="1"/>
  <c r="BE266" i="1"/>
  <c r="AQ106" i="1"/>
  <c r="AQ107" i="1" s="1"/>
  <c r="AQ112" i="1" s="1"/>
  <c r="BH266" i="1"/>
  <c r="BV169" i="1"/>
  <c r="BV198" i="1" s="1"/>
  <c r="BB265" i="1"/>
  <c r="BV34" i="1"/>
  <c r="BJ266" i="1"/>
  <c r="BJ207" i="1"/>
  <c r="BG265" i="1"/>
  <c r="BG244" i="1"/>
  <c r="BC34" i="1"/>
  <c r="AX244" i="1"/>
  <c r="AX18" i="1"/>
  <c r="AX7" i="1" s="1"/>
  <c r="AZ266" i="1"/>
  <c r="AZ207" i="1"/>
  <c r="BT244" i="1"/>
  <c r="BT18" i="1"/>
  <c r="BT7" i="1" s="1"/>
  <c r="BH196" i="1"/>
  <c r="BI196" i="1" s="1"/>
  <c r="BG18" i="1"/>
  <c r="BG7" i="1" s="1"/>
  <c r="AU265" i="1"/>
  <c r="BA266" i="1"/>
  <c r="BA207" i="1"/>
  <c r="AO244" i="1"/>
  <c r="AO18" i="1"/>
  <c r="AW265" i="1"/>
  <c r="AW244" i="1"/>
  <c r="AI192" i="1"/>
  <c r="AI244" i="1"/>
  <c r="BB34" i="1"/>
  <c r="BA106" i="1"/>
  <c r="BA107" i="1" s="1"/>
  <c r="BB106" i="1"/>
  <c r="BB107" i="1" s="1"/>
  <c r="AS266" i="1"/>
  <c r="AS207" i="1"/>
  <c r="BS266" i="1"/>
  <c r="E93" i="1"/>
  <c r="BI215" i="1"/>
  <c r="BW215" i="1"/>
  <c r="P97" i="1"/>
  <c r="Q95" i="1"/>
  <c r="Q93" i="1"/>
  <c r="Q78" i="1"/>
  <c r="H78" i="1"/>
  <c r="H95" i="1"/>
  <c r="F78" i="1"/>
  <c r="H93" i="1"/>
  <c r="H94" i="1"/>
  <c r="D97" i="1"/>
  <c r="M112" i="1"/>
  <c r="M111" i="1"/>
  <c r="M110" i="1"/>
  <c r="E94" i="1"/>
  <c r="U97" i="1"/>
  <c r="V94" i="1"/>
  <c r="V93" i="1"/>
  <c r="V95" i="1"/>
  <c r="V78" i="1"/>
  <c r="O76" i="1"/>
  <c r="O77" i="1"/>
  <c r="CQ147" i="1"/>
  <c r="DB85" i="1"/>
  <c r="CY73" i="1"/>
  <c r="CZ71" i="1"/>
  <c r="S94" i="1"/>
  <c r="S78" i="1"/>
  <c r="T78" i="1"/>
  <c r="M78" i="1"/>
  <c r="I94" i="1"/>
  <c r="I78" i="1"/>
  <c r="I95" i="1"/>
  <c r="I93" i="1"/>
  <c r="S93" i="1"/>
  <c r="H97" i="1"/>
  <c r="R97" i="1"/>
  <c r="S95" i="1"/>
  <c r="L93" i="1"/>
  <c r="L94" i="1"/>
  <c r="L95" i="1"/>
  <c r="K97" i="1"/>
  <c r="L102" i="1" l="1"/>
  <c r="L104" i="1"/>
  <c r="R188" i="1"/>
  <c r="N100" i="1"/>
  <c r="N220" i="1"/>
  <c r="R100" i="1"/>
  <c r="R102" i="1" s="1"/>
  <c r="AR147" i="1"/>
  <c r="AR151" i="1" s="1"/>
  <c r="C262" i="1"/>
  <c r="C264" i="1" s="1"/>
  <c r="T151" i="1"/>
  <c r="B115" i="1"/>
  <c r="B116" i="1"/>
  <c r="B74" i="1"/>
  <c r="D45" i="1"/>
  <c r="D142" i="1"/>
  <c r="D63" i="1" s="1"/>
  <c r="P222" i="1"/>
  <c r="O261" i="1"/>
  <c r="O62" i="1"/>
  <c r="O220" i="1"/>
  <c r="O100" i="1"/>
  <c r="O188" i="1"/>
  <c r="E220" i="1"/>
  <c r="E218" i="1" s="1"/>
  <c r="D62" i="1"/>
  <c r="D188" i="1"/>
  <c r="D220" i="1"/>
  <c r="U209" i="1"/>
  <c r="R181" i="1"/>
  <c r="R117" i="1" s="1"/>
  <c r="R142" i="1"/>
  <c r="R63" i="1" s="1"/>
  <c r="BJ9" i="1"/>
  <c r="BJ8" i="1" s="1"/>
  <c r="BJ36" i="1"/>
  <c r="BJ25" i="1"/>
  <c r="H100" i="1"/>
  <c r="H188" i="1"/>
  <c r="AZ24" i="1"/>
  <c r="AZ7" i="1"/>
  <c r="BA24" i="1"/>
  <c r="BA7" i="1"/>
  <c r="BV24" i="1"/>
  <c r="BV7" i="1"/>
  <c r="H151" i="1"/>
  <c r="H41" i="1"/>
  <c r="P209" i="1"/>
  <c r="P210" i="1"/>
  <c r="D210" i="1"/>
  <c r="E209" i="1"/>
  <c r="C142" i="1"/>
  <c r="C63" i="1" s="1"/>
  <c r="C45" i="1"/>
  <c r="D219" i="1"/>
  <c r="D262" i="1"/>
  <c r="D264" i="1" s="1"/>
  <c r="C170" i="1"/>
  <c r="U220" i="1"/>
  <c r="U62" i="1"/>
  <c r="U100" i="1"/>
  <c r="U103" i="1" s="1"/>
  <c r="J209" i="1"/>
  <c r="K209" i="1"/>
  <c r="J195" i="1"/>
  <c r="J194" i="1" s="1"/>
  <c r="S210" i="1"/>
  <c r="R220" i="1"/>
  <c r="N151" i="1"/>
  <c r="N41" i="1"/>
  <c r="L151" i="1"/>
  <c r="L41" i="1"/>
  <c r="N222" i="1"/>
  <c r="M261" i="1"/>
  <c r="U222" i="1"/>
  <c r="T261" i="1"/>
  <c r="C151" i="1"/>
  <c r="C41" i="1"/>
  <c r="H220" i="1"/>
  <c r="H62" i="1"/>
  <c r="V181" i="1"/>
  <c r="V117" i="1" s="1"/>
  <c r="V45" i="1"/>
  <c r="S195" i="1"/>
  <c r="S170" i="1"/>
  <c r="T100" i="1"/>
  <c r="T220" i="1"/>
  <c r="T188" i="1"/>
  <c r="T62" i="1"/>
  <c r="I188" i="1"/>
  <c r="I62" i="1"/>
  <c r="I100" i="1"/>
  <c r="I261" i="1"/>
  <c r="I220" i="1"/>
  <c r="J151" i="1"/>
  <c r="J41" i="1"/>
  <c r="U41" i="1"/>
  <c r="U151" i="1"/>
  <c r="S41" i="1"/>
  <c r="S151" i="1"/>
  <c r="S259" i="1" s="1"/>
  <c r="B41" i="1"/>
  <c r="B151" i="1"/>
  <c r="I222" i="1"/>
  <c r="H261" i="1"/>
  <c r="C74" i="1"/>
  <c r="C115" i="1"/>
  <c r="C116" i="1"/>
  <c r="S262" i="1"/>
  <c r="S264" i="1" s="1"/>
  <c r="S219" i="1"/>
  <c r="S45" i="1"/>
  <c r="S181" i="1"/>
  <c r="S117" i="1" s="1"/>
  <c r="S198" i="1"/>
  <c r="S197" i="1" s="1"/>
  <c r="T210" i="1"/>
  <c r="E222" i="1"/>
  <c r="D181" i="1"/>
  <c r="D117" i="1" s="1"/>
  <c r="D118" i="1" s="1"/>
  <c r="D121" i="1" s="1"/>
  <c r="D261" i="1"/>
  <c r="G222" i="1"/>
  <c r="F261" i="1"/>
  <c r="F181" i="1"/>
  <c r="F117" i="1" s="1"/>
  <c r="F188" i="1"/>
  <c r="F100" i="1"/>
  <c r="F62" i="1"/>
  <c r="F220" i="1"/>
  <c r="F142" i="1"/>
  <c r="F63" i="1" s="1"/>
  <c r="T181" i="1"/>
  <c r="T117" i="1" s="1"/>
  <c r="T219" i="1"/>
  <c r="O219" i="1"/>
  <c r="O142" i="1"/>
  <c r="O63" i="1" s="1"/>
  <c r="F195" i="1"/>
  <c r="G209" i="1"/>
  <c r="F170" i="1"/>
  <c r="F178" i="1" s="1"/>
  <c r="J261" i="1"/>
  <c r="K222" i="1"/>
  <c r="G62" i="1"/>
  <c r="G220" i="1"/>
  <c r="G100" i="1"/>
  <c r="G188" i="1"/>
  <c r="J262" i="1"/>
  <c r="J264" i="1" s="1"/>
  <c r="J181" i="1"/>
  <c r="J117" i="1" s="1"/>
  <c r="J45" i="1"/>
  <c r="J142" i="1"/>
  <c r="J63" i="1" s="1"/>
  <c r="H181" i="1"/>
  <c r="H117" i="1" s="1"/>
  <c r="H219" i="1"/>
  <c r="H45" i="1"/>
  <c r="H142" i="1"/>
  <c r="H63" i="1" s="1"/>
  <c r="R222" i="1"/>
  <c r="Q261" i="1"/>
  <c r="E195" i="1"/>
  <c r="E194" i="1" s="1"/>
  <c r="F209" i="1"/>
  <c r="P151" i="1"/>
  <c r="P41" i="1"/>
  <c r="V262" i="1"/>
  <c r="V264" i="1" s="1"/>
  <c r="U262" i="1"/>
  <c r="U264" i="1" s="1"/>
  <c r="T198" i="1"/>
  <c r="T197" i="1" s="1"/>
  <c r="U210" i="1"/>
  <c r="Q181" i="1"/>
  <c r="Q117" i="1" s="1"/>
  <c r="H210" i="1"/>
  <c r="K220" i="1"/>
  <c r="G151" i="1"/>
  <c r="G41" i="1"/>
  <c r="I41" i="1"/>
  <c r="I151" i="1"/>
  <c r="V209" i="1"/>
  <c r="V195" i="1"/>
  <c r="V194" i="1" s="1"/>
  <c r="T209" i="1"/>
  <c r="E142" i="1"/>
  <c r="E63" i="1" s="1"/>
  <c r="F262" i="1"/>
  <c r="F264" i="1" s="1"/>
  <c r="H262" i="1"/>
  <c r="H264" i="1" s="1"/>
  <c r="G219" i="1"/>
  <c r="G262" i="1"/>
  <c r="G264" i="1" s="1"/>
  <c r="BD174" i="1"/>
  <c r="BE222" i="1" s="1"/>
  <c r="Q209" i="1"/>
  <c r="E41" i="1"/>
  <c r="E151" i="1"/>
  <c r="J188" i="1"/>
  <c r="J100" i="1"/>
  <c r="J62" i="1"/>
  <c r="J220" i="1"/>
  <c r="D41" i="1"/>
  <c r="D151" i="1"/>
  <c r="L198" i="1"/>
  <c r="L197" i="1" s="1"/>
  <c r="L170" i="1"/>
  <c r="C195" i="1"/>
  <c r="C194" i="1" s="1"/>
  <c r="D209" i="1"/>
  <c r="L222" i="1"/>
  <c r="K261" i="1"/>
  <c r="B188" i="1"/>
  <c r="B62" i="1"/>
  <c r="B261" i="1"/>
  <c r="T45" i="1"/>
  <c r="T142" i="1"/>
  <c r="T63" i="1" s="1"/>
  <c r="T262" i="1"/>
  <c r="T264" i="1" s="1"/>
  <c r="O45" i="1"/>
  <c r="O181" i="1"/>
  <c r="O117" i="1" s="1"/>
  <c r="B45" i="1"/>
  <c r="C219" i="1"/>
  <c r="C218" i="1" s="1"/>
  <c r="B181" i="1"/>
  <c r="B117" i="1" s="1"/>
  <c r="B142" i="1"/>
  <c r="B63" i="1" s="1"/>
  <c r="K262" i="1"/>
  <c r="K264" i="1" s="1"/>
  <c r="K219" i="1"/>
  <c r="K142" i="1"/>
  <c r="K63" i="1" s="1"/>
  <c r="K45" i="1"/>
  <c r="K181" i="1"/>
  <c r="K117" i="1" s="1"/>
  <c r="K62" i="1"/>
  <c r="L220" i="1"/>
  <c r="K188" i="1"/>
  <c r="K100" i="1"/>
  <c r="C181" i="1"/>
  <c r="C117" i="1" s="1"/>
  <c r="D222" i="1"/>
  <c r="C261" i="1"/>
  <c r="W262" i="1"/>
  <c r="W264" i="1" s="1"/>
  <c r="W219" i="1"/>
  <c r="W45" i="1"/>
  <c r="X262" i="1"/>
  <c r="X264" i="1" s="1"/>
  <c r="X219" i="1"/>
  <c r="U261" i="1"/>
  <c r="U188" i="1"/>
  <c r="M151" i="1"/>
  <c r="M41" i="1"/>
  <c r="S142" i="1"/>
  <c r="S63" i="1" s="1"/>
  <c r="S220" i="1"/>
  <c r="S62" i="1"/>
  <c r="S100" i="1"/>
  <c r="Q195" i="1"/>
  <c r="Q194" i="1" s="1"/>
  <c r="R209" i="1"/>
  <c r="H195" i="1"/>
  <c r="I209" i="1"/>
  <c r="J170" i="1"/>
  <c r="D74" i="1"/>
  <c r="D116" i="1"/>
  <c r="K195" i="1"/>
  <c r="K194" i="1" s="1"/>
  <c r="K170" i="1"/>
  <c r="D195" i="1"/>
  <c r="D194" i="1" s="1"/>
  <c r="D170" i="1"/>
  <c r="I45" i="1"/>
  <c r="I219" i="1"/>
  <c r="J219" i="1"/>
  <c r="Q100" i="1"/>
  <c r="Q62" i="1"/>
  <c r="Q188" i="1"/>
  <c r="K41" i="1"/>
  <c r="K151" i="1"/>
  <c r="M219" i="1"/>
  <c r="M218" i="1" s="1"/>
  <c r="L142" i="1"/>
  <c r="L63" i="1" s="1"/>
  <c r="D198" i="1"/>
  <c r="E210" i="1"/>
  <c r="W151" i="1"/>
  <c r="X216" i="1" s="1"/>
  <c r="X214" i="1" s="1"/>
  <c r="W41" i="1"/>
  <c r="S222" i="1"/>
  <c r="R261" i="1"/>
  <c r="V220" i="1"/>
  <c r="V261" i="1"/>
  <c r="N209" i="1"/>
  <c r="O209" i="1"/>
  <c r="K210" i="1"/>
  <c r="J198" i="1"/>
  <c r="AN174" i="1"/>
  <c r="AO222" i="1" s="1"/>
  <c r="Q220" i="1"/>
  <c r="L195" i="1"/>
  <c r="L209" i="1"/>
  <c r="M209" i="1"/>
  <c r="P195" i="1"/>
  <c r="P170" i="1"/>
  <c r="R195" i="1"/>
  <c r="R194" i="1" s="1"/>
  <c r="S209" i="1"/>
  <c r="C198" i="1"/>
  <c r="C210" i="1"/>
  <c r="O195" i="1"/>
  <c r="O194" i="1" s="1"/>
  <c r="O170" i="1"/>
  <c r="I262" i="1"/>
  <c r="I264" i="1" s="1"/>
  <c r="I142" i="1"/>
  <c r="I63" i="1" s="1"/>
  <c r="Q41" i="1"/>
  <c r="Q151" i="1"/>
  <c r="R216" i="1" s="1"/>
  <c r="R214" i="1" s="1"/>
  <c r="P100" i="1"/>
  <c r="P188" i="1"/>
  <c r="G142" i="1"/>
  <c r="G63" i="1" s="1"/>
  <c r="G45" i="1"/>
  <c r="G181" i="1"/>
  <c r="G117" i="1" s="1"/>
  <c r="U219" i="1"/>
  <c r="U181" i="1"/>
  <c r="U117" i="1" s="1"/>
  <c r="U45" i="1"/>
  <c r="U142" i="1"/>
  <c r="U63" i="1" s="1"/>
  <c r="V219" i="1"/>
  <c r="S261" i="1"/>
  <c r="S188" i="1"/>
  <c r="Q262" i="1"/>
  <c r="Q264" i="1" s="1"/>
  <c r="R262" i="1"/>
  <c r="R264" i="1" s="1"/>
  <c r="Q219" i="1"/>
  <c r="H209" i="1"/>
  <c r="H170" i="1"/>
  <c r="AV174" i="1"/>
  <c r="AW222" i="1" s="1"/>
  <c r="BN174" i="1"/>
  <c r="BO222" i="1" s="1"/>
  <c r="I170" i="1"/>
  <c r="I210" i="1"/>
  <c r="I198" i="1"/>
  <c r="J210" i="1"/>
  <c r="Q198" i="1"/>
  <c r="Q170" i="1"/>
  <c r="Q210" i="1"/>
  <c r="R210" i="1"/>
  <c r="BR147" i="1"/>
  <c r="AX174" i="1"/>
  <c r="AY222" i="1" s="1"/>
  <c r="BS141" i="1"/>
  <c r="P142" i="1"/>
  <c r="P63" i="1" s="1"/>
  <c r="P219" i="1"/>
  <c r="P181" i="1"/>
  <c r="P117" i="1" s="1"/>
  <c r="P262" i="1"/>
  <c r="P264" i="1" s="1"/>
  <c r="P45" i="1"/>
  <c r="H222" i="1"/>
  <c r="G261" i="1"/>
  <c r="T195" i="1"/>
  <c r="T170" i="1"/>
  <c r="F219" i="1"/>
  <c r="E181" i="1"/>
  <c r="E117" i="1" s="1"/>
  <c r="E45" i="1"/>
  <c r="O262" i="1"/>
  <c r="O264" i="1" s="1"/>
  <c r="N142" i="1"/>
  <c r="N63" i="1" s="1"/>
  <c r="N262" i="1"/>
  <c r="N264" i="1" s="1"/>
  <c r="N45" i="1"/>
  <c r="N219" i="1"/>
  <c r="N181" i="1"/>
  <c r="N117" i="1" s="1"/>
  <c r="L181" i="1"/>
  <c r="L117" i="1" s="1"/>
  <c r="L45" i="1"/>
  <c r="L262" i="1"/>
  <c r="L264" i="1" s="1"/>
  <c r="L219" i="1"/>
  <c r="P220" i="1"/>
  <c r="P62" i="1"/>
  <c r="P261" i="1"/>
  <c r="B170" i="1"/>
  <c r="B195" i="1"/>
  <c r="C209" i="1"/>
  <c r="O151" i="1"/>
  <c r="O41" i="1"/>
  <c r="M222" i="1"/>
  <c r="L261" i="1"/>
  <c r="V100" i="1"/>
  <c r="V62" i="1"/>
  <c r="V142" i="1"/>
  <c r="V63" i="1" s="1"/>
  <c r="V188" i="1"/>
  <c r="Q142" i="1"/>
  <c r="Q63" i="1" s="1"/>
  <c r="R219" i="1"/>
  <c r="Q45" i="1"/>
  <c r="K198" i="1"/>
  <c r="L210" i="1"/>
  <c r="N195" i="1"/>
  <c r="N170" i="1"/>
  <c r="E198" i="1"/>
  <c r="F210" i="1"/>
  <c r="E170" i="1"/>
  <c r="G198" i="1"/>
  <c r="G170" i="1"/>
  <c r="G210" i="1"/>
  <c r="O198" i="1"/>
  <c r="O210" i="1"/>
  <c r="U198" i="1"/>
  <c r="U170" i="1"/>
  <c r="M262" i="1"/>
  <c r="M264" i="1" s="1"/>
  <c r="M45" i="1"/>
  <c r="M142" i="1"/>
  <c r="M63" i="1" s="1"/>
  <c r="M181" i="1"/>
  <c r="M117" i="1" s="1"/>
  <c r="V151" i="1"/>
  <c r="V41" i="1"/>
  <c r="V198" i="1"/>
  <c r="V170" i="1"/>
  <c r="V210" i="1"/>
  <c r="AZ147" i="1"/>
  <c r="BP147" i="1"/>
  <c r="BT174" i="1"/>
  <c r="BU222" i="1" s="1"/>
  <c r="BP174" i="1"/>
  <c r="BQ222" i="1" s="1"/>
  <c r="BB174" i="1"/>
  <c r="AZ174" i="1"/>
  <c r="BA222" i="1" s="1"/>
  <c r="BE141" i="1"/>
  <c r="AR174" i="1"/>
  <c r="AS222" i="1" s="1"/>
  <c r="AQ153" i="1"/>
  <c r="AW153" i="1"/>
  <c r="AX215" i="1" s="1"/>
  <c r="AQ155" i="1"/>
  <c r="AP161" i="1"/>
  <c r="AP195" i="1" s="1"/>
  <c r="AP194" i="1" s="1"/>
  <c r="AS137" i="1"/>
  <c r="AS141" i="1" s="1"/>
  <c r="AR141" i="1"/>
  <c r="AU130" i="1"/>
  <c r="AT133" i="1"/>
  <c r="AT100" i="1" s="1"/>
  <c r="AS130" i="1"/>
  <c r="AR133" i="1"/>
  <c r="AX133" i="1"/>
  <c r="AY130" i="1"/>
  <c r="AY137" i="1"/>
  <c r="AY141" i="1" s="1"/>
  <c r="AX141" i="1"/>
  <c r="BO153" i="1"/>
  <c r="BN215" i="1"/>
  <c r="BT147" i="1"/>
  <c r="AT147" i="1"/>
  <c r="BF174" i="1"/>
  <c r="BG222" i="1" s="1"/>
  <c r="BF147" i="1"/>
  <c r="AV147" i="1"/>
  <c r="BD147" i="1"/>
  <c r="AP147" i="1"/>
  <c r="M210" i="1"/>
  <c r="N210" i="1"/>
  <c r="M170" i="1"/>
  <c r="M198" i="1"/>
  <c r="R198" i="1"/>
  <c r="R170" i="1"/>
  <c r="R178" i="1" s="1"/>
  <c r="AU155" i="1"/>
  <c r="AT161" i="1"/>
  <c r="BC130" i="1"/>
  <c r="BB133" i="1"/>
  <c r="BB100" i="1" s="1"/>
  <c r="AO137" i="1"/>
  <c r="AO141" i="1" s="1"/>
  <c r="AN141" i="1"/>
  <c r="AR193" i="1"/>
  <c r="AS193" i="1" s="1"/>
  <c r="AR161" i="1"/>
  <c r="AR195" i="1" s="1"/>
  <c r="AO130" i="1"/>
  <c r="AN133" i="1"/>
  <c r="BC137" i="1"/>
  <c r="BC141" i="1" s="1"/>
  <c r="BB141" i="1"/>
  <c r="BU153" i="1"/>
  <c r="BV215" i="1" s="1"/>
  <c r="BE130" i="1"/>
  <c r="BD133" i="1"/>
  <c r="AU163" i="1"/>
  <c r="AT169" i="1"/>
  <c r="AT198" i="1" s="1"/>
  <c r="AT197" i="1" s="1"/>
  <c r="AY162" i="1"/>
  <c r="AX169" i="1"/>
  <c r="AX198" i="1" s="1"/>
  <c r="AX197" i="1" s="1"/>
  <c r="BO137" i="1"/>
  <c r="BO141" i="1" s="1"/>
  <c r="BN141" i="1"/>
  <c r="AW137" i="1"/>
  <c r="AW141" i="1" s="1"/>
  <c r="AV141" i="1"/>
  <c r="AO155" i="1"/>
  <c r="AN161" i="1"/>
  <c r="BS153" i="1"/>
  <c r="BR215" i="1"/>
  <c r="BU137" i="1"/>
  <c r="BU141" i="1" s="1"/>
  <c r="BT141" i="1"/>
  <c r="AO153" i="1"/>
  <c r="AN215" i="1"/>
  <c r="BS130" i="1"/>
  <c r="BR133" i="1"/>
  <c r="BR100" i="1" s="1"/>
  <c r="BF215" i="1"/>
  <c r="AQ141" i="1"/>
  <c r="AT215" i="1"/>
  <c r="AI199" i="1"/>
  <c r="AN147" i="1"/>
  <c r="AP174" i="1"/>
  <c r="BT169" i="1"/>
  <c r="BT198" i="1" s="1"/>
  <c r="BT197" i="1" s="1"/>
  <c r="BN147" i="1"/>
  <c r="AX147" i="1"/>
  <c r="BB147" i="1"/>
  <c r="AT174" i="1"/>
  <c r="AU222" i="1" s="1"/>
  <c r="AZ133" i="1"/>
  <c r="BR174" i="1"/>
  <c r="AR169" i="1"/>
  <c r="BN133" i="1"/>
  <c r="AS215" i="1"/>
  <c r="BP169" i="1"/>
  <c r="BP198" i="1" s="1"/>
  <c r="BP197" i="1" s="1"/>
  <c r="BT133" i="1"/>
  <c r="BF141" i="1"/>
  <c r="BE215" i="1"/>
  <c r="BR169" i="1"/>
  <c r="BR198" i="1" s="1"/>
  <c r="BR197" i="1" s="1"/>
  <c r="BP161" i="1"/>
  <c r="BP195" i="1" s="1"/>
  <c r="BP194" i="1" s="1"/>
  <c r="AZ141" i="1"/>
  <c r="BQ215" i="1"/>
  <c r="BB169" i="1"/>
  <c r="BB198" i="1" s="1"/>
  <c r="BB197" i="1" s="1"/>
  <c r="AP141" i="1"/>
  <c r="AP133" i="1"/>
  <c r="AP100" i="1" s="1"/>
  <c r="BD169" i="1"/>
  <c r="BD198" i="1" s="1"/>
  <c r="BD197" i="1" s="1"/>
  <c r="BP133" i="1"/>
  <c r="BP100" i="1" s="1"/>
  <c r="BP102" i="1" s="1"/>
  <c r="BN169" i="1"/>
  <c r="BN198" i="1" s="1"/>
  <c r="AN169" i="1"/>
  <c r="AN198" i="1" s="1"/>
  <c r="BP141" i="1"/>
  <c r="BG141" i="1"/>
  <c r="BH219" i="1" s="1"/>
  <c r="BA141" i="1"/>
  <c r="AT141" i="1"/>
  <c r="AP169" i="1"/>
  <c r="BF169" i="1"/>
  <c r="BF198" i="1" s="1"/>
  <c r="BF197" i="1" s="1"/>
  <c r="AV169" i="1"/>
  <c r="AV198" i="1" s="1"/>
  <c r="AV197" i="1" s="1"/>
  <c r="BF133" i="1"/>
  <c r="BQ141" i="1"/>
  <c r="BR141" i="1"/>
  <c r="BD141" i="1"/>
  <c r="AZ169" i="1"/>
  <c r="AZ198" i="1" s="1"/>
  <c r="AZ197" i="1" s="1"/>
  <c r="AV133" i="1"/>
  <c r="AU141" i="1"/>
  <c r="AI197" i="1"/>
  <c r="AW156" i="1"/>
  <c r="AV161" i="1"/>
  <c r="BH170" i="1"/>
  <c r="BH178" i="1" s="1"/>
  <c r="BH142" i="1"/>
  <c r="AZ35" i="1"/>
  <c r="BK19" i="1"/>
  <c r="BC156" i="1"/>
  <c r="BB161" i="1"/>
  <c r="BG156" i="1"/>
  <c r="BF161" i="1"/>
  <c r="BE156" i="1"/>
  <c r="BD161" i="1"/>
  <c r="BO156" i="1"/>
  <c r="BN161" i="1"/>
  <c r="BU156" i="1"/>
  <c r="BT161" i="1"/>
  <c r="AY156" i="1"/>
  <c r="AX161" i="1"/>
  <c r="BS156" i="1"/>
  <c r="BR161" i="1"/>
  <c r="BA156" i="1"/>
  <c r="AZ161" i="1"/>
  <c r="AU215" i="1"/>
  <c r="AV215" i="1"/>
  <c r="BC110" i="1"/>
  <c r="BC112" i="1"/>
  <c r="BC111" i="1"/>
  <c r="O66" i="1"/>
  <c r="BF111" i="1"/>
  <c r="BF112" i="1"/>
  <c r="BF110" i="1"/>
  <c r="BB215" i="1"/>
  <c r="BA215" i="1"/>
  <c r="BH102" i="1"/>
  <c r="BH103" i="1"/>
  <c r="BK35" i="1"/>
  <c r="AW35" i="1"/>
  <c r="AU111" i="1"/>
  <c r="AU112" i="1"/>
  <c r="AU110" i="1"/>
  <c r="AY215" i="1"/>
  <c r="AZ215" i="1"/>
  <c r="BE35" i="1"/>
  <c r="BK20" i="1"/>
  <c r="BL20" i="1"/>
  <c r="BK24" i="1"/>
  <c r="BK9" i="1" s="1"/>
  <c r="AM60" i="1"/>
  <c r="AM132" i="1"/>
  <c r="AM133" i="1" s="1"/>
  <c r="AM142" i="1" s="1"/>
  <c r="AM206" i="1"/>
  <c r="AM208" i="1" s="1"/>
  <c r="AM74" i="1"/>
  <c r="AM77" i="1" s="1"/>
  <c r="AS20" i="1"/>
  <c r="AT20" i="1"/>
  <c r="AT35" i="1"/>
  <c r="AY35" i="1"/>
  <c r="AP238" i="1"/>
  <c r="AQ20" i="1"/>
  <c r="AZ20" i="1"/>
  <c r="AY24" i="1"/>
  <c r="AY9" i="1" s="1"/>
  <c r="AP24" i="1"/>
  <c r="AP19" i="1"/>
  <c r="BJ111" i="1"/>
  <c r="BJ112" i="1"/>
  <c r="BA35" i="1"/>
  <c r="BQ35" i="1"/>
  <c r="AP35" i="1"/>
  <c r="AQ201" i="1"/>
  <c r="BM35" i="1"/>
  <c r="BN111" i="1"/>
  <c r="BN112" i="1"/>
  <c r="BN110" i="1"/>
  <c r="BQ19" i="1"/>
  <c r="BM238" i="1"/>
  <c r="BM19" i="1"/>
  <c r="BR110" i="1"/>
  <c r="BR112" i="1"/>
  <c r="BR111" i="1"/>
  <c r="BU19" i="1"/>
  <c r="BQ24" i="1"/>
  <c r="BQ20" i="1"/>
  <c r="BC215" i="1"/>
  <c r="BD215" i="1"/>
  <c r="BS110" i="1"/>
  <c r="BS111" i="1"/>
  <c r="BS112" i="1"/>
  <c r="BO111" i="1"/>
  <c r="BO112" i="1"/>
  <c r="BP111" i="1"/>
  <c r="BP112" i="1"/>
  <c r="BP110" i="1"/>
  <c r="BU35" i="1"/>
  <c r="BU24" i="1"/>
  <c r="BU9" i="1" s="1"/>
  <c r="BU112" i="1"/>
  <c r="BU111" i="1"/>
  <c r="BV100" i="1"/>
  <c r="BV261" i="1"/>
  <c r="BM24" i="1"/>
  <c r="BM9" i="1" s="1"/>
  <c r="BM20" i="1"/>
  <c r="BA19" i="1"/>
  <c r="BA20" i="1"/>
  <c r="AI35" i="1"/>
  <c r="BH35" i="1"/>
  <c r="AS147" i="1"/>
  <c r="AS41" i="1"/>
  <c r="AS24" i="1"/>
  <c r="AW19" i="1"/>
  <c r="BJ19" i="1"/>
  <c r="BF24" i="1"/>
  <c r="BV35" i="1"/>
  <c r="BC35" i="1"/>
  <c r="AY201" i="1"/>
  <c r="BT238" i="1"/>
  <c r="AY192" i="1"/>
  <c r="AS196" i="1"/>
  <c r="BY19" i="1"/>
  <c r="BU201" i="1"/>
  <c r="M103" i="1"/>
  <c r="M104" i="1"/>
  <c r="M102" i="1"/>
  <c r="F259" i="1"/>
  <c r="F257" i="1"/>
  <c r="E102" i="1"/>
  <c r="E103" i="1"/>
  <c r="E104" i="1"/>
  <c r="R257" i="1"/>
  <c r="R259" i="1"/>
  <c r="BD19" i="1"/>
  <c r="BE20" i="1"/>
  <c r="BG238" i="1"/>
  <c r="BH19" i="1"/>
  <c r="BD24" i="1"/>
  <c r="BD9" i="1" s="1"/>
  <c r="BD35" i="1"/>
  <c r="BD201" i="1"/>
  <c r="BG110" i="1"/>
  <c r="BG112" i="1"/>
  <c r="BG111" i="1"/>
  <c r="BV20" i="1"/>
  <c r="BV201" i="1"/>
  <c r="BJ262" i="1"/>
  <c r="BJ219" i="1"/>
  <c r="BI262" i="1"/>
  <c r="BO19" i="1"/>
  <c r="BP20" i="1"/>
  <c r="BO35" i="1"/>
  <c r="BO24" i="1"/>
  <c r="BO9" i="1" s="1"/>
  <c r="BR238" i="1"/>
  <c r="V66" i="1"/>
  <c r="BX219" i="1"/>
  <c r="BX262" i="1"/>
  <c r="BW219" i="1"/>
  <c r="BW112" i="1"/>
  <c r="BW110" i="1"/>
  <c r="AT19" i="1"/>
  <c r="AW238" i="1"/>
  <c r="AU20" i="1"/>
  <c r="AT201" i="1"/>
  <c r="I118" i="1"/>
  <c r="I121" i="1" s="1"/>
  <c r="I119" i="1"/>
  <c r="I122" i="1" s="1"/>
  <c r="BR35" i="1"/>
  <c r="BV19" i="1"/>
  <c r="BS20" i="1"/>
  <c r="BU238" i="1"/>
  <c r="AR24" i="1"/>
  <c r="AR36" i="1" s="1"/>
  <c r="AR37" i="1" s="1"/>
  <c r="AU238" i="1"/>
  <c r="AS238" i="1"/>
  <c r="AT25" i="1"/>
  <c r="AT36" i="1"/>
  <c r="N66" i="1"/>
  <c r="AL257" i="1"/>
  <c r="AJ20" i="1"/>
  <c r="AM19" i="1"/>
  <c r="AL238" i="1"/>
  <c r="AI24" i="1"/>
  <c r="BX110" i="1"/>
  <c r="BX111" i="1"/>
  <c r="BX112" i="1"/>
  <c r="BV111" i="1"/>
  <c r="BV110" i="1"/>
  <c r="BV112" i="1"/>
  <c r="AT111" i="1"/>
  <c r="AT112" i="1"/>
  <c r="AT110" i="1"/>
  <c r="BT112" i="1"/>
  <c r="BT111" i="1"/>
  <c r="BT110" i="1"/>
  <c r="BI24" i="1"/>
  <c r="BI9" i="1" s="1"/>
  <c r="BI201" i="1"/>
  <c r="BJ201" i="1"/>
  <c r="BL257" i="1"/>
  <c r="BL238" i="1"/>
  <c r="AW25" i="1"/>
  <c r="AW36" i="1"/>
  <c r="BP24" i="1"/>
  <c r="BP9" i="1" s="1"/>
  <c r="BP201" i="1"/>
  <c r="BS238" i="1"/>
  <c r="BQ201" i="1"/>
  <c r="BC196" i="1"/>
  <c r="AY19" i="1"/>
  <c r="AU24" i="1"/>
  <c r="AU35" i="1"/>
  <c r="BV181" i="1"/>
  <c r="BV142" i="1"/>
  <c r="BS35" i="1"/>
  <c r="BW19" i="1"/>
  <c r="BS24" i="1"/>
  <c r="BS9" i="1" s="1"/>
  <c r="BT20" i="1"/>
  <c r="BS201" i="1"/>
  <c r="BX201" i="1"/>
  <c r="BW196" i="1"/>
  <c r="BV197" i="1"/>
  <c r="BE24" i="1"/>
  <c r="BE201" i="1"/>
  <c r="BI19" i="1"/>
  <c r="BF20" i="1"/>
  <c r="BE19" i="1"/>
  <c r="BY112" i="1"/>
  <c r="BY110" i="1"/>
  <c r="BC24" i="1"/>
  <c r="BC9" i="1" s="1"/>
  <c r="BC19" i="1"/>
  <c r="AW196" i="1"/>
  <c r="BD110" i="1"/>
  <c r="BD111" i="1"/>
  <c r="BD112" i="1"/>
  <c r="BK238" i="1"/>
  <c r="T66" i="1"/>
  <c r="BL201" i="1"/>
  <c r="BH201" i="1"/>
  <c r="BF35" i="1"/>
  <c r="BR24" i="1"/>
  <c r="BG215" i="1"/>
  <c r="AX238" i="1"/>
  <c r="BF238" i="1"/>
  <c r="AV201" i="1"/>
  <c r="BF201" i="1"/>
  <c r="BK111" i="1"/>
  <c r="BK110" i="1"/>
  <c r="BS19" i="1"/>
  <c r="BR20" i="1"/>
  <c r="BT201" i="1"/>
  <c r="AY20" i="1"/>
  <c r="BI238" i="1"/>
  <c r="BG20" i="1"/>
  <c r="BW262" i="1"/>
  <c r="BH181" i="1"/>
  <c r="BP35" i="1"/>
  <c r="AR35" i="1"/>
  <c r="BW111" i="1"/>
  <c r="BI219" i="1"/>
  <c r="AI194" i="1"/>
  <c r="BZ19" i="1"/>
  <c r="BZ201" i="1"/>
  <c r="BY111" i="1"/>
  <c r="AZ112" i="1"/>
  <c r="BK201" i="1"/>
  <c r="BH238" i="1"/>
  <c r="AR238" i="1"/>
  <c r="S66" i="1"/>
  <c r="W66" i="1"/>
  <c r="AV238" i="1"/>
  <c r="AS35" i="1"/>
  <c r="AZ111" i="1"/>
  <c r="AS201" i="1"/>
  <c r="AN35" i="1"/>
  <c r="BU110" i="1"/>
  <c r="Q66" i="1"/>
  <c r="BE111" i="1"/>
  <c r="BV238" i="1"/>
  <c r="AP20" i="1"/>
  <c r="BV194" i="1"/>
  <c r="BA238" i="1"/>
  <c r="AZ201" i="1"/>
  <c r="AU19" i="1"/>
  <c r="AY238" i="1"/>
  <c r="AU201" i="1"/>
  <c r="BV199" i="1"/>
  <c r="BZ202" i="1" s="1"/>
  <c r="BP19" i="1"/>
  <c r="BJ20" i="1"/>
  <c r="BT35" i="1"/>
  <c r="BQ111" i="1"/>
  <c r="BQ112" i="1"/>
  <c r="BI35" i="1"/>
  <c r="AX35" i="1"/>
  <c r="AL110" i="1"/>
  <c r="AL111" i="1"/>
  <c r="BE110" i="1"/>
  <c r="AQ238" i="1"/>
  <c r="BH194" i="1"/>
  <c r="AQ111" i="1"/>
  <c r="BM201" i="1"/>
  <c r="BL112" i="1"/>
  <c r="BL110" i="1"/>
  <c r="BL111" i="1"/>
  <c r="BB20" i="1"/>
  <c r="BB201" i="1"/>
  <c r="R66" i="1"/>
  <c r="BD238" i="1"/>
  <c r="BB24" i="1"/>
  <c r="BB9" i="1" s="1"/>
  <c r="BN19" i="1"/>
  <c r="BN201" i="1"/>
  <c r="BN24" i="1"/>
  <c r="BN9" i="1" s="1"/>
  <c r="BN20" i="1"/>
  <c r="BR19" i="1"/>
  <c r="BR201" i="1"/>
  <c r="BZ111" i="1"/>
  <c r="BZ110" i="1"/>
  <c r="BZ112" i="1"/>
  <c r="AN110" i="1"/>
  <c r="AN111" i="1"/>
  <c r="AN112" i="1"/>
  <c r="BM112" i="1"/>
  <c r="BM110" i="1"/>
  <c r="BM111" i="1"/>
  <c r="AR110" i="1"/>
  <c r="AR111" i="1"/>
  <c r="AR112" i="1"/>
  <c r="U66" i="1"/>
  <c r="BE238" i="1"/>
  <c r="BQ238" i="1"/>
  <c r="BO20" i="1"/>
  <c r="AP201" i="1"/>
  <c r="AQ110" i="1"/>
  <c r="BB35" i="1"/>
  <c r="BX19" i="1"/>
  <c r="BU20" i="1"/>
  <c r="BT24" i="1"/>
  <c r="BT9" i="1" s="1"/>
  <c r="BY201" i="1"/>
  <c r="BW238" i="1"/>
  <c r="AX201" i="1"/>
  <c r="AX20" i="1"/>
  <c r="AX24" i="1"/>
  <c r="AX9" i="1" s="1"/>
  <c r="BB19" i="1"/>
  <c r="AZ238" i="1"/>
  <c r="BI147" i="1"/>
  <c r="AV110" i="1"/>
  <c r="AV112" i="1"/>
  <c r="AV111" i="1"/>
  <c r="AY110" i="1"/>
  <c r="AY111" i="1"/>
  <c r="AY112" i="1"/>
  <c r="AT238" i="1"/>
  <c r="P66" i="1"/>
  <c r="AQ24" i="1"/>
  <c r="AQ19" i="1"/>
  <c r="AR20" i="1"/>
  <c r="AX110" i="1"/>
  <c r="AX112" i="1"/>
  <c r="AX111" i="1"/>
  <c r="BH112" i="1"/>
  <c r="BH110" i="1"/>
  <c r="AX19" i="1"/>
  <c r="BV170" i="1"/>
  <c r="AR201" i="1"/>
  <c r="BC20" i="1"/>
  <c r="BP238" i="1"/>
  <c r="BC238" i="1"/>
  <c r="BO238" i="1"/>
  <c r="BB112" i="1"/>
  <c r="BB111" i="1"/>
  <c r="BB110" i="1"/>
  <c r="AO19" i="1"/>
  <c r="AS19" i="1"/>
  <c r="AO201" i="1"/>
  <c r="AO24" i="1"/>
  <c r="BH197" i="1"/>
  <c r="BI222" i="1"/>
  <c r="BH261" i="1"/>
  <c r="AO35" i="1"/>
  <c r="BX257" i="1"/>
  <c r="CA201" i="1"/>
  <c r="CB201" i="1"/>
  <c r="X66" i="1"/>
  <c r="BW24" i="1"/>
  <c r="BW9" i="1" s="1"/>
  <c r="BZ257" i="1"/>
  <c r="CA19" i="1"/>
  <c r="BW20" i="1"/>
  <c r="BY238" i="1"/>
  <c r="BZ238" i="1"/>
  <c r="BX20" i="1"/>
  <c r="BX238" i="1"/>
  <c r="AV35" i="1"/>
  <c r="AW201" i="1"/>
  <c r="AV24" i="1"/>
  <c r="AW20" i="1"/>
  <c r="BA201" i="1"/>
  <c r="AZ19" i="1"/>
  <c r="AN19" i="1"/>
  <c r="AO238" i="1"/>
  <c r="AN24" i="1"/>
  <c r="AN20" i="1"/>
  <c r="AN238" i="1"/>
  <c r="AO20" i="1"/>
  <c r="AR19" i="1"/>
  <c r="AS110" i="1"/>
  <c r="AS112" i="1"/>
  <c r="AS111" i="1"/>
  <c r="BH24" i="1"/>
  <c r="BH9" i="1" s="1"/>
  <c r="BL19" i="1"/>
  <c r="BI20" i="1"/>
  <c r="BT19" i="1"/>
  <c r="AV20" i="1"/>
  <c r="BN35" i="1"/>
  <c r="BI41" i="1"/>
  <c r="BC201" i="1"/>
  <c r="BI112" i="1"/>
  <c r="BB238" i="1"/>
  <c r="BO201" i="1"/>
  <c r="BI110" i="1"/>
  <c r="BN238" i="1"/>
  <c r="BA112" i="1"/>
  <c r="BA110" i="1"/>
  <c r="BA111" i="1"/>
  <c r="BG201" i="1"/>
  <c r="BG35" i="1"/>
  <c r="BJ238" i="1"/>
  <c r="BJ257" i="1"/>
  <c r="BH20" i="1"/>
  <c r="BG24" i="1"/>
  <c r="BG9" i="1" s="1"/>
  <c r="BW201" i="1"/>
  <c r="BV151" i="1"/>
  <c r="BW41" i="1"/>
  <c r="BW147" i="1"/>
  <c r="AP110" i="1"/>
  <c r="AP112" i="1"/>
  <c r="AP111" i="1"/>
  <c r="AW110" i="1"/>
  <c r="AW112" i="1"/>
  <c r="AW111" i="1"/>
  <c r="BF19" i="1"/>
  <c r="AO110" i="1"/>
  <c r="AO112" i="1"/>
  <c r="AO111" i="1"/>
  <c r="BW35" i="1"/>
  <c r="BD20" i="1"/>
  <c r="BG19" i="1"/>
  <c r="AN201" i="1"/>
  <c r="AV19" i="1"/>
  <c r="AQ35" i="1"/>
  <c r="BH199" i="1"/>
  <c r="BL202" i="1" s="1"/>
  <c r="F197" i="1"/>
  <c r="P78" i="1"/>
  <c r="N97" i="1"/>
  <c r="O94" i="1"/>
  <c r="O95" i="1"/>
  <c r="O78" i="1"/>
  <c r="O93" i="1"/>
  <c r="CQ151" i="1"/>
  <c r="CR40" i="1"/>
  <c r="AE85" i="1"/>
  <c r="AB138" i="1"/>
  <c r="AB141" i="1" s="1"/>
  <c r="AB262" i="1" s="1"/>
  <c r="AD155" i="1"/>
  <c r="CZ73" i="1"/>
  <c r="DA71" i="1"/>
  <c r="BJ12" i="1" l="1"/>
  <c r="BJ42" i="1"/>
  <c r="BJ46" i="1" s="1"/>
  <c r="T178" i="1"/>
  <c r="N218" i="1"/>
  <c r="T257" i="1"/>
  <c r="T259" i="1"/>
  <c r="N103" i="1"/>
  <c r="N102" i="1"/>
  <c r="N104" i="1"/>
  <c r="R104" i="1"/>
  <c r="R103" i="1"/>
  <c r="BU215" i="1"/>
  <c r="BJ37" i="1"/>
  <c r="F179" i="1"/>
  <c r="D218" i="1"/>
  <c r="AW215" i="1"/>
  <c r="W216" i="1"/>
  <c r="W214" i="1" s="1"/>
  <c r="BJ245" i="1"/>
  <c r="BJ246" i="1" s="1"/>
  <c r="V178" i="1"/>
  <c r="V179" i="1" s="1"/>
  <c r="P211" i="1"/>
  <c r="P212" i="1" s="1"/>
  <c r="BR262" i="1"/>
  <c r="BJ11" i="1"/>
  <c r="O218" i="1"/>
  <c r="U211" i="1"/>
  <c r="U212" i="1" s="1"/>
  <c r="D211" i="1"/>
  <c r="D212" i="1" s="1"/>
  <c r="J178" i="1"/>
  <c r="J179" i="1" s="1"/>
  <c r="L216" i="1"/>
  <c r="L214" i="1" s="1"/>
  <c r="E211" i="1"/>
  <c r="E212" i="1" s="1"/>
  <c r="K211" i="1"/>
  <c r="K212" i="1" s="1"/>
  <c r="U218" i="1"/>
  <c r="H178" i="1"/>
  <c r="H179" i="1" s="1"/>
  <c r="J211" i="1"/>
  <c r="J212" i="1" s="1"/>
  <c r="R179" i="1"/>
  <c r="B178" i="1"/>
  <c r="B257" i="1" s="1"/>
  <c r="N178" i="1"/>
  <c r="N179" i="1" s="1"/>
  <c r="U178" i="1"/>
  <c r="U179" i="1" s="1"/>
  <c r="B76" i="1"/>
  <c r="B77" i="1"/>
  <c r="O102" i="1"/>
  <c r="O104" i="1"/>
  <c r="O103" i="1"/>
  <c r="R119" i="1"/>
  <c r="R122" i="1" s="1"/>
  <c r="R118" i="1"/>
  <c r="R121" i="1" s="1"/>
  <c r="H103" i="1"/>
  <c r="H104" i="1"/>
  <c r="H102" i="1"/>
  <c r="AZ9" i="1"/>
  <c r="AZ8" i="1" s="1"/>
  <c r="AZ25" i="1"/>
  <c r="AZ36" i="1"/>
  <c r="BA27" i="1"/>
  <c r="BA9" i="1"/>
  <c r="BA8" i="1" s="1"/>
  <c r="BA25" i="1"/>
  <c r="BA26" i="1"/>
  <c r="BA36" i="1"/>
  <c r="BA12" i="1" s="1"/>
  <c r="BA11" i="1" s="1"/>
  <c r="BV9" i="1"/>
  <c r="BV8" i="1" s="1"/>
  <c r="BZ26" i="1"/>
  <c r="BV25" i="1"/>
  <c r="BV36" i="1"/>
  <c r="BV12" i="1" s="1"/>
  <c r="H259" i="1"/>
  <c r="H257" i="1"/>
  <c r="H218" i="1"/>
  <c r="F218" i="1"/>
  <c r="R218" i="1"/>
  <c r="AR194" i="1"/>
  <c r="C216" i="1"/>
  <c r="C214" i="1" s="1"/>
  <c r="T218" i="1"/>
  <c r="T211" i="1"/>
  <c r="T212" i="1" s="1"/>
  <c r="G218" i="1"/>
  <c r="D216" i="1"/>
  <c r="D214" i="1" s="1"/>
  <c r="L178" i="1"/>
  <c r="L179" i="1" s="1"/>
  <c r="BK8" i="1"/>
  <c r="AY8" i="1"/>
  <c r="BQ36" i="1"/>
  <c r="BQ9" i="1"/>
  <c r="BU8" i="1"/>
  <c r="BM8" i="1"/>
  <c r="BF36" i="1"/>
  <c r="BF9" i="1"/>
  <c r="BD8" i="1"/>
  <c r="BO8" i="1"/>
  <c r="BI8" i="1"/>
  <c r="BP8" i="1"/>
  <c r="BS8" i="1"/>
  <c r="BE26" i="1"/>
  <c r="BE9" i="1"/>
  <c r="BC8" i="1"/>
  <c r="BV26" i="1"/>
  <c r="BR9" i="1"/>
  <c r="BB8" i="1"/>
  <c r="BN8" i="1"/>
  <c r="BT8" i="1"/>
  <c r="AX8" i="1"/>
  <c r="BW8" i="1"/>
  <c r="BH8" i="1"/>
  <c r="BG8" i="1"/>
  <c r="P178" i="1"/>
  <c r="P179" i="1" s="1"/>
  <c r="S211" i="1"/>
  <c r="S212" i="1" s="1"/>
  <c r="V218" i="1"/>
  <c r="C178" i="1"/>
  <c r="U104" i="1"/>
  <c r="U102" i="1"/>
  <c r="P257" i="1"/>
  <c r="P259" i="1"/>
  <c r="S178" i="1"/>
  <c r="S179" i="1" s="1"/>
  <c r="K218" i="1"/>
  <c r="N257" i="1"/>
  <c r="N259" i="1"/>
  <c r="L257" i="1"/>
  <c r="L259" i="1"/>
  <c r="V118" i="1"/>
  <c r="V121" i="1" s="1"/>
  <c r="V119" i="1"/>
  <c r="V122" i="1" s="1"/>
  <c r="I102" i="1"/>
  <c r="I104" i="1"/>
  <c r="I103" i="1"/>
  <c r="K216" i="1"/>
  <c r="K214" i="1" s="1"/>
  <c r="J259" i="1"/>
  <c r="J257" i="1"/>
  <c r="U259" i="1"/>
  <c r="U257" i="1"/>
  <c r="U216" i="1"/>
  <c r="U214" i="1" s="1"/>
  <c r="S216" i="1"/>
  <c r="S214" i="1" s="1"/>
  <c r="S257" i="1"/>
  <c r="T216" i="1"/>
  <c r="T214" i="1" s="1"/>
  <c r="C76" i="1"/>
  <c r="C77" i="1"/>
  <c r="F119" i="1"/>
  <c r="F122" i="1" s="1"/>
  <c r="F118" i="1"/>
  <c r="F121" i="1" s="1"/>
  <c r="F102" i="1"/>
  <c r="F103" i="1"/>
  <c r="F104" i="1"/>
  <c r="F194" i="1"/>
  <c r="F199" i="1"/>
  <c r="G119" i="1"/>
  <c r="G122" i="1" s="1"/>
  <c r="G118" i="1"/>
  <c r="G121" i="1" s="1"/>
  <c r="S194" i="1"/>
  <c r="S199" i="1"/>
  <c r="T103" i="1"/>
  <c r="T102" i="1"/>
  <c r="T104" i="1"/>
  <c r="S218" i="1"/>
  <c r="D119" i="1"/>
  <c r="D122" i="1" s="1"/>
  <c r="I218" i="1"/>
  <c r="F211" i="1"/>
  <c r="F212" i="1" s="1"/>
  <c r="G211" i="1"/>
  <c r="G212" i="1" s="1"/>
  <c r="S118" i="1"/>
  <c r="S121" i="1" s="1"/>
  <c r="S119" i="1"/>
  <c r="S122" i="1" s="1"/>
  <c r="T118" i="1"/>
  <c r="T121" i="1" s="1"/>
  <c r="T119" i="1"/>
  <c r="T122" i="1" s="1"/>
  <c r="G104" i="1"/>
  <c r="G103" i="1"/>
  <c r="G102" i="1"/>
  <c r="J118" i="1"/>
  <c r="J121" i="1" s="1"/>
  <c r="J119" i="1"/>
  <c r="J122" i="1" s="1"/>
  <c r="H119" i="1"/>
  <c r="H122" i="1" s="1"/>
  <c r="H118" i="1"/>
  <c r="H121" i="1" s="1"/>
  <c r="D178" i="1"/>
  <c r="J218" i="1"/>
  <c r="H211" i="1"/>
  <c r="H212" i="1" s="1"/>
  <c r="I178" i="1"/>
  <c r="I179" i="1" s="1"/>
  <c r="Q211" i="1"/>
  <c r="Q212" i="1" s="1"/>
  <c r="T179" i="1"/>
  <c r="L218" i="1"/>
  <c r="E178" i="1"/>
  <c r="E179" i="1" s="1"/>
  <c r="G178" i="1"/>
  <c r="G179" i="1" s="1"/>
  <c r="V211" i="1"/>
  <c r="V212" i="1" s="1"/>
  <c r="Q119" i="1"/>
  <c r="Q122" i="1" s="1"/>
  <c r="Q118" i="1"/>
  <c r="Q121" i="1" s="1"/>
  <c r="G216" i="1"/>
  <c r="G214" i="1" s="1"/>
  <c r="G257" i="1"/>
  <c r="G259" i="1"/>
  <c r="H216" i="1"/>
  <c r="H214" i="1" s="1"/>
  <c r="I216" i="1"/>
  <c r="I214" i="1" s="1"/>
  <c r="I257" i="1"/>
  <c r="I259" i="1"/>
  <c r="J216" i="1"/>
  <c r="J214" i="1" s="1"/>
  <c r="E257" i="1"/>
  <c r="E259" i="1"/>
  <c r="F216" i="1"/>
  <c r="F214" i="1" s="1"/>
  <c r="O119" i="1"/>
  <c r="O122" i="1" s="1"/>
  <c r="O118" i="1"/>
  <c r="O121" i="1" s="1"/>
  <c r="B118" i="1"/>
  <c r="B121" i="1" s="1"/>
  <c r="B119" i="1"/>
  <c r="B122" i="1" s="1"/>
  <c r="C118" i="1"/>
  <c r="C121" i="1" s="1"/>
  <c r="C119" i="1"/>
  <c r="C122" i="1" s="1"/>
  <c r="N216" i="1"/>
  <c r="N214" i="1" s="1"/>
  <c r="M216" i="1"/>
  <c r="M214" i="1" s="1"/>
  <c r="M257" i="1"/>
  <c r="M259" i="1"/>
  <c r="K178" i="1"/>
  <c r="K179" i="1" s="1"/>
  <c r="E216" i="1"/>
  <c r="E214" i="1" s="1"/>
  <c r="J102" i="1"/>
  <c r="J103" i="1"/>
  <c r="J104" i="1"/>
  <c r="L194" i="1"/>
  <c r="L199" i="1"/>
  <c r="C211" i="1"/>
  <c r="C212" i="1" s="1"/>
  <c r="K118" i="1"/>
  <c r="K121" i="1" s="1"/>
  <c r="K119" i="1"/>
  <c r="K122" i="1" s="1"/>
  <c r="K103" i="1"/>
  <c r="K104" i="1"/>
  <c r="K102" i="1"/>
  <c r="H194" i="1"/>
  <c r="H199" i="1"/>
  <c r="D197" i="1"/>
  <c r="D199" i="1"/>
  <c r="Q218" i="1"/>
  <c r="I211" i="1"/>
  <c r="I212" i="1" s="1"/>
  <c r="Q178" i="1"/>
  <c r="Q179" i="1" s="1"/>
  <c r="R211" i="1"/>
  <c r="R212" i="1" s="1"/>
  <c r="M211" i="1"/>
  <c r="M212" i="1" s="1"/>
  <c r="N211" i="1"/>
  <c r="N212" i="1" s="1"/>
  <c r="M178" i="1"/>
  <c r="M179" i="1" s="1"/>
  <c r="S103" i="1"/>
  <c r="S102" i="1"/>
  <c r="S104" i="1"/>
  <c r="D77" i="1"/>
  <c r="D76" i="1"/>
  <c r="B199" i="1"/>
  <c r="B194" i="1"/>
  <c r="AR215" i="1"/>
  <c r="AQ215" i="1"/>
  <c r="O211" i="1"/>
  <c r="O212" i="1" s="1"/>
  <c r="BB181" i="1"/>
  <c r="J197" i="1"/>
  <c r="J199" i="1"/>
  <c r="L211" i="1"/>
  <c r="L212" i="1" s="1"/>
  <c r="AV181" i="1"/>
  <c r="P218" i="1"/>
  <c r="Q103" i="1"/>
  <c r="Q104" i="1"/>
  <c r="Q102" i="1"/>
  <c r="K257" i="1"/>
  <c r="K259" i="1"/>
  <c r="C197" i="1"/>
  <c r="C199" i="1"/>
  <c r="P102" i="1"/>
  <c r="P103" i="1"/>
  <c r="P104" i="1"/>
  <c r="U118" i="1"/>
  <c r="U121" i="1" s="1"/>
  <c r="U119" i="1"/>
  <c r="U122" i="1" s="1"/>
  <c r="BS41" i="1"/>
  <c r="BS147" i="1"/>
  <c r="BR151" i="1"/>
  <c r="P119" i="1"/>
  <c r="P122" i="1" s="1"/>
  <c r="P118" i="1"/>
  <c r="P121" i="1" s="1"/>
  <c r="L119" i="1"/>
  <c r="L122" i="1" s="1"/>
  <c r="L118" i="1"/>
  <c r="L121" i="1" s="1"/>
  <c r="M119" i="1"/>
  <c r="M122" i="1" s="1"/>
  <c r="M118" i="1"/>
  <c r="M121" i="1" s="1"/>
  <c r="V216" i="1"/>
  <c r="V214" i="1" s="1"/>
  <c r="V257" i="1"/>
  <c r="V259" i="1"/>
  <c r="AQ262" i="1"/>
  <c r="AN100" i="1"/>
  <c r="AN103" i="1" s="1"/>
  <c r="AN261" i="1"/>
  <c r="P199" i="1"/>
  <c r="P194" i="1"/>
  <c r="O178" i="1"/>
  <c r="O179" i="1" s="1"/>
  <c r="AV262" i="1"/>
  <c r="Q259" i="1"/>
  <c r="Q257" i="1"/>
  <c r="Q216" i="1"/>
  <c r="Q214" i="1" s="1"/>
  <c r="E118" i="1"/>
  <c r="E121" i="1" s="1"/>
  <c r="E119" i="1"/>
  <c r="E122" i="1" s="1"/>
  <c r="N119" i="1"/>
  <c r="N122" i="1" s="1"/>
  <c r="N118" i="1"/>
  <c r="N121" i="1" s="1"/>
  <c r="O259" i="1"/>
  <c r="P216" i="1"/>
  <c r="P214" i="1" s="1"/>
  <c r="AR219" i="1"/>
  <c r="AR262" i="1"/>
  <c r="AO147" i="1"/>
  <c r="AO41" i="1"/>
  <c r="AN151" i="1"/>
  <c r="AN259" i="1" s="1"/>
  <c r="BC41" i="1"/>
  <c r="BB151" i="1"/>
  <c r="BC147" i="1"/>
  <c r="Q199" i="1"/>
  <c r="Q197" i="1"/>
  <c r="AV219" i="1"/>
  <c r="BT142" i="1"/>
  <c r="I197" i="1"/>
  <c r="I199" i="1"/>
  <c r="V103" i="1"/>
  <c r="V102" i="1"/>
  <c r="V104" i="1"/>
  <c r="K197" i="1"/>
  <c r="K199" i="1"/>
  <c r="E197" i="1"/>
  <c r="E199" i="1"/>
  <c r="U197" i="1"/>
  <c r="U199" i="1"/>
  <c r="V197" i="1"/>
  <c r="V199" i="1"/>
  <c r="BN181" i="1"/>
  <c r="BN142" i="1"/>
  <c r="BC219" i="1"/>
  <c r="BC262" i="1"/>
  <c r="T199" i="1"/>
  <c r="T194" i="1"/>
  <c r="O216" i="1"/>
  <c r="O214" i="1" s="1"/>
  <c r="O257" i="1"/>
  <c r="N199" i="1"/>
  <c r="N194" i="1"/>
  <c r="G199" i="1"/>
  <c r="G197" i="1"/>
  <c r="O199" i="1"/>
  <c r="O197" i="1"/>
  <c r="BB142" i="1"/>
  <c r="AT261" i="1"/>
  <c r="AS219" i="1"/>
  <c r="AS262" i="1"/>
  <c r="AR181" i="1"/>
  <c r="AS45" i="1" s="1"/>
  <c r="AR142" i="1"/>
  <c r="AR100" i="1"/>
  <c r="AR259" i="1"/>
  <c r="AX100" i="1"/>
  <c r="AX261" i="1"/>
  <c r="BU41" i="1"/>
  <c r="BT151" i="1"/>
  <c r="BU147" i="1"/>
  <c r="BG147" i="1"/>
  <c r="BG41" i="1"/>
  <c r="BF151" i="1"/>
  <c r="AW41" i="1"/>
  <c r="AV151" i="1"/>
  <c r="AW147" i="1"/>
  <c r="BE41" i="1"/>
  <c r="BE147" i="1"/>
  <c r="BD151" i="1"/>
  <c r="AQ147" i="1"/>
  <c r="AP151" i="1"/>
  <c r="AQ41" i="1"/>
  <c r="R199" i="1"/>
  <c r="R197" i="1"/>
  <c r="AT195" i="1"/>
  <c r="AT170" i="1"/>
  <c r="BB103" i="1"/>
  <c r="BB104" i="1"/>
  <c r="BB102" i="1"/>
  <c r="AO262" i="1"/>
  <c r="AO219" i="1"/>
  <c r="AN262" i="1"/>
  <c r="AN219" i="1"/>
  <c r="AN142" i="1"/>
  <c r="AN181" i="1"/>
  <c r="BN151" i="1"/>
  <c r="BO147" i="1"/>
  <c r="BO41" i="1"/>
  <c r="AY147" i="1"/>
  <c r="AX151" i="1"/>
  <c r="AY41" i="1"/>
  <c r="AR198" i="1"/>
  <c r="AR170" i="1"/>
  <c r="AR178" i="1" s="1"/>
  <c r="BN261" i="1"/>
  <c r="BN100" i="1"/>
  <c r="BF219" i="1"/>
  <c r="BF181" i="1"/>
  <c r="BP262" i="1"/>
  <c r="BP219" i="1"/>
  <c r="BP181" i="1"/>
  <c r="BR142" i="1"/>
  <c r="BS262" i="1"/>
  <c r="BS219" i="1"/>
  <c r="BR181" i="1"/>
  <c r="BA147" i="1"/>
  <c r="BA41" i="1"/>
  <c r="AZ151" i="1"/>
  <c r="BQ41" i="1"/>
  <c r="BP151" i="1"/>
  <c r="BQ147" i="1"/>
  <c r="BC222" i="1"/>
  <c r="BB261" i="1"/>
  <c r="AR261" i="1"/>
  <c r="AR257" i="1"/>
  <c r="AX219" i="1"/>
  <c r="AX181" i="1"/>
  <c r="AX142" i="1"/>
  <c r="AX262" i="1"/>
  <c r="BO215" i="1"/>
  <c r="BP215" i="1"/>
  <c r="AT151" i="1"/>
  <c r="AU41" i="1"/>
  <c r="AU147" i="1"/>
  <c r="BD100" i="1"/>
  <c r="BD261" i="1"/>
  <c r="BO219" i="1"/>
  <c r="BO262" i="1"/>
  <c r="BN262" i="1"/>
  <c r="BN219" i="1"/>
  <c r="AW262" i="1"/>
  <c r="AW219" i="1"/>
  <c r="AN195" i="1"/>
  <c r="AN170" i="1"/>
  <c r="BT215" i="1"/>
  <c r="BS215" i="1"/>
  <c r="BV262" i="1"/>
  <c r="BU262" i="1"/>
  <c r="BU219" i="1"/>
  <c r="BV219" i="1"/>
  <c r="BT181" i="1"/>
  <c r="BT262" i="1"/>
  <c r="BT219" i="1"/>
  <c r="AP215" i="1"/>
  <c r="AO215" i="1"/>
  <c r="M199" i="1"/>
  <c r="M197" i="1"/>
  <c r="AZ181" i="1"/>
  <c r="AZ262" i="1"/>
  <c r="AZ142" i="1"/>
  <c r="AZ219" i="1"/>
  <c r="AN197" i="1"/>
  <c r="AT142" i="1"/>
  <c r="AT262" i="1"/>
  <c r="AT219" i="1"/>
  <c r="AT181" i="1"/>
  <c r="BD219" i="1"/>
  <c r="BD142" i="1"/>
  <c r="BE262" i="1"/>
  <c r="BE219" i="1"/>
  <c r="BD181" i="1"/>
  <c r="BD262" i="1"/>
  <c r="AV100" i="1"/>
  <c r="AV261" i="1"/>
  <c r="AQ219" i="1"/>
  <c r="AP219" i="1"/>
  <c r="AP262" i="1"/>
  <c r="BG262" i="1"/>
  <c r="BH262" i="1"/>
  <c r="BB219" i="1"/>
  <c r="BA262" i="1"/>
  <c r="BB262" i="1"/>
  <c r="BA219" i="1"/>
  <c r="AU219" i="1"/>
  <c r="AU262" i="1"/>
  <c r="BP199" i="1"/>
  <c r="BP202" i="1" s="1"/>
  <c r="BR219" i="1"/>
  <c r="AY219" i="1"/>
  <c r="AY262" i="1"/>
  <c r="AQ222" i="1"/>
  <c r="AP261" i="1"/>
  <c r="AZ100" i="1"/>
  <c r="AZ261" i="1"/>
  <c r="BS222" i="1"/>
  <c r="BR261" i="1"/>
  <c r="BT100" i="1"/>
  <c r="BT261" i="1"/>
  <c r="BF262" i="1"/>
  <c r="BF142" i="1"/>
  <c r="AP181" i="1"/>
  <c r="AP142" i="1"/>
  <c r="AP103" i="1"/>
  <c r="AP102" i="1"/>
  <c r="AP104" i="1"/>
  <c r="AP198" i="1"/>
  <c r="AP170" i="1"/>
  <c r="BF100" i="1"/>
  <c r="BF261" i="1"/>
  <c r="BP104" i="1"/>
  <c r="AV142" i="1"/>
  <c r="BQ262" i="1"/>
  <c r="BP261" i="1"/>
  <c r="BP142" i="1"/>
  <c r="BP170" i="1"/>
  <c r="BG219" i="1"/>
  <c r="BQ219" i="1"/>
  <c r="BP103" i="1"/>
  <c r="AV195" i="1"/>
  <c r="AV199" i="1" s="1"/>
  <c r="AV170" i="1"/>
  <c r="BH179" i="1"/>
  <c r="BB195" i="1"/>
  <c r="BB170" i="1"/>
  <c r="BD195" i="1"/>
  <c r="BD170" i="1"/>
  <c r="AX195" i="1"/>
  <c r="AX170" i="1"/>
  <c r="BF195" i="1"/>
  <c r="BF170" i="1"/>
  <c r="BT195" i="1"/>
  <c r="BT170" i="1"/>
  <c r="BR195" i="1"/>
  <c r="BR199" i="1" s="1"/>
  <c r="BV202" i="1" s="1"/>
  <c r="BR170" i="1"/>
  <c r="BN195" i="1"/>
  <c r="BN170" i="1"/>
  <c r="AZ195" i="1"/>
  <c r="AZ170" i="1"/>
  <c r="BV104" i="1"/>
  <c r="BV103" i="1"/>
  <c r="BV102" i="1"/>
  <c r="AP27" i="1"/>
  <c r="BL27" i="1"/>
  <c r="BK25" i="1"/>
  <c r="BK36" i="1"/>
  <c r="BK12" i="1" s="1"/>
  <c r="BK11" i="1" s="1"/>
  <c r="BK27" i="1"/>
  <c r="AM62" i="1"/>
  <c r="AM220" i="1"/>
  <c r="AM218" i="1" s="1"/>
  <c r="AM63" i="1"/>
  <c r="AM100" i="1"/>
  <c r="AM94" i="1"/>
  <c r="AM93" i="1"/>
  <c r="AM95" i="1"/>
  <c r="AY36" i="1"/>
  <c r="AY12" i="1" s="1"/>
  <c r="AY11" i="1" s="1"/>
  <c r="AY25" i="1"/>
  <c r="AZ27" i="1"/>
  <c r="AT26" i="1"/>
  <c r="AP36" i="1"/>
  <c r="AP26" i="1"/>
  <c r="AP25" i="1"/>
  <c r="BQ25" i="1"/>
  <c r="BU26" i="1"/>
  <c r="BU36" i="1"/>
  <c r="BU12" i="1" s="1"/>
  <c r="BU11" i="1" s="1"/>
  <c r="BV27" i="1"/>
  <c r="BY26" i="1"/>
  <c r="BU25" i="1"/>
  <c r="AS151" i="1"/>
  <c r="AT41" i="1"/>
  <c r="AS25" i="1"/>
  <c r="AS36" i="1"/>
  <c r="AS39" i="1" s="1"/>
  <c r="AT27" i="1"/>
  <c r="AW26" i="1"/>
  <c r="AR25" i="1"/>
  <c r="AS27" i="1"/>
  <c r="BI26" i="1"/>
  <c r="BI25" i="1"/>
  <c r="BM26" i="1"/>
  <c r="BI36" i="1"/>
  <c r="BI12" i="1" s="1"/>
  <c r="BI11" i="1" s="1"/>
  <c r="BJ27" i="1"/>
  <c r="BP36" i="1"/>
  <c r="BP12" i="1" s="1"/>
  <c r="BP11" i="1" s="1"/>
  <c r="BP26" i="1"/>
  <c r="BP25" i="1"/>
  <c r="BQ27" i="1"/>
  <c r="BN197" i="1"/>
  <c r="BM25" i="1"/>
  <c r="BQ26" i="1"/>
  <c r="BM36" i="1"/>
  <c r="BM12" i="1" s="1"/>
  <c r="BM11" i="1" s="1"/>
  <c r="BM27" i="1"/>
  <c r="BF25" i="1"/>
  <c r="BJ26" i="1"/>
  <c r="BE27" i="1"/>
  <c r="BS27" i="1"/>
  <c r="BD25" i="1"/>
  <c r="BD36" i="1"/>
  <c r="BD26" i="1"/>
  <c r="BE36" i="1"/>
  <c r="BE12" i="1" s="1"/>
  <c r="BE25" i="1"/>
  <c r="BF27" i="1"/>
  <c r="BC27" i="1"/>
  <c r="BT27" i="1"/>
  <c r="AU26" i="1"/>
  <c r="BW26" i="1"/>
  <c r="Q67" i="1"/>
  <c r="BO36" i="1"/>
  <c r="BO12" i="1" s="1"/>
  <c r="BO11" i="1" s="1"/>
  <c r="V67" i="1"/>
  <c r="BP27" i="1"/>
  <c r="BS26" i="1"/>
  <c r="BO26" i="1"/>
  <c r="BO25" i="1"/>
  <c r="AT42" i="1"/>
  <c r="AT46" i="1" s="1"/>
  <c r="AT37" i="1"/>
  <c r="AT245" i="1"/>
  <c r="AT246" i="1" s="1"/>
  <c r="AJ27" i="1"/>
  <c r="AI25" i="1"/>
  <c r="AM26" i="1"/>
  <c r="AI36" i="1"/>
  <c r="N67" i="1"/>
  <c r="AW245" i="1"/>
  <c r="AW246" i="1" s="1"/>
  <c r="AW37" i="1"/>
  <c r="AW42" i="1"/>
  <c r="AW46" i="1" s="1"/>
  <c r="AU27" i="1"/>
  <c r="AV27" i="1"/>
  <c r="AU36" i="1"/>
  <c r="AY26" i="1"/>
  <c r="AU25" i="1"/>
  <c r="BV117" i="1"/>
  <c r="BW45" i="1"/>
  <c r="BS36" i="1"/>
  <c r="BS12" i="1" s="1"/>
  <c r="BS11" i="1" s="1"/>
  <c r="BS25" i="1"/>
  <c r="BD27" i="1"/>
  <c r="S67" i="1"/>
  <c r="BC36" i="1"/>
  <c r="BC12" i="1" s="1"/>
  <c r="BC11" i="1" s="1"/>
  <c r="BC25" i="1"/>
  <c r="BC26" i="1"/>
  <c r="BH117" i="1"/>
  <c r="BI45" i="1"/>
  <c r="BR36" i="1"/>
  <c r="BR12" i="1" s="1"/>
  <c r="BR27" i="1"/>
  <c r="BR25" i="1"/>
  <c r="AQ27" i="1"/>
  <c r="BH36" i="1"/>
  <c r="BH12" i="1" s="1"/>
  <c r="BH11" i="1" s="1"/>
  <c r="BH25" i="1"/>
  <c r="BL26" i="1"/>
  <c r="BH26" i="1"/>
  <c r="BB26" i="1"/>
  <c r="AX27" i="1"/>
  <c r="AX25" i="1"/>
  <c r="AX26" i="1"/>
  <c r="AX36" i="1"/>
  <c r="AX12" i="1" s="1"/>
  <c r="AX11" i="1" s="1"/>
  <c r="AT103" i="1"/>
  <c r="AT104" i="1"/>
  <c r="AT102" i="1"/>
  <c r="BN26" i="1"/>
  <c r="BR26" i="1"/>
  <c r="BN36" i="1"/>
  <c r="BN12" i="1" s="1"/>
  <c r="BN11" i="1" s="1"/>
  <c r="U67" i="1"/>
  <c r="BN25" i="1"/>
  <c r="BN27" i="1"/>
  <c r="AR245" i="1"/>
  <c r="AR246" i="1" s="1"/>
  <c r="BO27" i="1"/>
  <c r="BG27" i="1"/>
  <c r="BG26" i="1"/>
  <c r="BG25" i="1"/>
  <c r="BH27" i="1"/>
  <c r="BK26" i="1"/>
  <c r="T67" i="1"/>
  <c r="BG36" i="1"/>
  <c r="BG12" i="1" s="1"/>
  <c r="BG11" i="1" s="1"/>
  <c r="AN36" i="1"/>
  <c r="AO27" i="1"/>
  <c r="AN26" i="1"/>
  <c r="AR26" i="1"/>
  <c r="AN27" i="1"/>
  <c r="AN25" i="1"/>
  <c r="AV36" i="1"/>
  <c r="AV25" i="1"/>
  <c r="AW27" i="1"/>
  <c r="AV26" i="1"/>
  <c r="AZ26" i="1"/>
  <c r="BW27" i="1"/>
  <c r="BW25" i="1"/>
  <c r="X67" i="1"/>
  <c r="CA26" i="1"/>
  <c r="BX27" i="1"/>
  <c r="BW36" i="1"/>
  <c r="BW12" i="1" s="1"/>
  <c r="BW11" i="1" s="1"/>
  <c r="BU27" i="1"/>
  <c r="BT36" i="1"/>
  <c r="BT12" i="1" s="1"/>
  <c r="BT11" i="1" s="1"/>
  <c r="BX26" i="1"/>
  <c r="BT25" i="1"/>
  <c r="BT26" i="1"/>
  <c r="BW151" i="1"/>
  <c r="BX41" i="1"/>
  <c r="AR42" i="1"/>
  <c r="AR46" i="1" s="1"/>
  <c r="AY27" i="1"/>
  <c r="BI27" i="1"/>
  <c r="BV257" i="1"/>
  <c r="BV259" i="1"/>
  <c r="BR104" i="1"/>
  <c r="BR102" i="1"/>
  <c r="BR103" i="1"/>
  <c r="AO26" i="1"/>
  <c r="AO36" i="1"/>
  <c r="AO25" i="1"/>
  <c r="AS26" i="1"/>
  <c r="BH259" i="1"/>
  <c r="BH257" i="1"/>
  <c r="O67" i="1"/>
  <c r="BV178" i="1"/>
  <c r="BV179" i="1" s="1"/>
  <c r="AQ36" i="1"/>
  <c r="P67" i="1"/>
  <c r="AQ26" i="1"/>
  <c r="AQ25" i="1"/>
  <c r="AR27" i="1"/>
  <c r="BJ41" i="1"/>
  <c r="BI151" i="1"/>
  <c r="BJ216" i="1" s="1"/>
  <c r="BJ214" i="1" s="1"/>
  <c r="BB25" i="1"/>
  <c r="R67" i="1"/>
  <c r="BB36" i="1"/>
  <c r="BB12" i="1" s="1"/>
  <c r="BB11" i="1" s="1"/>
  <c r="BF26" i="1"/>
  <c r="BB27" i="1"/>
  <c r="CR207" i="1"/>
  <c r="CR145" i="1"/>
  <c r="CQ216" i="1"/>
  <c r="CQ214" i="1" s="1"/>
  <c r="AB219" i="1"/>
  <c r="DB71" i="1"/>
  <c r="DA73" i="1"/>
  <c r="BJ49" i="1" l="1"/>
  <c r="BJ48" i="1"/>
  <c r="B95" i="1"/>
  <c r="B93" i="1"/>
  <c r="AZ12" i="1"/>
  <c r="AZ245" i="1"/>
  <c r="AZ246" i="1" s="1"/>
  <c r="AZ42" i="1"/>
  <c r="AZ46" i="1" s="1"/>
  <c r="DB73" i="1"/>
  <c r="AE71" i="1"/>
  <c r="AE73" i="1" s="1"/>
  <c r="P226" i="1"/>
  <c r="BA38" i="1"/>
  <c r="BZ38" i="1"/>
  <c r="BV42" i="1"/>
  <c r="BV46" i="1" s="1"/>
  <c r="B179" i="1"/>
  <c r="AZ37" i="1"/>
  <c r="BV245" i="1"/>
  <c r="BV246" i="1" s="1"/>
  <c r="BA263" i="1"/>
  <c r="BA264" i="1" s="1"/>
  <c r="BV37" i="1"/>
  <c r="BA42" i="1"/>
  <c r="BA46" i="1" s="1"/>
  <c r="BA49" i="1" s="1"/>
  <c r="BA37" i="1"/>
  <c r="BV11" i="1"/>
  <c r="BA245" i="1"/>
  <c r="BA246" i="1" s="1"/>
  <c r="BA39" i="1"/>
  <c r="B94" i="1"/>
  <c r="M226" i="1"/>
  <c r="J226" i="1"/>
  <c r="N226" i="1"/>
  <c r="AZ11" i="1"/>
  <c r="S226" i="1"/>
  <c r="S223" i="1"/>
  <c r="S224" i="1" s="1"/>
  <c r="H223" i="1"/>
  <c r="H224" i="1" s="1"/>
  <c r="V202" i="1"/>
  <c r="V203" i="1" s="1"/>
  <c r="D223" i="1"/>
  <c r="D224" i="1" s="1"/>
  <c r="D226" i="1"/>
  <c r="BQ12" i="1"/>
  <c r="BQ245" i="1"/>
  <c r="BQ246" i="1" s="1"/>
  <c r="BQ42" i="1"/>
  <c r="BQ46" i="1" s="1"/>
  <c r="BQ48" i="1" s="1"/>
  <c r="BQ37" i="1"/>
  <c r="BF37" i="1"/>
  <c r="BF42" i="1"/>
  <c r="BF46" i="1" s="1"/>
  <c r="BF245" i="1"/>
  <c r="BF246" i="1" s="1"/>
  <c r="C257" i="1"/>
  <c r="C179" i="1"/>
  <c r="BQ8" i="1"/>
  <c r="BQ11" i="1"/>
  <c r="BF12" i="1"/>
  <c r="BJ38" i="1"/>
  <c r="BF8" i="1"/>
  <c r="BF11" i="1"/>
  <c r="BE8" i="1"/>
  <c r="BE11" i="1"/>
  <c r="BR8" i="1"/>
  <c r="BR11" i="1"/>
  <c r="BD38" i="1"/>
  <c r="BD12" i="1"/>
  <c r="BD11" i="1" s="1"/>
  <c r="Q226" i="1"/>
  <c r="Q223" i="1"/>
  <c r="Q224" i="1" s="1"/>
  <c r="D78" i="1"/>
  <c r="P223" i="1"/>
  <c r="P224" i="1" s="1"/>
  <c r="K223" i="1"/>
  <c r="K224" i="1" s="1"/>
  <c r="K226" i="1"/>
  <c r="U226" i="1"/>
  <c r="U223" i="1"/>
  <c r="U224" i="1" s="1"/>
  <c r="T226" i="1"/>
  <c r="T223" i="1"/>
  <c r="T224" i="1" s="1"/>
  <c r="C95" i="1"/>
  <c r="C93" i="1"/>
  <c r="C78" i="1"/>
  <c r="C94" i="1"/>
  <c r="B97" i="1"/>
  <c r="J223" i="1"/>
  <c r="J224" i="1" s="1"/>
  <c r="H226" i="1"/>
  <c r="D257" i="1"/>
  <c r="D179" i="1"/>
  <c r="I223" i="1"/>
  <c r="I224" i="1" s="1"/>
  <c r="I226" i="1"/>
  <c r="N223" i="1"/>
  <c r="N224" i="1" s="1"/>
  <c r="M223" i="1"/>
  <c r="M224" i="1" s="1"/>
  <c r="I202" i="1"/>
  <c r="I203" i="1" s="1"/>
  <c r="G223" i="1"/>
  <c r="G224" i="1" s="1"/>
  <c r="G226" i="1"/>
  <c r="F226" i="1"/>
  <c r="F223" i="1"/>
  <c r="F224" i="1" s="1"/>
  <c r="E223" i="1"/>
  <c r="E224" i="1" s="1"/>
  <c r="E226" i="1"/>
  <c r="C223" i="1"/>
  <c r="C224" i="1" s="1"/>
  <c r="C226" i="1"/>
  <c r="AW45" i="1"/>
  <c r="AV117" i="1"/>
  <c r="BS151" i="1"/>
  <c r="BT41" i="1"/>
  <c r="BR259" i="1"/>
  <c r="BR257" i="1"/>
  <c r="V223" i="1"/>
  <c r="V224" i="1" s="1"/>
  <c r="V226" i="1"/>
  <c r="AP41" i="1"/>
  <c r="AO151" i="1"/>
  <c r="AN102" i="1"/>
  <c r="AN104" i="1"/>
  <c r="O226" i="1"/>
  <c r="J202" i="1"/>
  <c r="J203" i="1" s="1"/>
  <c r="Q202" i="1"/>
  <c r="Q203" i="1" s="1"/>
  <c r="O223" i="1"/>
  <c r="O224" i="1" s="1"/>
  <c r="BR178" i="1"/>
  <c r="BR179" i="1" s="1"/>
  <c r="R223" i="1"/>
  <c r="R224" i="1" s="1"/>
  <c r="R226" i="1"/>
  <c r="BB117" i="1"/>
  <c r="BC45" i="1"/>
  <c r="L226" i="1"/>
  <c r="L223" i="1"/>
  <c r="L224" i="1" s="1"/>
  <c r="D93" i="1"/>
  <c r="D94" i="1"/>
  <c r="D95" i="1"/>
  <c r="C97" i="1"/>
  <c r="E78" i="1"/>
  <c r="AR179" i="1"/>
  <c r="AN178" i="1"/>
  <c r="AN179" i="1" s="1"/>
  <c r="BP178" i="1"/>
  <c r="BP179" i="1" s="1"/>
  <c r="BN117" i="1"/>
  <c r="BO45" i="1"/>
  <c r="AZ41" i="1"/>
  <c r="AY151" i="1"/>
  <c r="L202" i="1"/>
  <c r="L203" i="1" s="1"/>
  <c r="K202" i="1"/>
  <c r="K203" i="1" s="1"/>
  <c r="E202" i="1"/>
  <c r="E203" i="1" s="1"/>
  <c r="F202" i="1"/>
  <c r="F203" i="1" s="1"/>
  <c r="H202" i="1"/>
  <c r="H203" i="1" s="1"/>
  <c r="G202" i="1"/>
  <c r="G203" i="1" s="1"/>
  <c r="BN216" i="1"/>
  <c r="BN214" i="1" s="1"/>
  <c r="BN259" i="1"/>
  <c r="BN257" i="1"/>
  <c r="BN104" i="1"/>
  <c r="BN103" i="1"/>
  <c r="BN102" i="1"/>
  <c r="BP117" i="1"/>
  <c r="BQ45" i="1"/>
  <c r="C202" i="1"/>
  <c r="C203" i="1" s="1"/>
  <c r="D202" i="1"/>
  <c r="D203" i="1" s="1"/>
  <c r="BB178" i="1"/>
  <c r="BB179" i="1" s="1"/>
  <c r="BF178" i="1"/>
  <c r="BF179" i="1" s="1"/>
  <c r="BT178" i="1"/>
  <c r="BT179" i="1" s="1"/>
  <c r="BF259" i="1"/>
  <c r="BF257" i="1"/>
  <c r="AP259" i="1"/>
  <c r="AP257" i="1"/>
  <c r="BG45" i="1"/>
  <c r="BF117" i="1"/>
  <c r="BD41" i="1"/>
  <c r="BC151" i="1"/>
  <c r="BN178" i="1"/>
  <c r="BN179" i="1" s="1"/>
  <c r="AZ178" i="1"/>
  <c r="AZ179" i="1" s="1"/>
  <c r="AN257" i="1"/>
  <c r="AN216" i="1"/>
  <c r="AN214" i="1" s="1"/>
  <c r="BT259" i="1"/>
  <c r="BT257" i="1"/>
  <c r="AW151" i="1"/>
  <c r="AX41" i="1"/>
  <c r="BS45" i="1"/>
  <c r="BR117" i="1"/>
  <c r="BA151" i="1"/>
  <c r="BB41" i="1"/>
  <c r="AZ257" i="1"/>
  <c r="AZ259" i="1"/>
  <c r="BR41" i="1"/>
  <c r="BQ151" i="1"/>
  <c r="AN194" i="1"/>
  <c r="AN199" i="1"/>
  <c r="BB259" i="1"/>
  <c r="BB257" i="1"/>
  <c r="BG151" i="1"/>
  <c r="BH41" i="1"/>
  <c r="AV257" i="1"/>
  <c r="AV259" i="1"/>
  <c r="BE151" i="1"/>
  <c r="BF41" i="1"/>
  <c r="BD257" i="1"/>
  <c r="BD259" i="1"/>
  <c r="S202" i="1"/>
  <c r="S203" i="1" s="1"/>
  <c r="R202" i="1"/>
  <c r="R203" i="1" s="1"/>
  <c r="AX259" i="1"/>
  <c r="AX257" i="1"/>
  <c r="AU45" i="1"/>
  <c r="AT117" i="1"/>
  <c r="AP178" i="1"/>
  <c r="AP179" i="1" s="1"/>
  <c r="BD178" i="1"/>
  <c r="BD179" i="1" s="1"/>
  <c r="AR102" i="1"/>
  <c r="AR104" i="1"/>
  <c r="AR103" i="1"/>
  <c r="AX104" i="1"/>
  <c r="AX103" i="1"/>
  <c r="AX102" i="1"/>
  <c r="BV41" i="1"/>
  <c r="BU151" i="1"/>
  <c r="AQ151" i="1"/>
  <c r="AR41" i="1"/>
  <c r="AT199" i="1"/>
  <c r="AT194" i="1"/>
  <c r="AO45" i="1"/>
  <c r="AN117" i="1"/>
  <c r="AR199" i="1"/>
  <c r="AR197" i="1"/>
  <c r="AV41" i="1"/>
  <c r="AU151" i="1"/>
  <c r="BD103" i="1"/>
  <c r="BD102" i="1"/>
  <c r="BD104" i="1"/>
  <c r="BU45" i="1"/>
  <c r="BT117" i="1"/>
  <c r="BE45" i="1"/>
  <c r="BD117" i="1"/>
  <c r="AV104" i="1"/>
  <c r="AV102" i="1"/>
  <c r="AV103" i="1"/>
  <c r="T202" i="1"/>
  <c r="T203" i="1" s="1"/>
  <c r="U202" i="1"/>
  <c r="U203" i="1" s="1"/>
  <c r="P202" i="1"/>
  <c r="P203" i="1" s="1"/>
  <c r="O202" i="1"/>
  <c r="O203" i="1" s="1"/>
  <c r="AV178" i="1"/>
  <c r="AV179" i="1" s="1"/>
  <c r="AX178" i="1"/>
  <c r="AX179" i="1" s="1"/>
  <c r="BP41" i="1"/>
  <c r="BO151" i="1"/>
  <c r="BP259" i="1"/>
  <c r="BP257" i="1"/>
  <c r="AY45" i="1"/>
  <c r="AX117" i="1"/>
  <c r="AT178" i="1"/>
  <c r="AT179" i="1" s="1"/>
  <c r="AT259" i="1"/>
  <c r="AT257" i="1"/>
  <c r="AP117" i="1"/>
  <c r="AQ45" i="1"/>
  <c r="AZ117" i="1"/>
  <c r="BA45" i="1"/>
  <c r="M202" i="1"/>
  <c r="M203" i="1" s="1"/>
  <c r="N202" i="1"/>
  <c r="N203" i="1" s="1"/>
  <c r="AZ103" i="1"/>
  <c r="AZ104" i="1"/>
  <c r="AZ102" i="1"/>
  <c r="AP199" i="1"/>
  <c r="AP202" i="1" s="1"/>
  <c r="AP197" i="1"/>
  <c r="AX194" i="1"/>
  <c r="AX199" i="1"/>
  <c r="BF194" i="1"/>
  <c r="BF199" i="1"/>
  <c r="BJ202" i="1" s="1"/>
  <c r="BT104" i="1"/>
  <c r="BT103" i="1"/>
  <c r="BT102" i="1"/>
  <c r="BF103" i="1"/>
  <c r="BF104" i="1"/>
  <c r="BF102" i="1"/>
  <c r="AV194" i="1"/>
  <c r="BR194" i="1"/>
  <c r="BN194" i="1"/>
  <c r="BN199" i="1"/>
  <c r="BB199" i="1"/>
  <c r="BB194" i="1"/>
  <c r="BD194" i="1"/>
  <c r="BD199" i="1"/>
  <c r="BT199" i="1"/>
  <c r="BT194" i="1"/>
  <c r="BX216" i="1"/>
  <c r="BX214" i="1" s="1"/>
  <c r="BW216" i="1"/>
  <c r="BW214" i="1" s="1"/>
  <c r="AZ199" i="1"/>
  <c r="AZ202" i="1" s="1"/>
  <c r="AZ194" i="1"/>
  <c r="BA239" i="1"/>
  <c r="BL120" i="1"/>
  <c r="BL126" i="1" s="1"/>
  <c r="AQ263" i="1"/>
  <c r="AQ264" i="1" s="1"/>
  <c r="AT38" i="1"/>
  <c r="AQ39" i="1"/>
  <c r="BS239" i="1"/>
  <c r="BO38" i="1"/>
  <c r="BK38" i="1"/>
  <c r="BX239" i="1"/>
  <c r="BK39" i="1"/>
  <c r="BK37" i="1"/>
  <c r="BL39" i="1"/>
  <c r="BK245" i="1"/>
  <c r="BK246" i="1" s="1"/>
  <c r="BK42" i="1"/>
  <c r="BK46" i="1" s="1"/>
  <c r="BK263" i="1"/>
  <c r="BK264" i="1" s="1"/>
  <c r="BL263" i="1"/>
  <c r="BL264" i="1" s="1"/>
  <c r="AM102" i="1"/>
  <c r="AM103" i="1"/>
  <c r="AM104" i="1"/>
  <c r="AY37" i="1"/>
  <c r="AY245" i="1"/>
  <c r="AY246" i="1" s="1"/>
  <c r="AY42" i="1"/>
  <c r="AY46" i="1" s="1"/>
  <c r="AZ263" i="1"/>
  <c r="AZ264" i="1" s="1"/>
  <c r="AZ39" i="1"/>
  <c r="AP37" i="1"/>
  <c r="AP38" i="1"/>
  <c r="AP245" i="1"/>
  <c r="AP246" i="1" s="1"/>
  <c r="AP42" i="1"/>
  <c r="AP46" i="1" s="1"/>
  <c r="BV263" i="1"/>
  <c r="BV264" i="1" s="1"/>
  <c r="BV39" i="1"/>
  <c r="BM120" i="1"/>
  <c r="BM126" i="1" s="1"/>
  <c r="BM239" i="1"/>
  <c r="BU38" i="1"/>
  <c r="BU37" i="1"/>
  <c r="BU245" i="1"/>
  <c r="BU246" i="1" s="1"/>
  <c r="BY38" i="1"/>
  <c r="BU42" i="1"/>
  <c r="BU46" i="1" s="1"/>
  <c r="S68" i="1"/>
  <c r="BK120" i="1"/>
  <c r="BK126" i="1" s="1"/>
  <c r="U68" i="1"/>
  <c r="AS216" i="1"/>
  <c r="AS214" i="1" s="1"/>
  <c r="AT216" i="1"/>
  <c r="AT214" i="1" s="1"/>
  <c r="AS245" i="1"/>
  <c r="AS246" i="1" s="1"/>
  <c r="AS42" i="1"/>
  <c r="AS46" i="1" s="1"/>
  <c r="AW38" i="1"/>
  <c r="AT39" i="1"/>
  <c r="AS263" i="1"/>
  <c r="AS264" i="1" s="1"/>
  <c r="AS37" i="1"/>
  <c r="AT263" i="1"/>
  <c r="AT264" i="1" s="1"/>
  <c r="AS239" i="1"/>
  <c r="AS120" i="1"/>
  <c r="BF263" i="1"/>
  <c r="BF264" i="1" s="1"/>
  <c r="BE38" i="1"/>
  <c r="BI245" i="1"/>
  <c r="BI246" i="1" s="1"/>
  <c r="BI42" i="1"/>
  <c r="BI37" i="1"/>
  <c r="BL239" i="1"/>
  <c r="BJ39" i="1"/>
  <c r="BJ263" i="1"/>
  <c r="BJ264" i="1" s="1"/>
  <c r="BQ39" i="1"/>
  <c r="BP37" i="1"/>
  <c r="BP38" i="1"/>
  <c r="BP245" i="1"/>
  <c r="BP246" i="1" s="1"/>
  <c r="BP42" i="1"/>
  <c r="BP46" i="1" s="1"/>
  <c r="BQ263" i="1"/>
  <c r="BQ264" i="1" s="1"/>
  <c r="BM42" i="1"/>
  <c r="BM46" i="1" s="1"/>
  <c r="BM37" i="1"/>
  <c r="BQ38" i="1"/>
  <c r="BM39" i="1"/>
  <c r="BM38" i="1"/>
  <c r="BM245" i="1"/>
  <c r="BM246" i="1" s="1"/>
  <c r="BM263" i="1"/>
  <c r="BM264" i="1" s="1"/>
  <c r="BD263" i="1"/>
  <c r="BD264" i="1" s="1"/>
  <c r="O68" i="1"/>
  <c r="AP39" i="1"/>
  <c r="BE39" i="1"/>
  <c r="BD42" i="1"/>
  <c r="BD46" i="1" s="1"/>
  <c r="BD37" i="1"/>
  <c r="BD245" i="1"/>
  <c r="BD246" i="1" s="1"/>
  <c r="BE263" i="1"/>
  <c r="BE264" i="1" s="1"/>
  <c r="BI38" i="1"/>
  <c r="BE245" i="1"/>
  <c r="BE246" i="1" s="1"/>
  <c r="BE37" i="1"/>
  <c r="BE42" i="1"/>
  <c r="BE46" i="1" s="1"/>
  <c r="BF39" i="1"/>
  <c r="BO37" i="1"/>
  <c r="BO42" i="1"/>
  <c r="BO46" i="1" s="1"/>
  <c r="BO245" i="1"/>
  <c r="BO246" i="1" s="1"/>
  <c r="BP39" i="1"/>
  <c r="BP263" i="1"/>
  <c r="BP264" i="1" s="1"/>
  <c r="BH118" i="1"/>
  <c r="BH119" i="1"/>
  <c r="AX239" i="1"/>
  <c r="BT263" i="1"/>
  <c r="BT264" i="1" s="1"/>
  <c r="BC39" i="1"/>
  <c r="AJ39" i="1"/>
  <c r="AL120" i="1"/>
  <c r="AI37" i="1"/>
  <c r="AM38" i="1"/>
  <c r="AI42" i="1"/>
  <c r="N68" i="1"/>
  <c r="AL239" i="1"/>
  <c r="AI245" i="1"/>
  <c r="AI246" i="1" s="1"/>
  <c r="AW239" i="1"/>
  <c r="AU239" i="1"/>
  <c r="AW120" i="1"/>
  <c r="AU39" i="1"/>
  <c r="AU263" i="1"/>
  <c r="AU264" i="1" s="1"/>
  <c r="AU120" i="1"/>
  <c r="AV239" i="1"/>
  <c r="AU245" i="1"/>
  <c r="AU246" i="1" s="1"/>
  <c r="AU37" i="1"/>
  <c r="AU42" i="1"/>
  <c r="AU46" i="1" s="1"/>
  <c r="AY38" i="1"/>
  <c r="AV39" i="1"/>
  <c r="AV263" i="1"/>
  <c r="AV264" i="1" s="1"/>
  <c r="AU38" i="1"/>
  <c r="BV118" i="1"/>
  <c r="BV119" i="1"/>
  <c r="BS38" i="1"/>
  <c r="BS42" i="1"/>
  <c r="BS46" i="1" s="1"/>
  <c r="BS37" i="1"/>
  <c r="BS245" i="1"/>
  <c r="BS246" i="1" s="1"/>
  <c r="BS263" i="1"/>
  <c r="BS264" i="1" s="1"/>
  <c r="BD39" i="1"/>
  <c r="BG38" i="1"/>
  <c r="BF120" i="1"/>
  <c r="BF126" i="1" s="1"/>
  <c r="BC42" i="1"/>
  <c r="BC37" i="1"/>
  <c r="BC245" i="1"/>
  <c r="BC246" i="1" s="1"/>
  <c r="BF239" i="1"/>
  <c r="BC38" i="1"/>
  <c r="BV38" i="1"/>
  <c r="BS120" i="1"/>
  <c r="BS126" i="1" s="1"/>
  <c r="BT239" i="1"/>
  <c r="AQ239" i="1"/>
  <c r="AZ49" i="1"/>
  <c r="AZ48" i="1"/>
  <c r="BV239" i="1"/>
  <c r="BR263" i="1"/>
  <c r="BR264" i="1" s="1"/>
  <c r="BR37" i="1"/>
  <c r="BR39" i="1"/>
  <c r="BS39" i="1"/>
  <c r="V68" i="1"/>
  <c r="BR239" i="1"/>
  <c r="BR245" i="1"/>
  <c r="BR246" i="1" s="1"/>
  <c r="BR120" i="1"/>
  <c r="BR126" i="1" s="1"/>
  <c r="BR42" i="1"/>
  <c r="BN120" i="1"/>
  <c r="BN126" i="1" s="1"/>
  <c r="BN239" i="1"/>
  <c r="BA120" i="1"/>
  <c r="BA126" i="1" s="1"/>
  <c r="AX120" i="1"/>
  <c r="AY120" i="1"/>
  <c r="AY239" i="1"/>
  <c r="AY39" i="1"/>
  <c r="AY263" i="1"/>
  <c r="AY264" i="1" s="1"/>
  <c r="AZ120" i="1"/>
  <c r="BV120" i="1"/>
  <c r="BV126" i="1" s="1"/>
  <c r="AQ120" i="1"/>
  <c r="BT120" i="1"/>
  <c r="BT126" i="1" s="1"/>
  <c r="BT39" i="1"/>
  <c r="AR239" i="1"/>
  <c r="AP239" i="1"/>
  <c r="AP263" i="1"/>
  <c r="AP264" i="1" s="1"/>
  <c r="AP120" i="1"/>
  <c r="BK239" i="1"/>
  <c r="BX120" i="1"/>
  <c r="BX126" i="1" s="1"/>
  <c r="AV120" i="1"/>
  <c r="Q68" i="1"/>
  <c r="BI216" i="1"/>
  <c r="BI214" i="1" s="1"/>
  <c r="BV48" i="1"/>
  <c r="BV49" i="1"/>
  <c r="BD239" i="1"/>
  <c r="BC120" i="1"/>
  <c r="BC126" i="1" s="1"/>
  <c r="BC239" i="1"/>
  <c r="BB239" i="1"/>
  <c r="R68" i="1"/>
  <c r="AV42" i="1"/>
  <c r="AZ38" i="1"/>
  <c r="AV37" i="1"/>
  <c r="AV245" i="1"/>
  <c r="AV246" i="1" s="1"/>
  <c r="AW263" i="1"/>
  <c r="AW264" i="1" s="1"/>
  <c r="AW39" i="1"/>
  <c r="BG37" i="1"/>
  <c r="BH239" i="1"/>
  <c r="T68" i="1"/>
  <c r="BG120" i="1"/>
  <c r="BG126" i="1" s="1"/>
  <c r="BJ120" i="1"/>
  <c r="BJ126" i="1" s="1"/>
  <c r="BG263" i="1"/>
  <c r="BG264" i="1" s="1"/>
  <c r="BI239" i="1"/>
  <c r="BG42" i="1"/>
  <c r="BI120" i="1"/>
  <c r="BI126" i="1" s="1"/>
  <c r="BG245" i="1"/>
  <c r="BG246" i="1" s="1"/>
  <c r="BH120" i="1"/>
  <c r="BH126" i="1" s="1"/>
  <c r="BJ239" i="1"/>
  <c r="BH39" i="1"/>
  <c r="BG239" i="1"/>
  <c r="BG39" i="1"/>
  <c r="BL38" i="1"/>
  <c r="BH37" i="1"/>
  <c r="BH42" i="1"/>
  <c r="BH46" i="1" s="1"/>
  <c r="BH245" i="1"/>
  <c r="BH246" i="1" s="1"/>
  <c r="BH263" i="1"/>
  <c r="BH264" i="1" s="1"/>
  <c r="BH38" i="1"/>
  <c r="BI263" i="1"/>
  <c r="BI264" i="1" s="1"/>
  <c r="BI39" i="1"/>
  <c r="BW38" i="1"/>
  <c r="AN263" i="1"/>
  <c r="AN264" i="1" s="1"/>
  <c r="AN42" i="1"/>
  <c r="AO239" i="1"/>
  <c r="AN39" i="1"/>
  <c r="AN37" i="1"/>
  <c r="AN245" i="1"/>
  <c r="AN246" i="1" s="1"/>
  <c r="AN239" i="1"/>
  <c r="AR38" i="1"/>
  <c r="AO120" i="1"/>
  <c r="AN120" i="1"/>
  <c r="AO39" i="1"/>
  <c r="AN38" i="1"/>
  <c r="BW39" i="1"/>
  <c r="BN42" i="1"/>
  <c r="BP239" i="1"/>
  <c r="BO239" i="1"/>
  <c r="BR38" i="1"/>
  <c r="BQ120" i="1"/>
  <c r="BQ126" i="1" s="1"/>
  <c r="BN37" i="1"/>
  <c r="BO39" i="1"/>
  <c r="BN39" i="1"/>
  <c r="BN245" i="1"/>
  <c r="BN246" i="1" s="1"/>
  <c r="BO263" i="1"/>
  <c r="BO264" i="1" s="1"/>
  <c r="BN263" i="1"/>
  <c r="BN264" i="1" s="1"/>
  <c r="BN38" i="1"/>
  <c r="BP120" i="1"/>
  <c r="BP126" i="1" s="1"/>
  <c r="BQ239" i="1"/>
  <c r="BO120" i="1"/>
  <c r="BO126" i="1" s="1"/>
  <c r="AX263" i="1"/>
  <c r="AX264" i="1" s="1"/>
  <c r="AX245" i="1"/>
  <c r="AX246" i="1" s="1"/>
  <c r="AX38" i="1"/>
  <c r="BB38" i="1"/>
  <c r="AZ239" i="1"/>
  <c r="AX42" i="1"/>
  <c r="AX39" i="1"/>
  <c r="AX37" i="1"/>
  <c r="BB42" i="1"/>
  <c r="BF38" i="1"/>
  <c r="BB245" i="1"/>
  <c r="BB246" i="1" s="1"/>
  <c r="BB120" i="1"/>
  <c r="BB126" i="1" s="1"/>
  <c r="BD120" i="1"/>
  <c r="BD126" i="1" s="1"/>
  <c r="BB37" i="1"/>
  <c r="BB263" i="1"/>
  <c r="BB264" i="1" s="1"/>
  <c r="BB39" i="1"/>
  <c r="BW239" i="1"/>
  <c r="BW245" i="1"/>
  <c r="BW246" i="1" s="1"/>
  <c r="BX39" i="1"/>
  <c r="X68" i="1"/>
  <c r="BW37" i="1"/>
  <c r="BZ120" i="1"/>
  <c r="BZ126" i="1" s="1"/>
  <c r="BZ239" i="1"/>
  <c r="BW263" i="1"/>
  <c r="BW264" i="1" s="1"/>
  <c r="BW42" i="1"/>
  <c r="BY120" i="1"/>
  <c r="BY126" i="1" s="1"/>
  <c r="CA38" i="1"/>
  <c r="BX263" i="1"/>
  <c r="BX264" i="1" s="1"/>
  <c r="BY239" i="1"/>
  <c r="BC263" i="1"/>
  <c r="BC264" i="1" s="1"/>
  <c r="BE239" i="1"/>
  <c r="BE120" i="1"/>
  <c r="BE126" i="1" s="1"/>
  <c r="AQ37" i="1"/>
  <c r="AT239" i="1"/>
  <c r="AQ245" i="1"/>
  <c r="AQ246" i="1" s="1"/>
  <c r="P68" i="1"/>
  <c r="AQ42" i="1"/>
  <c r="AQ38" i="1"/>
  <c r="AR39" i="1"/>
  <c r="AR263" i="1"/>
  <c r="AR264" i="1" s="1"/>
  <c r="AT120" i="1"/>
  <c r="AO245" i="1"/>
  <c r="AO246" i="1" s="1"/>
  <c r="AO42" i="1"/>
  <c r="AO46" i="1" s="1"/>
  <c r="AO48" i="1" s="1"/>
  <c r="AR120" i="1"/>
  <c r="AO263" i="1"/>
  <c r="AO264" i="1" s="1"/>
  <c r="AO38" i="1"/>
  <c r="AS38" i="1"/>
  <c r="AO37" i="1"/>
  <c r="AR49" i="1"/>
  <c r="AR48" i="1"/>
  <c r="BT42" i="1"/>
  <c r="BU263" i="1"/>
  <c r="BU264" i="1" s="1"/>
  <c r="BT37" i="1"/>
  <c r="BX38" i="1"/>
  <c r="BU39" i="1"/>
  <c r="BT245" i="1"/>
  <c r="BT246" i="1" s="1"/>
  <c r="BT38" i="1"/>
  <c r="BW120" i="1"/>
  <c r="BW126" i="1" s="1"/>
  <c r="BU120" i="1"/>
  <c r="BU126" i="1" s="1"/>
  <c r="AV38" i="1"/>
  <c r="AW48" i="1"/>
  <c r="AW49" i="1"/>
  <c r="AT49" i="1"/>
  <c r="AT48" i="1"/>
  <c r="CR147" i="1"/>
  <c r="AE155" i="1"/>
  <c r="AC137" i="1"/>
  <c r="BJ247" i="1" l="1"/>
  <c r="BJ50" i="1"/>
  <c r="BJ258" i="1" s="1"/>
  <c r="BJ56" i="1"/>
  <c r="BA48" i="1"/>
  <c r="BQ49" i="1"/>
  <c r="BF49" i="1"/>
  <c r="BF48" i="1"/>
  <c r="AV118" i="1"/>
  <c r="AV121" i="1" s="1"/>
  <c r="AV119" i="1"/>
  <c r="AV122" i="1" s="1"/>
  <c r="BT216" i="1"/>
  <c r="BT214" i="1" s="1"/>
  <c r="BS216" i="1"/>
  <c r="BS214" i="1" s="1"/>
  <c r="AP216" i="1"/>
  <c r="AP214" i="1" s="1"/>
  <c r="AO216" i="1"/>
  <c r="AO214" i="1" s="1"/>
  <c r="BB119" i="1"/>
  <c r="BB122" i="1" s="1"/>
  <c r="BB118" i="1"/>
  <c r="BB121" i="1" s="1"/>
  <c r="BN119" i="1"/>
  <c r="BN122" i="1" s="1"/>
  <c r="BN118" i="1"/>
  <c r="BN121" i="1" s="1"/>
  <c r="BP118" i="1"/>
  <c r="BP121" i="1" s="1"/>
  <c r="BP119" i="1"/>
  <c r="BP122" i="1" s="1"/>
  <c r="AY216" i="1"/>
  <c r="AY214" i="1" s="1"/>
  <c r="AZ216" i="1"/>
  <c r="AZ214" i="1" s="1"/>
  <c r="BF119" i="1"/>
  <c r="BF122" i="1" s="1"/>
  <c r="BF118" i="1"/>
  <c r="BF121" i="1" s="1"/>
  <c r="BC216" i="1"/>
  <c r="BC214" i="1" s="1"/>
  <c r="BD216" i="1"/>
  <c r="BD214" i="1" s="1"/>
  <c r="AX216" i="1"/>
  <c r="AX214" i="1" s="1"/>
  <c r="AW216" i="1"/>
  <c r="AW214" i="1" s="1"/>
  <c r="BB216" i="1"/>
  <c r="BB214" i="1" s="1"/>
  <c r="BA216" i="1"/>
  <c r="BA214" i="1" s="1"/>
  <c r="BR216" i="1"/>
  <c r="BR214" i="1" s="1"/>
  <c r="BQ216" i="1"/>
  <c r="BQ214" i="1" s="1"/>
  <c r="BH216" i="1"/>
  <c r="BH214" i="1" s="1"/>
  <c r="BG216" i="1"/>
  <c r="BG214" i="1" s="1"/>
  <c r="AR216" i="1"/>
  <c r="AR214" i="1" s="1"/>
  <c r="AQ216" i="1"/>
  <c r="AQ214" i="1" s="1"/>
  <c r="AR202" i="1"/>
  <c r="AV202" i="1"/>
  <c r="BR118" i="1"/>
  <c r="BR121" i="1" s="1"/>
  <c r="BR119" i="1"/>
  <c r="BR122" i="1" s="1"/>
  <c r="BE216" i="1"/>
  <c r="BE214" i="1" s="1"/>
  <c r="BF216" i="1"/>
  <c r="BF214" i="1" s="1"/>
  <c r="AT119" i="1"/>
  <c r="AT122" i="1" s="1"/>
  <c r="AT118" i="1"/>
  <c r="AT121" i="1" s="1"/>
  <c r="AN119" i="1"/>
  <c r="AN122" i="1" s="1"/>
  <c r="AN118" i="1"/>
  <c r="AN121" i="1" s="1"/>
  <c r="AT202" i="1"/>
  <c r="AX202" i="1"/>
  <c r="BV216" i="1"/>
  <c r="BV214" i="1" s="1"/>
  <c r="BU216" i="1"/>
  <c r="BU214" i="1" s="1"/>
  <c r="AV216" i="1"/>
  <c r="AV214" i="1" s="1"/>
  <c r="AU216" i="1"/>
  <c r="AU214" i="1" s="1"/>
  <c r="BT119" i="1"/>
  <c r="BT122" i="1" s="1"/>
  <c r="BT118" i="1"/>
  <c r="BT121" i="1" s="1"/>
  <c r="BD119" i="1"/>
  <c r="BD122" i="1" s="1"/>
  <c r="BD118" i="1"/>
  <c r="BD121" i="1" s="1"/>
  <c r="BO216" i="1"/>
  <c r="BO214" i="1" s="1"/>
  <c r="BP216" i="1"/>
  <c r="BP214" i="1" s="1"/>
  <c r="AX118" i="1"/>
  <c r="AX121" i="1" s="1"/>
  <c r="AX119" i="1"/>
  <c r="AX122" i="1" s="1"/>
  <c r="AP118" i="1"/>
  <c r="AP121" i="1" s="1"/>
  <c r="AP119" i="1"/>
  <c r="AP122" i="1" s="1"/>
  <c r="AZ118" i="1"/>
  <c r="AZ121" i="1" s="1"/>
  <c r="AZ119" i="1"/>
  <c r="AZ122" i="1" s="1"/>
  <c r="BH202" i="1"/>
  <c r="BD202" i="1"/>
  <c r="BN202" i="1"/>
  <c r="BR202" i="1"/>
  <c r="BB202" i="1"/>
  <c r="BF202" i="1"/>
  <c r="BT202" i="1"/>
  <c r="BX202" i="1"/>
  <c r="BL121" i="1"/>
  <c r="BL122" i="1"/>
  <c r="BK49" i="1"/>
  <c r="BK48" i="1"/>
  <c r="AY48" i="1"/>
  <c r="AY49" i="1"/>
  <c r="AP48" i="1"/>
  <c r="AP49" i="1"/>
  <c r="AP51" i="1" s="1"/>
  <c r="BU49" i="1"/>
  <c r="BY51" i="1" s="1"/>
  <c r="BU48" i="1"/>
  <c r="AS48" i="1"/>
  <c r="AS49" i="1"/>
  <c r="AS52" i="1" s="1"/>
  <c r="BP48" i="1"/>
  <c r="BP49" i="1"/>
  <c r="BI46" i="1"/>
  <c r="BL63" i="1"/>
  <c r="BM48" i="1"/>
  <c r="BM49" i="1"/>
  <c r="BV121" i="1"/>
  <c r="BE48" i="1"/>
  <c r="BE49" i="1"/>
  <c r="BD63" i="1"/>
  <c r="BV63" i="1"/>
  <c r="BD48" i="1"/>
  <c r="BD49" i="1"/>
  <c r="BO49" i="1"/>
  <c r="BO48" i="1"/>
  <c r="AL122" i="1"/>
  <c r="AL121" i="1"/>
  <c r="AI46" i="1"/>
  <c r="AL63" i="1"/>
  <c r="AU49" i="1"/>
  <c r="AU48" i="1"/>
  <c r="BC46" i="1"/>
  <c r="BF63" i="1"/>
  <c r="BX121" i="1"/>
  <c r="BX122" i="1"/>
  <c r="AZ247" i="1"/>
  <c r="AZ56" i="1"/>
  <c r="AZ50" i="1"/>
  <c r="AZ258" i="1" s="1"/>
  <c r="BR46" i="1"/>
  <c r="BR63" i="1"/>
  <c r="AR63" i="1"/>
  <c r="AP63" i="1"/>
  <c r="BV122" i="1"/>
  <c r="AO49" i="1"/>
  <c r="AR50" i="1"/>
  <c r="AR258" i="1" s="1"/>
  <c r="AR56" i="1"/>
  <c r="AR247" i="1"/>
  <c r="AX46" i="1"/>
  <c r="AZ63" i="1"/>
  <c r="BN46" i="1"/>
  <c r="BP63" i="1"/>
  <c r="BV50" i="1"/>
  <c r="BV258" i="1" s="1"/>
  <c r="BV56" i="1"/>
  <c r="BV247" i="1"/>
  <c r="BZ51" i="1"/>
  <c r="BH49" i="1"/>
  <c r="BH48" i="1"/>
  <c r="AQ46" i="1"/>
  <c r="AT63" i="1"/>
  <c r="BX63" i="1"/>
  <c r="BZ63" i="1"/>
  <c r="BW46" i="1"/>
  <c r="BB46" i="1"/>
  <c r="BB63" i="1"/>
  <c r="AN63" i="1"/>
  <c r="AN46" i="1"/>
  <c r="BH121" i="1"/>
  <c r="BH122" i="1"/>
  <c r="AV46" i="1"/>
  <c r="AV63" i="1"/>
  <c r="AX63" i="1"/>
  <c r="BT46" i="1"/>
  <c r="BT63" i="1"/>
  <c r="BJ121" i="1"/>
  <c r="BJ122" i="1"/>
  <c r="BN63" i="1"/>
  <c r="BY63" i="1"/>
  <c r="BZ121" i="1"/>
  <c r="BZ122" i="1"/>
  <c r="BJ63" i="1"/>
  <c r="BG46" i="1"/>
  <c r="BH63" i="1"/>
  <c r="BS48" i="1"/>
  <c r="BS49" i="1"/>
  <c r="AT56" i="1"/>
  <c r="AT247" i="1"/>
  <c r="AT50" i="1"/>
  <c r="AT258" i="1" s="1"/>
  <c r="BA247" i="1"/>
  <c r="BA50" i="1"/>
  <c r="BA258" i="1" s="1"/>
  <c r="BA52" i="1"/>
  <c r="BA56" i="1"/>
  <c r="AW56" i="1"/>
  <c r="AW247" i="1"/>
  <c r="AW50" i="1"/>
  <c r="AW258" i="1" s="1"/>
  <c r="BA51" i="1"/>
  <c r="CR151" i="1"/>
  <c r="CS40" i="1"/>
  <c r="BJ60" i="1" l="1"/>
  <c r="BJ206" i="1"/>
  <c r="BJ208" i="1" s="1"/>
  <c r="BJ74" i="1"/>
  <c r="BQ52" i="1"/>
  <c r="BQ50" i="1"/>
  <c r="BQ258" i="1" s="1"/>
  <c r="BQ56" i="1"/>
  <c r="BQ206" i="1" s="1"/>
  <c r="BQ208" i="1" s="1"/>
  <c r="BQ247" i="1"/>
  <c r="BF247" i="1"/>
  <c r="BF50" i="1"/>
  <c r="BF258" i="1" s="1"/>
  <c r="BF56" i="1"/>
  <c r="BJ51" i="1"/>
  <c r="BL52" i="1"/>
  <c r="BK56" i="1"/>
  <c r="BK50" i="1"/>
  <c r="BK258" i="1" s="1"/>
  <c r="AY247" i="1"/>
  <c r="AY50" i="1"/>
  <c r="AY258" i="1" s="1"/>
  <c r="AT51" i="1"/>
  <c r="AP247" i="1"/>
  <c r="AP56" i="1"/>
  <c r="AP50" i="1"/>
  <c r="AP258" i="1" s="1"/>
  <c r="AZ52" i="1"/>
  <c r="AY56" i="1"/>
  <c r="BU50" i="1"/>
  <c r="BU258" i="1" s="1"/>
  <c r="BU247" i="1"/>
  <c r="BU56" i="1"/>
  <c r="BK52" i="1"/>
  <c r="BK247" i="1"/>
  <c r="AS56" i="1"/>
  <c r="AS50" i="1"/>
  <c r="AS258" i="1" s="1"/>
  <c r="BV52" i="1"/>
  <c r="BU51" i="1"/>
  <c r="AS247" i="1"/>
  <c r="AT52" i="1"/>
  <c r="AW51" i="1"/>
  <c r="BP56" i="1"/>
  <c r="BP51" i="1"/>
  <c r="BP247" i="1"/>
  <c r="BP50" i="1"/>
  <c r="BP258" i="1" s="1"/>
  <c r="BI49" i="1"/>
  <c r="BI52" i="1" s="1"/>
  <c r="BI48" i="1"/>
  <c r="BM56" i="1"/>
  <c r="BM52" i="1"/>
  <c r="BM247" i="1"/>
  <c r="BM240" i="1"/>
  <c r="BQ51" i="1"/>
  <c r="BM50" i="1"/>
  <c r="BM258" i="1" s="1"/>
  <c r="BE50" i="1"/>
  <c r="BE258" i="1" s="1"/>
  <c r="BE56" i="1"/>
  <c r="BE247" i="1"/>
  <c r="BF52" i="1"/>
  <c r="BC49" i="1"/>
  <c r="BC48" i="1"/>
  <c r="BS51" i="1"/>
  <c r="BE51" i="1"/>
  <c r="BD56" i="1"/>
  <c r="BD247" i="1"/>
  <c r="BD50" i="1"/>
  <c r="BD258" i="1" s="1"/>
  <c r="BD51" i="1"/>
  <c r="BE52" i="1"/>
  <c r="BO247" i="1"/>
  <c r="BO50" i="1"/>
  <c r="BO258" i="1" s="1"/>
  <c r="BO56" i="1"/>
  <c r="BP52" i="1"/>
  <c r="BO51" i="1"/>
  <c r="AI49" i="1"/>
  <c r="AI48" i="1"/>
  <c r="AU50" i="1"/>
  <c r="AU258" i="1" s="1"/>
  <c r="AU247" i="1"/>
  <c r="AY51" i="1"/>
  <c r="AU56" i="1"/>
  <c r="AU240" i="1"/>
  <c r="AU52" i="1"/>
  <c r="AP52" i="1"/>
  <c r="AO56" i="1"/>
  <c r="AZ74" i="1"/>
  <c r="AZ60" i="1"/>
  <c r="AZ206" i="1"/>
  <c r="AZ208" i="1" s="1"/>
  <c r="BR49" i="1"/>
  <c r="BR48" i="1"/>
  <c r="AO51" i="1"/>
  <c r="BH51" i="1"/>
  <c r="AO247" i="1"/>
  <c r="AS51" i="1"/>
  <c r="AO50" i="1"/>
  <c r="AO258" i="1" s="1"/>
  <c r="BW49" i="1"/>
  <c r="BW51" i="1" s="1"/>
  <c r="BW48" i="1"/>
  <c r="BN49" i="1"/>
  <c r="BN48" i="1"/>
  <c r="AQ49" i="1"/>
  <c r="AQ48" i="1"/>
  <c r="AR60" i="1"/>
  <c r="AR206" i="1"/>
  <c r="AR208" i="1" s="1"/>
  <c r="AR74" i="1"/>
  <c r="BT49" i="1"/>
  <c r="BT48" i="1"/>
  <c r="AV48" i="1"/>
  <c r="AV49" i="1"/>
  <c r="AN49" i="1"/>
  <c r="AN48" i="1"/>
  <c r="BH56" i="1"/>
  <c r="BL51" i="1"/>
  <c r="BH247" i="1"/>
  <c r="BH50" i="1"/>
  <c r="BH258" i="1" s="1"/>
  <c r="AX49" i="1"/>
  <c r="AX48" i="1"/>
  <c r="BV206" i="1"/>
  <c r="BV208" i="1" s="1"/>
  <c r="BV74" i="1"/>
  <c r="BV60" i="1"/>
  <c r="BG48" i="1"/>
  <c r="BG49" i="1"/>
  <c r="BB49" i="1"/>
  <c r="BB48" i="1"/>
  <c r="BS247" i="1"/>
  <c r="BS50" i="1"/>
  <c r="BS258" i="1" s="1"/>
  <c r="BS56" i="1"/>
  <c r="AT74" i="1"/>
  <c r="AT206" i="1"/>
  <c r="AT208" i="1" s="1"/>
  <c r="AT60" i="1"/>
  <c r="AW206" i="1"/>
  <c r="AW208" i="1" s="1"/>
  <c r="AW74" i="1"/>
  <c r="AW132" i="1"/>
  <c r="AW133" i="1" s="1"/>
  <c r="AW60" i="1"/>
  <c r="BA60" i="1"/>
  <c r="BA206" i="1"/>
  <c r="BA208" i="1" s="1"/>
  <c r="BA74" i="1"/>
  <c r="BA132" i="1"/>
  <c r="BA133" i="1" s="1"/>
  <c r="CS207" i="1"/>
  <c r="CS145" i="1"/>
  <c r="CR216" i="1"/>
  <c r="CR214" i="1" s="1"/>
  <c r="AC138" i="1"/>
  <c r="AC141" i="1" s="1"/>
  <c r="AC262" i="1" s="1"/>
  <c r="BF74" i="1" l="1"/>
  <c r="BF60" i="1"/>
  <c r="BF206" i="1"/>
  <c r="BF208" i="1" s="1"/>
  <c r="BQ132" i="1"/>
  <c r="BQ133" i="1" s="1"/>
  <c r="BQ74" i="1"/>
  <c r="BQ60" i="1"/>
  <c r="BK60" i="1"/>
  <c r="BK206" i="1"/>
  <c r="BK208" i="1" s="1"/>
  <c r="BK132" i="1"/>
  <c r="BK133" i="1" s="1"/>
  <c r="BK74" i="1"/>
  <c r="AP206" i="1"/>
  <c r="AP208" i="1" s="1"/>
  <c r="AP74" i="1"/>
  <c r="AP60" i="1"/>
  <c r="BU132" i="1"/>
  <c r="BU133" i="1" s="1"/>
  <c r="BU60" i="1"/>
  <c r="BU206" i="1"/>
  <c r="BU208" i="1" s="1"/>
  <c r="BU74" i="1"/>
  <c r="BS52" i="1"/>
  <c r="BS240" i="1"/>
  <c r="AY206" i="1"/>
  <c r="AY208" i="1" s="1"/>
  <c r="AY74" i="1"/>
  <c r="AY132" i="1"/>
  <c r="AY133" i="1" s="1"/>
  <c r="AY60" i="1"/>
  <c r="AS60" i="1"/>
  <c r="AS132" i="1"/>
  <c r="AS133" i="1" s="1"/>
  <c r="AS206" i="1"/>
  <c r="AS208" i="1" s="1"/>
  <c r="AS74" i="1"/>
  <c r="BI51" i="1"/>
  <c r="BK240" i="1"/>
  <c r="BM74" i="1"/>
  <c r="BM60" i="1"/>
  <c r="BP60" i="1"/>
  <c r="BP206" i="1"/>
  <c r="BP208" i="1" s="1"/>
  <c r="BP74" i="1"/>
  <c r="BM51" i="1"/>
  <c r="BL240" i="1"/>
  <c r="BI56" i="1"/>
  <c r="BI247" i="1"/>
  <c r="BJ52" i="1"/>
  <c r="BI50" i="1"/>
  <c r="BI258" i="1" s="1"/>
  <c r="BM132" i="1"/>
  <c r="BM133" i="1" s="1"/>
  <c r="BM206" i="1"/>
  <c r="BM208" i="1" s="1"/>
  <c r="BE74" i="1"/>
  <c r="BE206" i="1"/>
  <c r="BE208" i="1" s="1"/>
  <c r="BE60" i="1"/>
  <c r="BE132" i="1"/>
  <c r="BE133" i="1" s="1"/>
  <c r="BF240" i="1"/>
  <c r="BD52" i="1"/>
  <c r="BC51" i="1"/>
  <c r="BC56" i="1"/>
  <c r="BC247" i="1"/>
  <c r="BC50" i="1"/>
  <c r="BC258" i="1" s="1"/>
  <c r="BD60" i="1"/>
  <c r="BD206" i="1"/>
  <c r="BD208" i="1" s="1"/>
  <c r="BD74" i="1"/>
  <c r="BO60" i="1"/>
  <c r="BO74" i="1"/>
  <c r="BO206" i="1"/>
  <c r="BO208" i="1" s="1"/>
  <c r="BO132" i="1"/>
  <c r="BO133" i="1" s="1"/>
  <c r="AI50" i="1"/>
  <c r="AI247" i="1"/>
  <c r="AJ52" i="1"/>
  <c r="AM51" i="1"/>
  <c r="AI56" i="1"/>
  <c r="AL240" i="1"/>
  <c r="AU60" i="1"/>
  <c r="AU74" i="1"/>
  <c r="AU206" i="1"/>
  <c r="AU208" i="1" s="1"/>
  <c r="AU132" i="1"/>
  <c r="AU133" i="1" s="1"/>
  <c r="AO206" i="1"/>
  <c r="AO208" i="1" s="1"/>
  <c r="AO74" i="1"/>
  <c r="AO132" i="1"/>
  <c r="AO133" i="1" s="1"/>
  <c r="AO60" i="1"/>
  <c r="BR50" i="1"/>
  <c r="BR258" i="1" s="1"/>
  <c r="BR247" i="1"/>
  <c r="BR56" i="1"/>
  <c r="BV51" i="1"/>
  <c r="BR52" i="1"/>
  <c r="BR240" i="1"/>
  <c r="AN50" i="1"/>
  <c r="AN258" i="1" s="1"/>
  <c r="AQ240" i="1"/>
  <c r="AO52" i="1"/>
  <c r="AN240" i="1"/>
  <c r="AN51" i="1"/>
  <c r="AP240" i="1"/>
  <c r="AR51" i="1"/>
  <c r="AO240" i="1"/>
  <c r="AN56" i="1"/>
  <c r="AN52" i="1"/>
  <c r="AN247" i="1"/>
  <c r="BX51" i="1"/>
  <c r="BT50" i="1"/>
  <c r="BT258" i="1" s="1"/>
  <c r="BT247" i="1"/>
  <c r="BT56" i="1"/>
  <c r="BU52" i="1"/>
  <c r="BT51" i="1"/>
  <c r="BW240" i="1"/>
  <c r="BV240" i="1"/>
  <c r="AZ51" i="1"/>
  <c r="AV50" i="1"/>
  <c r="AV258" i="1" s="1"/>
  <c r="AV247" i="1"/>
  <c r="AV56" i="1"/>
  <c r="AY240" i="1"/>
  <c r="AW240" i="1"/>
  <c r="AW52" i="1"/>
  <c r="AV51" i="1"/>
  <c r="AV52" i="1"/>
  <c r="AX240" i="1"/>
  <c r="AV240" i="1"/>
  <c r="AR52" i="1"/>
  <c r="AQ51" i="1"/>
  <c r="AQ247" i="1"/>
  <c r="AQ56" i="1"/>
  <c r="AQ50" i="1"/>
  <c r="AQ258" i="1" s="1"/>
  <c r="AQ52" i="1"/>
  <c r="AU51" i="1"/>
  <c r="AT240" i="1"/>
  <c r="AS240" i="1"/>
  <c r="AR240" i="1"/>
  <c r="BN247" i="1"/>
  <c r="BR51" i="1"/>
  <c r="BN56" i="1"/>
  <c r="BN51" i="1"/>
  <c r="BN50" i="1"/>
  <c r="BN258" i="1" s="1"/>
  <c r="BO52" i="1"/>
  <c r="BN240" i="1"/>
  <c r="BQ240" i="1"/>
  <c r="BN52" i="1"/>
  <c r="BO240" i="1"/>
  <c r="BP240" i="1"/>
  <c r="BB50" i="1"/>
  <c r="BB258" i="1" s="1"/>
  <c r="BF51" i="1"/>
  <c r="BB247" i="1"/>
  <c r="BB56" i="1"/>
  <c r="BB220" i="1" s="1"/>
  <c r="BB218" i="1" s="1"/>
  <c r="BC52" i="1"/>
  <c r="BD240" i="1"/>
  <c r="BB240" i="1"/>
  <c r="BB52" i="1"/>
  <c r="BC240" i="1"/>
  <c r="BE240" i="1"/>
  <c r="BB51" i="1"/>
  <c r="AX56" i="1"/>
  <c r="AX247" i="1"/>
  <c r="AX50" i="1"/>
  <c r="AX258" i="1" s="1"/>
  <c r="AZ240" i="1"/>
  <c r="AX52" i="1"/>
  <c r="AY52" i="1"/>
  <c r="AX51" i="1"/>
  <c r="BA240" i="1"/>
  <c r="BH60" i="1"/>
  <c r="BH74" i="1"/>
  <c r="BH206" i="1"/>
  <c r="BH208" i="1" s="1"/>
  <c r="BT240" i="1"/>
  <c r="BT52" i="1"/>
  <c r="BK51" i="1"/>
  <c r="BG56" i="1"/>
  <c r="BH240" i="1"/>
  <c r="BG51" i="1"/>
  <c r="BG50" i="1"/>
  <c r="BG258" i="1" s="1"/>
  <c r="BH52" i="1"/>
  <c r="BG240" i="1"/>
  <c r="BG247" i="1"/>
  <c r="BJ240" i="1"/>
  <c r="BG52" i="1"/>
  <c r="BI240" i="1"/>
  <c r="BX240" i="1"/>
  <c r="BW247" i="1"/>
  <c r="BW52" i="1"/>
  <c r="BX52" i="1"/>
  <c r="BW56" i="1"/>
  <c r="X69" i="1"/>
  <c r="BY240" i="1"/>
  <c r="CA51" i="1"/>
  <c r="BW50" i="1"/>
  <c r="BW258" i="1" s="1"/>
  <c r="BZ240" i="1"/>
  <c r="BS206" i="1"/>
  <c r="BS208" i="1" s="1"/>
  <c r="BS60" i="1"/>
  <c r="BS132" i="1"/>
  <c r="BS133" i="1" s="1"/>
  <c r="BS74" i="1"/>
  <c r="AW142" i="1"/>
  <c r="AW63" i="1" s="1"/>
  <c r="AW220" i="1"/>
  <c r="AW218" i="1" s="1"/>
  <c r="AW100" i="1"/>
  <c r="BA220" i="1"/>
  <c r="BA218" i="1" s="1"/>
  <c r="BA100" i="1"/>
  <c r="BA142" i="1"/>
  <c r="BA63" i="1" s="1"/>
  <c r="CS147" i="1"/>
  <c r="AC219" i="1"/>
  <c r="CA239" i="1"/>
  <c r="CB239" i="1"/>
  <c r="BU239" i="1"/>
  <c r="BR220" i="1" l="1"/>
  <c r="BR218" i="1" s="1"/>
  <c r="BQ62" i="1"/>
  <c r="BQ220" i="1"/>
  <c r="BQ218" i="1" s="1"/>
  <c r="BQ142" i="1"/>
  <c r="BQ63" i="1" s="1"/>
  <c r="BQ100" i="1"/>
  <c r="BK62" i="1"/>
  <c r="BM77" i="1"/>
  <c r="BI97" i="1" s="1"/>
  <c r="BK100" i="1"/>
  <c r="BL220" i="1"/>
  <c r="BL218" i="1" s="1"/>
  <c r="BK220" i="1"/>
  <c r="BK218" i="1" s="1"/>
  <c r="BK142" i="1"/>
  <c r="BK63" i="1" s="1"/>
  <c r="BV220" i="1"/>
  <c r="BV218" i="1" s="1"/>
  <c r="BU220" i="1"/>
  <c r="BU218" i="1" s="1"/>
  <c r="BU100" i="1"/>
  <c r="BU142" i="1"/>
  <c r="BU63" i="1" s="1"/>
  <c r="AU77" i="1"/>
  <c r="AY100" i="1"/>
  <c r="AY220" i="1"/>
  <c r="AY218" i="1" s="1"/>
  <c r="AY142" i="1"/>
  <c r="AY63" i="1" s="1"/>
  <c r="AZ220" i="1"/>
  <c r="AZ218" i="1" s="1"/>
  <c r="AS220" i="1"/>
  <c r="AS218" i="1" s="1"/>
  <c r="AS100" i="1"/>
  <c r="AS142" i="1"/>
  <c r="AS63" i="1" s="1"/>
  <c r="AT220" i="1"/>
  <c r="AT218" i="1" s="1"/>
  <c r="AO62" i="1"/>
  <c r="BL62" i="1"/>
  <c r="BI60" i="1"/>
  <c r="BI206" i="1"/>
  <c r="BI208" i="1" s="1"/>
  <c r="BI74" i="1"/>
  <c r="BI132" i="1"/>
  <c r="BI133" i="1" s="1"/>
  <c r="BM62" i="1"/>
  <c r="BM220" i="1"/>
  <c r="BM218" i="1" s="1"/>
  <c r="BM142" i="1"/>
  <c r="BM63" i="1" s="1"/>
  <c r="BM100" i="1"/>
  <c r="AX220" i="1"/>
  <c r="AX218" i="1" s="1"/>
  <c r="BA62" i="1"/>
  <c r="BF220" i="1"/>
  <c r="BF218" i="1" s="1"/>
  <c r="BE100" i="1"/>
  <c r="BE142" i="1"/>
  <c r="BE63" i="1" s="1"/>
  <c r="BE220" i="1"/>
  <c r="BE218" i="1" s="1"/>
  <c r="S69" i="1"/>
  <c r="BF62" i="1"/>
  <c r="BC74" i="1"/>
  <c r="BF77" i="1" s="1"/>
  <c r="BC132" i="1"/>
  <c r="BC133" i="1" s="1"/>
  <c r="BC206" i="1"/>
  <c r="BC208" i="1" s="1"/>
  <c r="BC60" i="1"/>
  <c r="BO220" i="1"/>
  <c r="BO218" i="1" s="1"/>
  <c r="BO142" i="1"/>
  <c r="BO63" i="1" s="1"/>
  <c r="BP220" i="1"/>
  <c r="BP218" i="1" s="1"/>
  <c r="BO100" i="1"/>
  <c r="AI74" i="1"/>
  <c r="AL77" i="1" s="1"/>
  <c r="AI60" i="1"/>
  <c r="AL62" i="1"/>
  <c r="N69" i="1"/>
  <c r="AI220" i="1"/>
  <c r="AI218" i="1" s="1"/>
  <c r="AI206" i="1"/>
  <c r="AI208" i="1" s="1"/>
  <c r="AI212" i="1" s="1"/>
  <c r="AI226" i="1" s="1"/>
  <c r="AU100" i="1"/>
  <c r="AU220" i="1"/>
  <c r="AU218" i="1" s="1"/>
  <c r="AU142" i="1"/>
  <c r="AU63" i="1" s="1"/>
  <c r="AU62" i="1"/>
  <c r="AP220" i="1"/>
  <c r="AP218" i="1" s="1"/>
  <c r="AO100" i="1"/>
  <c r="AO142" i="1"/>
  <c r="AO63" i="1" s="1"/>
  <c r="AO220" i="1"/>
  <c r="AO218" i="1" s="1"/>
  <c r="AV220" i="1"/>
  <c r="AV218" i="1" s="1"/>
  <c r="AY62" i="1"/>
  <c r="BT62" i="1"/>
  <c r="BR60" i="1"/>
  <c r="BR206" i="1"/>
  <c r="BR208" i="1" s="1"/>
  <c r="BR74" i="1"/>
  <c r="BR62" i="1"/>
  <c r="V69" i="1"/>
  <c r="AW62" i="1"/>
  <c r="BV62" i="1"/>
  <c r="BO62" i="1"/>
  <c r="BN220" i="1"/>
  <c r="BN218" i="1" s="1"/>
  <c r="BU62" i="1"/>
  <c r="BX62" i="1"/>
  <c r="BW132" i="1"/>
  <c r="BW133" i="1" s="1"/>
  <c r="BY62" i="1"/>
  <c r="BW206" i="1"/>
  <c r="BW208" i="1" s="1"/>
  <c r="BW60" i="1"/>
  <c r="BZ62" i="1"/>
  <c r="BW74" i="1"/>
  <c r="BN60" i="1"/>
  <c r="BN74" i="1"/>
  <c r="BN206" i="1"/>
  <c r="BN208" i="1" s="1"/>
  <c r="BN62" i="1"/>
  <c r="U69" i="1"/>
  <c r="BP62" i="1"/>
  <c r="AV206" i="1"/>
  <c r="AV208" i="1" s="1"/>
  <c r="AV60" i="1"/>
  <c r="AV74" i="1"/>
  <c r="AV62" i="1"/>
  <c r="Q69" i="1"/>
  <c r="AX62" i="1"/>
  <c r="BT206" i="1"/>
  <c r="BT208" i="1" s="1"/>
  <c r="BT60" i="1"/>
  <c r="BT74" i="1"/>
  <c r="BV77" i="1" s="1"/>
  <c r="BR97" i="1" s="1"/>
  <c r="AX60" i="1"/>
  <c r="AX74" i="1"/>
  <c r="AX206" i="1"/>
  <c r="AX208" i="1" s="1"/>
  <c r="AZ62" i="1"/>
  <c r="BB74" i="1"/>
  <c r="BB60" i="1"/>
  <c r="BB206" i="1"/>
  <c r="BB208" i="1" s="1"/>
  <c r="BB62" i="1"/>
  <c r="R69" i="1"/>
  <c r="BD62" i="1"/>
  <c r="BE62" i="1"/>
  <c r="AQ132" i="1"/>
  <c r="AQ133" i="1" s="1"/>
  <c r="AQ206" i="1"/>
  <c r="AQ208" i="1" s="1"/>
  <c r="AQ60" i="1"/>
  <c r="AQ74" i="1"/>
  <c r="AS62" i="1"/>
  <c r="AR62" i="1"/>
  <c r="AT62" i="1"/>
  <c r="P69" i="1"/>
  <c r="BG60" i="1"/>
  <c r="BG74" i="1"/>
  <c r="BG132" i="1"/>
  <c r="BG133" i="1" s="1"/>
  <c r="BJ62" i="1"/>
  <c r="BH62" i="1"/>
  <c r="BG206" i="1"/>
  <c r="BG208" i="1" s="1"/>
  <c r="T69" i="1"/>
  <c r="AN60" i="1"/>
  <c r="AP62" i="1"/>
  <c r="AN74" i="1"/>
  <c r="AN206" i="1"/>
  <c r="AN208" i="1" s="1"/>
  <c r="AN62" i="1"/>
  <c r="O69" i="1"/>
  <c r="AN220" i="1"/>
  <c r="AN218" i="1" s="1"/>
  <c r="BT220" i="1"/>
  <c r="BT218" i="1" s="1"/>
  <c r="BS100" i="1"/>
  <c r="BS142" i="1"/>
  <c r="BS63" i="1" s="1"/>
  <c r="BS220" i="1"/>
  <c r="BS218" i="1" s="1"/>
  <c r="BS62" i="1"/>
  <c r="BQ102" i="1"/>
  <c r="BQ103" i="1"/>
  <c r="BQ104" i="1"/>
  <c r="BA103" i="1"/>
  <c r="BA102" i="1"/>
  <c r="BA104" i="1"/>
  <c r="AW103" i="1"/>
  <c r="AW102" i="1"/>
  <c r="AW104" i="1"/>
  <c r="CS151" i="1"/>
  <c r="CT40" i="1"/>
  <c r="AD137" i="1"/>
  <c r="W67" i="1"/>
  <c r="BM93" i="1" l="1"/>
  <c r="BM95" i="1"/>
  <c r="BM94" i="1"/>
  <c r="BK104" i="1"/>
  <c r="BK102" i="1"/>
  <c r="BK103" i="1"/>
  <c r="BU102" i="1"/>
  <c r="BU104" i="1"/>
  <c r="BU103" i="1"/>
  <c r="AU95" i="1"/>
  <c r="AU94" i="1"/>
  <c r="AQ97" i="1"/>
  <c r="AU93" i="1"/>
  <c r="AY102" i="1"/>
  <c r="AY103" i="1"/>
  <c r="AY104" i="1"/>
  <c r="BL77" i="1"/>
  <c r="BK77" i="1"/>
  <c r="BR77" i="1"/>
  <c r="BR94" i="1" s="1"/>
  <c r="BT77" i="1"/>
  <c r="BS77" i="1"/>
  <c r="AS103" i="1"/>
  <c r="AS104" i="1"/>
  <c r="AS102" i="1"/>
  <c r="BI100" i="1"/>
  <c r="BI142" i="1"/>
  <c r="BI63" i="1" s="1"/>
  <c r="BI220" i="1"/>
  <c r="BI218" i="1" s="1"/>
  <c r="BI62" i="1"/>
  <c r="BJ220" i="1"/>
  <c r="BJ218" i="1" s="1"/>
  <c r="AI223" i="1"/>
  <c r="AI224" i="1" s="1"/>
  <c r="BM103" i="1"/>
  <c r="BM104" i="1"/>
  <c r="BM102" i="1"/>
  <c r="BU77" i="1"/>
  <c r="BU93" i="1" s="1"/>
  <c r="BE102" i="1"/>
  <c r="BE104" i="1"/>
  <c r="BE103" i="1"/>
  <c r="BC220" i="1"/>
  <c r="BC218" i="1" s="1"/>
  <c r="BC142" i="1"/>
  <c r="BC63" i="1" s="1"/>
  <c r="BC100" i="1"/>
  <c r="BC62" i="1"/>
  <c r="BD220" i="1"/>
  <c r="BD218" i="1" s="1"/>
  <c r="BB97" i="1"/>
  <c r="BF93" i="1"/>
  <c r="BF95" i="1"/>
  <c r="BF94" i="1"/>
  <c r="BO102" i="1"/>
  <c r="BO103" i="1"/>
  <c r="BO104" i="1"/>
  <c r="AL93" i="1"/>
  <c r="AL94" i="1"/>
  <c r="AL95" i="1"/>
  <c r="AU103" i="1"/>
  <c r="AU104" i="1"/>
  <c r="AU102" i="1"/>
  <c r="AO104" i="1"/>
  <c r="AO102" i="1"/>
  <c r="AO103" i="1"/>
  <c r="BA77" i="1"/>
  <c r="AZ77" i="1"/>
  <c r="AY77" i="1"/>
  <c r="AY94" i="1" s="1"/>
  <c r="AX77" i="1"/>
  <c r="AV77" i="1"/>
  <c r="AW77" i="1"/>
  <c r="AT77" i="1"/>
  <c r="AR77" i="1"/>
  <c r="AS77" i="1"/>
  <c r="BQ77" i="1"/>
  <c r="BO77" i="1"/>
  <c r="BN77" i="1"/>
  <c r="BP77" i="1"/>
  <c r="AQ77" i="1"/>
  <c r="AN77" i="1"/>
  <c r="AP77" i="1"/>
  <c r="AO77" i="1"/>
  <c r="BJ77" i="1"/>
  <c r="BF97" i="1" s="1"/>
  <c r="BG77" i="1"/>
  <c r="BH77" i="1"/>
  <c r="BI77" i="1"/>
  <c r="BE77" i="1"/>
  <c r="BE94" i="1" s="1"/>
  <c r="BD77" i="1"/>
  <c r="BB77" i="1"/>
  <c r="BC77" i="1"/>
  <c r="BZ77" i="1"/>
  <c r="BX77" i="1"/>
  <c r="BY77" i="1"/>
  <c r="BW77" i="1"/>
  <c r="BG220" i="1"/>
  <c r="BG218" i="1" s="1"/>
  <c r="BG142" i="1"/>
  <c r="BG63" i="1" s="1"/>
  <c r="BG100" i="1"/>
  <c r="BG62" i="1"/>
  <c r="BH220" i="1"/>
  <c r="BH218" i="1" s="1"/>
  <c r="AQ142" i="1"/>
  <c r="AQ63" i="1" s="1"/>
  <c r="AQ220" i="1"/>
  <c r="AQ218" i="1" s="1"/>
  <c r="AQ100" i="1"/>
  <c r="AR220" i="1"/>
  <c r="AR218" i="1" s="1"/>
  <c r="AQ62" i="1"/>
  <c r="BW220" i="1"/>
  <c r="BW218" i="1" s="1"/>
  <c r="BX220" i="1"/>
  <c r="BX218" i="1" s="1"/>
  <c r="BW142" i="1"/>
  <c r="BW63" i="1" s="1"/>
  <c r="BW62" i="1"/>
  <c r="BW100" i="1"/>
  <c r="BV95" i="1"/>
  <c r="BV94" i="1"/>
  <c r="BV93" i="1"/>
  <c r="BS102" i="1"/>
  <c r="BS103" i="1"/>
  <c r="BS104" i="1"/>
  <c r="AC40" i="1"/>
  <c r="CT207" i="1"/>
  <c r="CT145" i="1"/>
  <c r="CS216" i="1"/>
  <c r="CS214" i="1" s="1"/>
  <c r="W68" i="1"/>
  <c r="BL93" i="1" l="1"/>
  <c r="BL94" i="1"/>
  <c r="BN97" i="1"/>
  <c r="BR93" i="1"/>
  <c r="BR95" i="1"/>
  <c r="BV78" i="1"/>
  <c r="BP97" i="1"/>
  <c r="BT95" i="1"/>
  <c r="BT93" i="1"/>
  <c r="BT94" i="1"/>
  <c r="BS95" i="1"/>
  <c r="BO97" i="1"/>
  <c r="BS94" i="1"/>
  <c r="BS93" i="1"/>
  <c r="BH97" i="1"/>
  <c r="BL95" i="1"/>
  <c r="BK93" i="1"/>
  <c r="BK94" i="1"/>
  <c r="BK95" i="1"/>
  <c r="BG97" i="1"/>
  <c r="BT78" i="1"/>
  <c r="BV97" i="1"/>
  <c r="BZ78" i="1"/>
  <c r="BY78" i="1"/>
  <c r="BI103" i="1"/>
  <c r="BI104" i="1"/>
  <c r="BI102" i="1"/>
  <c r="BQ97" i="1"/>
  <c r="BU95" i="1"/>
  <c r="BU94" i="1"/>
  <c r="BW93" i="1"/>
  <c r="BW78" i="1"/>
  <c r="BC103" i="1"/>
  <c r="BC102" i="1"/>
  <c r="BC104" i="1"/>
  <c r="AW97" i="1"/>
  <c r="BE78" i="1"/>
  <c r="BQ94" i="1"/>
  <c r="BM97" i="1"/>
  <c r="AQ94" i="1"/>
  <c r="AQ93" i="1"/>
  <c r="BU78" i="1"/>
  <c r="BA95" i="1"/>
  <c r="AX78" i="1"/>
  <c r="CD78" i="1"/>
  <c r="BZ95" i="1"/>
  <c r="BX94" i="1"/>
  <c r="BT97" i="1"/>
  <c r="BX95" i="1"/>
  <c r="CB78" i="1"/>
  <c r="BX93" i="1"/>
  <c r="AN95" i="1"/>
  <c r="AR78" i="1"/>
  <c r="AN94" i="1"/>
  <c r="AN93" i="1"/>
  <c r="BO93" i="1"/>
  <c r="BK97" i="1"/>
  <c r="BO94" i="1"/>
  <c r="BO78" i="1"/>
  <c r="BO95" i="1"/>
  <c r="AP97" i="1"/>
  <c r="CA78" i="1"/>
  <c r="BS97" i="1"/>
  <c r="BW95" i="1"/>
  <c r="BE95" i="1"/>
  <c r="BI78" i="1"/>
  <c r="BE93" i="1"/>
  <c r="BJ94" i="1"/>
  <c r="BJ78" i="1"/>
  <c r="BJ93" i="1"/>
  <c r="AU78" i="1"/>
  <c r="AQ78" i="1"/>
  <c r="AQ95" i="1"/>
  <c r="BQ93" i="1"/>
  <c r="BQ78" i="1"/>
  <c r="BQ95" i="1"/>
  <c r="AW93" i="1"/>
  <c r="AW94" i="1"/>
  <c r="AS97" i="1"/>
  <c r="BA78" i="1"/>
  <c r="AW95" i="1"/>
  <c r="AV97" i="1"/>
  <c r="AZ95" i="1"/>
  <c r="AZ94" i="1"/>
  <c r="BD78" i="1"/>
  <c r="AZ93" i="1"/>
  <c r="AZ97" i="1"/>
  <c r="BD93" i="1"/>
  <c r="BH78" i="1"/>
  <c r="BD95" i="1"/>
  <c r="BD94" i="1"/>
  <c r="AY95" i="1"/>
  <c r="AU97" i="1"/>
  <c r="BC78" i="1"/>
  <c r="AY78" i="1"/>
  <c r="AT94" i="1"/>
  <c r="BJ95" i="1"/>
  <c r="BW94" i="1"/>
  <c r="AM97" i="1"/>
  <c r="BS78" i="1"/>
  <c r="BC95" i="1"/>
  <c r="AY97" i="1"/>
  <c r="BG78" i="1"/>
  <c r="BC94" i="1"/>
  <c r="BC93" i="1"/>
  <c r="BM78" i="1"/>
  <c r="BI95" i="1"/>
  <c r="BI93" i="1"/>
  <c r="BI94" i="1"/>
  <c r="BE97" i="1"/>
  <c r="AO95" i="1"/>
  <c r="AO93" i="1"/>
  <c r="AS78" i="1"/>
  <c r="AO94" i="1"/>
  <c r="BP78" i="1"/>
  <c r="BL97" i="1"/>
  <c r="BP94" i="1"/>
  <c r="BP95" i="1"/>
  <c r="BP93" i="1"/>
  <c r="AS94" i="1"/>
  <c r="AO97" i="1"/>
  <c r="AS95" i="1"/>
  <c r="AS93" i="1"/>
  <c r="AW78" i="1"/>
  <c r="AV94" i="1"/>
  <c r="AV93" i="1"/>
  <c r="AZ78" i="1"/>
  <c r="AV95" i="1"/>
  <c r="AR97" i="1"/>
  <c r="BA93" i="1"/>
  <c r="BA94" i="1"/>
  <c r="BC97" i="1"/>
  <c r="BG93" i="1"/>
  <c r="BG94" i="1"/>
  <c r="BG95" i="1"/>
  <c r="BK78" i="1"/>
  <c r="AT95" i="1"/>
  <c r="AT93" i="1"/>
  <c r="AY93" i="1"/>
  <c r="BZ94" i="1"/>
  <c r="CC98" i="1" s="1"/>
  <c r="BA97" i="1"/>
  <c r="BN78" i="1"/>
  <c r="BZ93" i="1"/>
  <c r="CC78" i="1"/>
  <c r="BY95" i="1"/>
  <c r="BU97" i="1"/>
  <c r="BY94" i="1"/>
  <c r="BY93" i="1"/>
  <c r="AX97" i="1"/>
  <c r="BF78" i="1"/>
  <c r="BB95" i="1"/>
  <c r="BB94" i="1"/>
  <c r="BB93" i="1"/>
  <c r="BH95" i="1"/>
  <c r="BH93" i="1"/>
  <c r="BD97" i="1"/>
  <c r="BL78" i="1"/>
  <c r="BH94" i="1"/>
  <c r="AT78" i="1"/>
  <c r="AP95" i="1"/>
  <c r="AP78" i="1"/>
  <c r="AL97" i="1"/>
  <c r="AP94" i="1"/>
  <c r="AP93" i="1"/>
  <c r="BR78" i="1"/>
  <c r="BJ97" i="1"/>
  <c r="BN95" i="1"/>
  <c r="BN93" i="1"/>
  <c r="BN94" i="1"/>
  <c r="AN97" i="1"/>
  <c r="AR95" i="1"/>
  <c r="AR94" i="1"/>
  <c r="AR93" i="1"/>
  <c r="AV78" i="1"/>
  <c r="AX94" i="1"/>
  <c r="BB78" i="1"/>
  <c r="AX93" i="1"/>
  <c r="AT97" i="1"/>
  <c r="AX95" i="1"/>
  <c r="BX78" i="1"/>
  <c r="BW102" i="1"/>
  <c r="BW104" i="1"/>
  <c r="BW103" i="1"/>
  <c r="BG102" i="1"/>
  <c r="BG104" i="1"/>
  <c r="BG103" i="1"/>
  <c r="AQ103" i="1"/>
  <c r="AQ104" i="1"/>
  <c r="AQ102" i="1"/>
  <c r="AC207" i="1"/>
  <c r="AC145" i="1"/>
  <c r="AC147" i="1" s="1"/>
  <c r="AC41" i="1" s="1"/>
  <c r="CT147" i="1"/>
  <c r="AD138" i="1"/>
  <c r="AD141" i="1" s="1"/>
  <c r="AD262" i="1" s="1"/>
  <c r="AR117" i="1"/>
  <c r="W69" i="1"/>
  <c r="CB98" i="1" l="1"/>
  <c r="BT98" i="1"/>
  <c r="BH98" i="1"/>
  <c r="BM98" i="1"/>
  <c r="BG98" i="1"/>
  <c r="BN98" i="1"/>
  <c r="BB98" i="1"/>
  <c r="BI98" i="1"/>
  <c r="AW98" i="1"/>
  <c r="BL98" i="1"/>
  <c r="BY98" i="1"/>
  <c r="AZ98" i="1"/>
  <c r="AR98" i="1"/>
  <c r="AV98" i="1"/>
  <c r="BJ98" i="1"/>
  <c r="BE98" i="1"/>
  <c r="AS98" i="1"/>
  <c r="AU98" i="1"/>
  <c r="BA98" i="1"/>
  <c r="AT98" i="1"/>
  <c r="AQ98" i="1"/>
  <c r="AP98" i="1"/>
  <c r="AO98" i="1"/>
  <c r="BP98" i="1"/>
  <c r="BO98" i="1"/>
  <c r="AY98" i="1"/>
  <c r="AX98" i="1"/>
  <c r="CA98" i="1"/>
  <c r="BR98" i="1"/>
  <c r="BC98" i="1"/>
  <c r="BZ98" i="1"/>
  <c r="BF98" i="1"/>
  <c r="BS98" i="1"/>
  <c r="BD98" i="1"/>
  <c r="BK98" i="1"/>
  <c r="BQ98" i="1"/>
  <c r="BX98" i="1"/>
  <c r="BW98" i="1"/>
  <c r="BV98" i="1"/>
  <c r="BU98" i="1"/>
  <c r="CU40" i="1"/>
  <c r="CT151" i="1"/>
  <c r="AD219" i="1"/>
  <c r="AB151" i="1"/>
  <c r="AR118" i="1"/>
  <c r="AR121" i="1" s="1"/>
  <c r="AR119" i="1"/>
  <c r="AR122" i="1" s="1"/>
  <c r="CA240" i="1"/>
  <c r="CB240" i="1"/>
  <c r="W206" i="1"/>
  <c r="W208" i="1" s="1"/>
  <c r="BU240" i="1"/>
  <c r="CT216" i="1" l="1"/>
  <c r="CT214" i="1" s="1"/>
  <c r="CU207" i="1"/>
  <c r="CU145" i="1"/>
  <c r="AB216" i="1"/>
  <c r="AB214" i="1" s="1"/>
  <c r="AE137" i="1"/>
  <c r="CA97" i="1"/>
  <c r="CU147" i="1" l="1"/>
  <c r="CF97" i="1"/>
  <c r="W97" i="1"/>
  <c r="W77" i="1"/>
  <c r="W76" i="1"/>
  <c r="CU151" i="1" l="1"/>
  <c r="CV40" i="1"/>
  <c r="AE138" i="1"/>
  <c r="AE141" i="1" s="1"/>
  <c r="AE262" i="1" s="1"/>
  <c r="W78" i="1"/>
  <c r="X78" i="1"/>
  <c r="X97" i="1"/>
  <c r="W95" i="1"/>
  <c r="V97" i="1"/>
  <c r="W93" i="1"/>
  <c r="W94" i="1"/>
  <c r="CV207" i="1" l="1"/>
  <c r="CV145" i="1"/>
  <c r="CU216" i="1"/>
  <c r="CU214" i="1" s="1"/>
  <c r="AE219" i="1"/>
  <c r="AC151" i="1"/>
  <c r="W133" i="1"/>
  <c r="CV147" i="1" l="1"/>
  <c r="W62" i="1"/>
  <c r="W100" i="1"/>
  <c r="AC216" i="1"/>
  <c r="AC214" i="1" s="1"/>
  <c r="X220" i="1"/>
  <c r="X218" i="1" s="1"/>
  <c r="W220" i="1"/>
  <c r="W218" i="1" s="1"/>
  <c r="W142" i="1"/>
  <c r="W63" i="1" s="1"/>
  <c r="W188" i="1"/>
  <c r="CW40" i="1" l="1"/>
  <c r="CV151" i="1"/>
  <c r="W103" i="1"/>
  <c r="W102" i="1"/>
  <c r="W104" i="1"/>
  <c r="CV216" i="1" l="1"/>
  <c r="CV214" i="1" s="1"/>
  <c r="CW207" i="1"/>
  <c r="CW145" i="1"/>
  <c r="CW147" i="1" l="1"/>
  <c r="CW151" i="1" l="1"/>
  <c r="CX40" i="1"/>
  <c r="AD40" i="1" l="1"/>
  <c r="CX207" i="1"/>
  <c r="CX145" i="1"/>
  <c r="CW216" i="1"/>
  <c r="CW214" i="1" s="1"/>
  <c r="AD207" i="1" l="1"/>
  <c r="AD145" i="1"/>
  <c r="AD147" i="1" s="1"/>
  <c r="CX147" i="1"/>
  <c r="AD151" i="1" l="1"/>
  <c r="AD216" i="1" s="1"/>
  <c r="AD214" i="1" s="1"/>
  <c r="AD41" i="1"/>
  <c r="CX151" i="1"/>
  <c r="CY40" i="1"/>
  <c r="CY207" i="1" l="1"/>
  <c r="CY145" i="1"/>
  <c r="CX216" i="1"/>
  <c r="CX214" i="1" s="1"/>
  <c r="CY147" i="1" l="1"/>
  <c r="W193" i="1"/>
  <c r="CY151" i="1" l="1"/>
  <c r="CZ40" i="1"/>
  <c r="W196" i="1"/>
  <c r="W169" i="1"/>
  <c r="X210" i="1" s="1"/>
  <c r="CZ207" i="1" l="1"/>
  <c r="CZ145" i="1"/>
  <c r="CY216" i="1"/>
  <c r="CY214" i="1" s="1"/>
  <c r="W198" i="1"/>
  <c r="W197" i="1" s="1"/>
  <c r="W210" i="1"/>
  <c r="W161" i="1"/>
  <c r="X209" i="1" s="1"/>
  <c r="X211" i="1" s="1"/>
  <c r="X212" i="1" s="1"/>
  <c r="X226" i="1" s="1"/>
  <c r="W192" i="1"/>
  <c r="CZ147" i="1" l="1"/>
  <c r="W195" i="1"/>
  <c r="W170" i="1"/>
  <c r="W209" i="1"/>
  <c r="W211" i="1" s="1"/>
  <c r="W212" i="1" s="1"/>
  <c r="CZ151" i="1" l="1"/>
  <c r="CZ216" i="1" s="1"/>
  <c r="CZ214" i="1" s="1"/>
  <c r="DA40" i="1"/>
  <c r="W194" i="1"/>
  <c r="W199" i="1"/>
  <c r="W223" i="1"/>
  <c r="W226" i="1"/>
  <c r="DA207" i="1" l="1"/>
  <c r="DA145" i="1"/>
  <c r="W202" i="1"/>
  <c r="W203" i="1" s="1"/>
  <c r="X202" i="1"/>
  <c r="X203" i="1" s="1"/>
  <c r="DA147" i="1" l="1"/>
  <c r="W174" i="1"/>
  <c r="X222" i="1" l="1"/>
  <c r="X223" i="1" s="1"/>
  <c r="X224" i="1" s="1"/>
  <c r="W259" i="1"/>
  <c r="W261" i="1"/>
  <c r="W257" i="1"/>
  <c r="DA151" i="1"/>
  <c r="DA216" i="1" s="1"/>
  <c r="DA214" i="1" s="1"/>
  <c r="DB40" i="1"/>
  <c r="W181" i="1"/>
  <c r="W117" i="1" s="1"/>
  <c r="W178" i="1"/>
  <c r="W224" i="1"/>
  <c r="AE40" i="1" l="1"/>
  <c r="AE207" i="1" s="1"/>
  <c r="DB207" i="1"/>
  <c r="DB145" i="1"/>
  <c r="W119" i="1"/>
  <c r="W122" i="1" s="1"/>
  <c r="W118" i="1"/>
  <c r="W121" i="1" s="1"/>
  <c r="W179" i="1"/>
  <c r="DB147" i="1" l="1"/>
  <c r="DB151" i="1" s="1"/>
  <c r="DB216" i="1" s="1"/>
  <c r="DB214" i="1" s="1"/>
  <c r="AE145" i="1"/>
  <c r="AE147" i="1" s="1"/>
  <c r="C113" i="2"/>
  <c r="C111" i="2"/>
  <c r="C112" i="2"/>
  <c r="AE151" i="1" l="1"/>
  <c r="AE216" i="1" s="1"/>
  <c r="AE214" i="1" s="1"/>
  <c r="AE41" i="1"/>
  <c r="B81" i="1"/>
  <c r="B82" i="1"/>
  <c r="AK192" i="1" l="1"/>
  <c r="AK157" i="1" s="1"/>
  <c r="AM157" i="1" l="1"/>
  <c r="AO157" i="1" l="1"/>
  <c r="AQ157" i="1" l="1"/>
  <c r="AS157" i="1" l="1"/>
  <c r="AU157" i="1" l="1"/>
  <c r="AW157" i="1" l="1"/>
  <c r="AY157" i="1" l="1"/>
  <c r="BA157" i="1" l="1"/>
  <c r="BC157" i="1" l="1"/>
  <c r="BE157" i="1" l="1"/>
  <c r="BG157" i="1" l="1"/>
  <c r="BI157" i="1" l="1"/>
  <c r="BK157" i="1" l="1"/>
  <c r="BM157" i="1" l="1"/>
  <c r="BO157" i="1" l="1"/>
  <c r="BQ157" i="1" l="1"/>
  <c r="BS157" i="1" l="1"/>
  <c r="BU157" i="1" l="1"/>
  <c r="BW157" i="1" l="1"/>
  <c r="BY157" i="1" l="1"/>
  <c r="AK158" i="1" l="1"/>
  <c r="AK161" i="1" s="1"/>
  <c r="AL209" i="1" l="1"/>
  <c r="AK209" i="1"/>
  <c r="AK195" i="1"/>
  <c r="AM158" i="1"/>
  <c r="AM161" i="1" s="1"/>
  <c r="AM195" i="1" l="1"/>
  <c r="AM194" i="1" s="1"/>
  <c r="AN209" i="1"/>
  <c r="AM209" i="1"/>
  <c r="AJ194" i="1"/>
  <c r="AK194" i="1"/>
  <c r="AO158" i="1" l="1"/>
  <c r="AO161" i="1" s="1"/>
  <c r="AP209" i="1" l="1"/>
  <c r="AO195" i="1"/>
  <c r="AO194" i="1" s="1"/>
  <c r="AO209" i="1"/>
  <c r="AQ158" i="1" l="1"/>
  <c r="AQ161" i="1" s="1"/>
  <c r="AQ195" i="1" l="1"/>
  <c r="AQ194" i="1" s="1"/>
  <c r="AR209" i="1"/>
  <c r="AQ209" i="1"/>
  <c r="AS158" i="1" l="1"/>
  <c r="AS161" i="1" s="1"/>
  <c r="AT209" i="1" l="1"/>
  <c r="AS195" i="1"/>
  <c r="AS194" i="1" s="1"/>
  <c r="AS209" i="1"/>
  <c r="AU158" i="1" l="1"/>
  <c r="AU161" i="1" s="1"/>
  <c r="AU195" i="1" l="1"/>
  <c r="AU194" i="1" s="1"/>
  <c r="AV209" i="1"/>
  <c r="AU209" i="1"/>
  <c r="AW158" i="1" l="1"/>
  <c r="AW161" i="1" s="1"/>
  <c r="AW195" i="1" l="1"/>
  <c r="AW194" i="1" s="1"/>
  <c r="AX209" i="1"/>
  <c r="AW209" i="1"/>
  <c r="AY158" i="1" l="1"/>
  <c r="AY161" i="1" s="1"/>
  <c r="AY195" i="1" l="1"/>
  <c r="AY194" i="1" s="1"/>
  <c r="AZ209" i="1"/>
  <c r="AY209" i="1"/>
  <c r="BA158" i="1" l="1"/>
  <c r="BA161" i="1" s="1"/>
  <c r="BB209" i="1" l="1"/>
  <c r="BA195" i="1"/>
  <c r="BA194" i="1" s="1"/>
  <c r="BA209" i="1"/>
  <c r="BC158" i="1" l="1"/>
  <c r="BC161" i="1" s="1"/>
  <c r="BD209" i="1" l="1"/>
  <c r="BC195" i="1"/>
  <c r="BC194" i="1" s="1"/>
  <c r="BC209" i="1"/>
  <c r="BE158" i="1" l="1"/>
  <c r="BE161" i="1" s="1"/>
  <c r="BF209" i="1" l="1"/>
  <c r="BE195" i="1"/>
  <c r="BE194" i="1" s="1"/>
  <c r="BE209" i="1"/>
  <c r="BG158" i="1" l="1"/>
  <c r="BG161" i="1" s="1"/>
  <c r="BG195" i="1" l="1"/>
  <c r="BG194" i="1" s="1"/>
  <c r="BH209" i="1"/>
  <c r="BG209" i="1"/>
  <c r="BI158" i="1" l="1"/>
  <c r="BI161" i="1" s="1"/>
  <c r="BJ209" i="1" l="1"/>
  <c r="BI195" i="1"/>
  <c r="BI194" i="1" s="1"/>
  <c r="BI209" i="1"/>
  <c r="BK158" i="1" l="1"/>
  <c r="BK161" i="1" s="1"/>
  <c r="BL209" i="1" l="1"/>
  <c r="BK195" i="1"/>
  <c r="BK194" i="1" s="1"/>
  <c r="BK209" i="1"/>
  <c r="BM158" i="1" l="1"/>
  <c r="BM161" i="1" s="1"/>
  <c r="BM195" i="1" l="1"/>
  <c r="BM194" i="1" s="1"/>
  <c r="BN209" i="1"/>
  <c r="BM209" i="1"/>
  <c r="BO158" i="1" l="1"/>
  <c r="BO161" i="1" s="1"/>
  <c r="BO195" i="1" l="1"/>
  <c r="BO194" i="1" s="1"/>
  <c r="BP209" i="1"/>
  <c r="BO209" i="1"/>
  <c r="BQ158" i="1" l="1"/>
  <c r="BQ161" i="1" s="1"/>
  <c r="BR209" i="1" l="1"/>
  <c r="BQ195" i="1"/>
  <c r="BQ194" i="1" s="1"/>
  <c r="BQ209" i="1"/>
  <c r="BS158" i="1" l="1"/>
  <c r="BS161" i="1" s="1"/>
  <c r="BT209" i="1" l="1"/>
  <c r="BS195" i="1"/>
  <c r="BS194" i="1" s="1"/>
  <c r="BS209" i="1"/>
  <c r="BU158" i="1" l="1"/>
  <c r="BU161" i="1" s="1"/>
  <c r="BU195" i="1" l="1"/>
  <c r="BU194" i="1" s="1"/>
  <c r="BV209" i="1"/>
  <c r="BU209" i="1"/>
  <c r="BW158" i="1" l="1"/>
  <c r="BW161" i="1" s="1"/>
  <c r="BW195" i="1" l="1"/>
  <c r="BW194" i="1" s="1"/>
  <c r="BX209" i="1"/>
  <c r="BW209" i="1"/>
  <c r="BY158" i="1" l="1"/>
  <c r="BY161" i="1" s="1"/>
  <c r="BZ209" i="1" l="1"/>
  <c r="BY195" i="1"/>
  <c r="BY194" i="1" s="1"/>
  <c r="BY209" i="1"/>
  <c r="AK196" i="1" l="1"/>
  <c r="AK166" i="1" s="1"/>
  <c r="AK169" i="1" s="1"/>
  <c r="AK170" i="1" l="1"/>
  <c r="AK198" i="1"/>
  <c r="AL210" i="1"/>
  <c r="AL211" i="1" s="1"/>
  <c r="AL212" i="1" s="1"/>
  <c r="AL226" i="1" s="1"/>
  <c r="AK210" i="1"/>
  <c r="AK211" i="1" s="1"/>
  <c r="AK212" i="1" s="1"/>
  <c r="AM166" i="1"/>
  <c r="AM169" i="1" s="1"/>
  <c r="AK226" i="1" l="1"/>
  <c r="AK223" i="1"/>
  <c r="AK173" i="1" s="1"/>
  <c r="AK174" i="1" s="1"/>
  <c r="AK178" i="1" s="1"/>
  <c r="AK179" i="1" s="1"/>
  <c r="AN210" i="1"/>
  <c r="AN211" i="1" s="1"/>
  <c r="AN212" i="1" s="1"/>
  <c r="AN226" i="1" s="1"/>
  <c r="AM198" i="1"/>
  <c r="AM197" i="1" s="1"/>
  <c r="AM210" i="1"/>
  <c r="AM211" i="1" s="1"/>
  <c r="AM212" i="1" s="1"/>
  <c r="AM170" i="1"/>
  <c r="AJ197" i="1"/>
  <c r="AJ199" i="1"/>
  <c r="AN202" i="1" s="1"/>
  <c r="AK197" i="1"/>
  <c r="AK199" i="1"/>
  <c r="AO166" i="1"/>
  <c r="AO169" i="1" s="1"/>
  <c r="AM199" i="1" l="1"/>
  <c r="AO198" i="1"/>
  <c r="AO197" i="1" s="1"/>
  <c r="AP210" i="1"/>
  <c r="AP211" i="1" s="1"/>
  <c r="AP212" i="1" s="1"/>
  <c r="AP226" i="1" s="1"/>
  <c r="AO210" i="1"/>
  <c r="AO211" i="1" s="1"/>
  <c r="AO212" i="1" s="1"/>
  <c r="AM226" i="1"/>
  <c r="AM223" i="1"/>
  <c r="AO170" i="1"/>
  <c r="AL222" i="1" l="1"/>
  <c r="AL223" i="1" s="1"/>
  <c r="AL224" i="1" s="1"/>
  <c r="AK224" i="1"/>
  <c r="AO199" i="1"/>
  <c r="AO202" i="1" s="1"/>
  <c r="AO226" i="1"/>
  <c r="AO223" i="1"/>
  <c r="AQ166" i="1"/>
  <c r="AQ169" i="1" s="1"/>
  <c r="AK181" i="1"/>
  <c r="AL45" i="1" s="1"/>
  <c r="AM173" i="1"/>
  <c r="AM174" i="1" s="1"/>
  <c r="AM178" i="1" s="1"/>
  <c r="AN222" i="1" l="1"/>
  <c r="AN223" i="1" s="1"/>
  <c r="AN224" i="1" s="1"/>
  <c r="AM261" i="1"/>
  <c r="AM259" i="1"/>
  <c r="AM257" i="1"/>
  <c r="AQ198" i="1"/>
  <c r="AQ197" i="1" s="1"/>
  <c r="AR210" i="1"/>
  <c r="AR211" i="1" s="1"/>
  <c r="AR212" i="1" s="1"/>
  <c r="AR226" i="1" s="1"/>
  <c r="AQ210" i="1"/>
  <c r="AQ211" i="1" s="1"/>
  <c r="AQ212" i="1" s="1"/>
  <c r="AM224" i="1"/>
  <c r="AQ170" i="1"/>
  <c r="AO173" i="1"/>
  <c r="AO174" i="1" s="1"/>
  <c r="AM181" i="1"/>
  <c r="AO259" i="1" l="1"/>
  <c r="AO261" i="1"/>
  <c r="AO257" i="1"/>
  <c r="AM117" i="1"/>
  <c r="AM118" i="1" s="1"/>
  <c r="AM121" i="1" s="1"/>
  <c r="AN45" i="1"/>
  <c r="AQ199" i="1"/>
  <c r="AQ202" i="1" s="1"/>
  <c r="AQ226" i="1"/>
  <c r="AQ223" i="1"/>
  <c r="AP222" i="1"/>
  <c r="AP223" i="1" s="1"/>
  <c r="AP224" i="1" s="1"/>
  <c r="AO224" i="1"/>
  <c r="AS166" i="1"/>
  <c r="AS169" i="1" s="1"/>
  <c r="AO181" i="1"/>
  <c r="AO178" i="1"/>
  <c r="AM179" i="1"/>
  <c r="AM119" i="1" l="1"/>
  <c r="AM122" i="1" s="1"/>
  <c r="AO117" i="1"/>
  <c r="AO119" i="1" s="1"/>
  <c r="AO122" i="1" s="1"/>
  <c r="AP45" i="1"/>
  <c r="AS198" i="1"/>
  <c r="AS197" i="1" s="1"/>
  <c r="AT210" i="1"/>
  <c r="AT211" i="1" s="1"/>
  <c r="AT212" i="1" s="1"/>
  <c r="AT226" i="1" s="1"/>
  <c r="AS210" i="1"/>
  <c r="AS211" i="1" s="1"/>
  <c r="AS212" i="1" s="1"/>
  <c r="AO179" i="1"/>
  <c r="AS170" i="1"/>
  <c r="AQ173" i="1"/>
  <c r="AQ174" i="1" s="1"/>
  <c r="AQ259" i="1" l="1"/>
  <c r="AQ261" i="1"/>
  <c r="AQ257" i="1"/>
  <c r="AO118" i="1"/>
  <c r="AO121" i="1" s="1"/>
  <c r="AS199" i="1"/>
  <c r="AS202" i="1" s="1"/>
  <c r="AS226" i="1"/>
  <c r="AS223" i="1"/>
  <c r="AR222" i="1"/>
  <c r="AR223" i="1" s="1"/>
  <c r="AR224" i="1" s="1"/>
  <c r="AQ224" i="1"/>
  <c r="AQ178" i="1"/>
  <c r="AQ181" i="1"/>
  <c r="AU166" i="1"/>
  <c r="AU169" i="1" s="1"/>
  <c r="AQ117" i="1" l="1"/>
  <c r="AQ118" i="1" s="1"/>
  <c r="AQ121" i="1" s="1"/>
  <c r="AR45" i="1"/>
  <c r="AU198" i="1"/>
  <c r="AU197" i="1" s="1"/>
  <c r="AV210" i="1"/>
  <c r="AV211" i="1" s="1"/>
  <c r="AV212" i="1" s="1"/>
  <c r="AV226" i="1" s="1"/>
  <c r="AU210" i="1"/>
  <c r="AU211" i="1" s="1"/>
  <c r="AU212" i="1" s="1"/>
  <c r="AU170" i="1"/>
  <c r="AS173" i="1"/>
  <c r="AS174" i="1" s="1"/>
  <c r="AQ179" i="1"/>
  <c r="AS261" i="1" l="1"/>
  <c r="AS259" i="1"/>
  <c r="AS257" i="1"/>
  <c r="AQ119" i="1"/>
  <c r="AQ122" i="1" s="1"/>
  <c r="AU199" i="1"/>
  <c r="AU202" i="1" s="1"/>
  <c r="AU226" i="1"/>
  <c r="AU223" i="1"/>
  <c r="AT222" i="1"/>
  <c r="AT223" i="1" s="1"/>
  <c r="AT224" i="1" s="1"/>
  <c r="AS224" i="1"/>
  <c r="AS181" i="1"/>
  <c r="AS178" i="1"/>
  <c r="AW166" i="1"/>
  <c r="AW169" i="1" s="1"/>
  <c r="AS117" i="1" l="1"/>
  <c r="AS118" i="1" s="1"/>
  <c r="AS121" i="1" s="1"/>
  <c r="AT45" i="1"/>
  <c r="AW198" i="1"/>
  <c r="AW199" i="1" s="1"/>
  <c r="AW202" i="1" s="1"/>
  <c r="AX210" i="1"/>
  <c r="AX211" i="1" s="1"/>
  <c r="AX212" i="1" s="1"/>
  <c r="AX226" i="1" s="1"/>
  <c r="AW210" i="1"/>
  <c r="AW211" i="1" s="1"/>
  <c r="AW212" i="1" s="1"/>
  <c r="AU173" i="1"/>
  <c r="AU174" i="1" s="1"/>
  <c r="AS179" i="1"/>
  <c r="AW170" i="1"/>
  <c r="AU261" i="1" l="1"/>
  <c r="AU259" i="1"/>
  <c r="AU257" i="1"/>
  <c r="AS119" i="1"/>
  <c r="AS122" i="1" s="1"/>
  <c r="AW197" i="1"/>
  <c r="AW226" i="1"/>
  <c r="AW223" i="1"/>
  <c r="AV222" i="1"/>
  <c r="AV223" i="1" s="1"/>
  <c r="AV224" i="1" s="1"/>
  <c r="AU224" i="1"/>
  <c r="AU181" i="1"/>
  <c r="AU178" i="1"/>
  <c r="AY166" i="1"/>
  <c r="AY169" i="1" s="1"/>
  <c r="AU117" i="1" l="1"/>
  <c r="AU119" i="1" s="1"/>
  <c r="AU122" i="1" s="1"/>
  <c r="AV45" i="1"/>
  <c r="AY198" i="1"/>
  <c r="AY197" i="1" s="1"/>
  <c r="AZ210" i="1"/>
  <c r="AZ211" i="1" s="1"/>
  <c r="AZ212" i="1" s="1"/>
  <c r="AZ226" i="1" s="1"/>
  <c r="AY210" i="1"/>
  <c r="AY211" i="1" s="1"/>
  <c r="AY212" i="1" s="1"/>
  <c r="AW173" i="1"/>
  <c r="AW174" i="1" s="1"/>
  <c r="AY170" i="1"/>
  <c r="AU179" i="1"/>
  <c r="AW259" i="1" l="1"/>
  <c r="AW261" i="1"/>
  <c r="AW257" i="1"/>
  <c r="AU118" i="1"/>
  <c r="AU121" i="1" s="1"/>
  <c r="AY199" i="1"/>
  <c r="AY202" i="1" s="1"/>
  <c r="AY226" i="1"/>
  <c r="AY223" i="1"/>
  <c r="AX222" i="1"/>
  <c r="AX223" i="1" s="1"/>
  <c r="AX224" i="1" s="1"/>
  <c r="AW224" i="1"/>
  <c r="BA166" i="1"/>
  <c r="BA169" i="1" s="1"/>
  <c r="AW178" i="1"/>
  <c r="AW181" i="1"/>
  <c r="AW117" i="1" l="1"/>
  <c r="AW119" i="1" s="1"/>
  <c r="AW122" i="1" s="1"/>
  <c r="AX45" i="1"/>
  <c r="BB210" i="1"/>
  <c r="BB211" i="1" s="1"/>
  <c r="BB212" i="1" s="1"/>
  <c r="BB226" i="1" s="1"/>
  <c r="BA198" i="1"/>
  <c r="BA197" i="1" s="1"/>
  <c r="BA210" i="1"/>
  <c r="BA211" i="1" s="1"/>
  <c r="BA212" i="1" s="1"/>
  <c r="AW179" i="1"/>
  <c r="BA170" i="1"/>
  <c r="AY173" i="1"/>
  <c r="AY174" i="1" s="1"/>
  <c r="AY259" i="1" l="1"/>
  <c r="AY261" i="1"/>
  <c r="AY257" i="1"/>
  <c r="AW118" i="1"/>
  <c r="AW121" i="1" s="1"/>
  <c r="BA199" i="1"/>
  <c r="BA202" i="1" s="1"/>
  <c r="BA226" i="1"/>
  <c r="BA223" i="1"/>
  <c r="AZ222" i="1"/>
  <c r="AZ223" i="1" s="1"/>
  <c r="AZ224" i="1" s="1"/>
  <c r="AY224" i="1"/>
  <c r="AY178" i="1"/>
  <c r="AY181" i="1"/>
  <c r="BC166" i="1"/>
  <c r="BC169" i="1" s="1"/>
  <c r="AY117" i="1" l="1"/>
  <c r="AY119" i="1" s="1"/>
  <c r="AY122" i="1" s="1"/>
  <c r="AZ45" i="1"/>
  <c r="BC198" i="1"/>
  <c r="BC197" i="1" s="1"/>
  <c r="BD210" i="1"/>
  <c r="BD211" i="1" s="1"/>
  <c r="BD212" i="1" s="1"/>
  <c r="BD226" i="1" s="1"/>
  <c r="BC210" i="1"/>
  <c r="BC211" i="1" s="1"/>
  <c r="BC212" i="1" s="1"/>
  <c r="AY179" i="1"/>
  <c r="BC170" i="1"/>
  <c r="BA173" i="1"/>
  <c r="BA174" i="1" s="1"/>
  <c r="BA261" i="1" l="1"/>
  <c r="BA259" i="1"/>
  <c r="BA257" i="1"/>
  <c r="AY118" i="1"/>
  <c r="AY121" i="1" s="1"/>
  <c r="BC199" i="1"/>
  <c r="BC202" i="1" s="1"/>
  <c r="BC226" i="1"/>
  <c r="BC223" i="1"/>
  <c r="BB222" i="1"/>
  <c r="BB223" i="1" s="1"/>
  <c r="BB224" i="1" s="1"/>
  <c r="BA224" i="1"/>
  <c r="BE166" i="1"/>
  <c r="BE169" i="1" s="1"/>
  <c r="BA181" i="1"/>
  <c r="BA178" i="1"/>
  <c r="BA117" i="1" l="1"/>
  <c r="BA118" i="1" s="1"/>
  <c r="BA121" i="1" s="1"/>
  <c r="BB45" i="1"/>
  <c r="BE198" i="1"/>
  <c r="BE197" i="1" s="1"/>
  <c r="BF210" i="1"/>
  <c r="BF211" i="1" s="1"/>
  <c r="BF212" i="1" s="1"/>
  <c r="BF226" i="1" s="1"/>
  <c r="BE210" i="1"/>
  <c r="BE211" i="1" s="1"/>
  <c r="BE212" i="1" s="1"/>
  <c r="BC173" i="1"/>
  <c r="BC174" i="1" s="1"/>
  <c r="BA179" i="1"/>
  <c r="BE170" i="1"/>
  <c r="BC261" i="1" l="1"/>
  <c r="BC259" i="1"/>
  <c r="BC257" i="1"/>
  <c r="BA119" i="1"/>
  <c r="BA122" i="1" s="1"/>
  <c r="BE199" i="1"/>
  <c r="BE202" i="1" s="1"/>
  <c r="BE226" i="1"/>
  <c r="BE223" i="1"/>
  <c r="BD222" i="1"/>
  <c r="BD223" i="1" s="1"/>
  <c r="BD224" i="1" s="1"/>
  <c r="BC224" i="1"/>
  <c r="BG166" i="1"/>
  <c r="BG169" i="1" s="1"/>
  <c r="BC178" i="1"/>
  <c r="BC181" i="1"/>
  <c r="BC117" i="1" l="1"/>
  <c r="BC118" i="1" s="1"/>
  <c r="BC121" i="1" s="1"/>
  <c r="BD45" i="1"/>
  <c r="BG198" i="1"/>
  <c r="BG199" i="1" s="1"/>
  <c r="BG202" i="1" s="1"/>
  <c r="BH210" i="1"/>
  <c r="BH211" i="1" s="1"/>
  <c r="BH212" i="1" s="1"/>
  <c r="BH226" i="1" s="1"/>
  <c r="BG210" i="1"/>
  <c r="BG211" i="1" s="1"/>
  <c r="BG212" i="1" s="1"/>
  <c r="BC179" i="1"/>
  <c r="BE173" i="1"/>
  <c r="BE174" i="1" s="1"/>
  <c r="BG170" i="1"/>
  <c r="BE259" i="1" l="1"/>
  <c r="BE261" i="1"/>
  <c r="BE257" i="1"/>
  <c r="BC119" i="1"/>
  <c r="BC122" i="1" s="1"/>
  <c r="BG197" i="1"/>
  <c r="BG226" i="1"/>
  <c r="BG223" i="1"/>
  <c r="BF222" i="1"/>
  <c r="BF223" i="1" s="1"/>
  <c r="BF224" i="1" s="1"/>
  <c r="BE224" i="1"/>
  <c r="BE181" i="1"/>
  <c r="BE178" i="1"/>
  <c r="BI166" i="1"/>
  <c r="BI169" i="1" s="1"/>
  <c r="BE117" i="1" l="1"/>
  <c r="BE118" i="1" s="1"/>
  <c r="BE121" i="1" s="1"/>
  <c r="BF45" i="1"/>
  <c r="BI198" i="1"/>
  <c r="BI197" i="1" s="1"/>
  <c r="BJ210" i="1"/>
  <c r="BJ211" i="1" s="1"/>
  <c r="BJ212" i="1" s="1"/>
  <c r="BJ226" i="1" s="1"/>
  <c r="BI210" i="1"/>
  <c r="BI211" i="1" s="1"/>
  <c r="BI212" i="1" s="1"/>
  <c r="BE179" i="1"/>
  <c r="BG173" i="1"/>
  <c r="BG174" i="1" s="1"/>
  <c r="BI170" i="1"/>
  <c r="BG259" i="1" l="1"/>
  <c r="BG261" i="1"/>
  <c r="BG257" i="1"/>
  <c r="BE119" i="1"/>
  <c r="BE122" i="1" s="1"/>
  <c r="BI199" i="1"/>
  <c r="BI202" i="1" s="1"/>
  <c r="BI226" i="1"/>
  <c r="BI223" i="1"/>
  <c r="BH222" i="1"/>
  <c r="BH223" i="1" s="1"/>
  <c r="BH224" i="1" s="1"/>
  <c r="BG224" i="1"/>
  <c r="BG178" i="1"/>
  <c r="BG181" i="1"/>
  <c r="BK166" i="1"/>
  <c r="BK169" i="1" s="1"/>
  <c r="BG117" i="1" l="1"/>
  <c r="BG118" i="1" s="1"/>
  <c r="BG121" i="1" s="1"/>
  <c r="BH45" i="1"/>
  <c r="BL210" i="1"/>
  <c r="BL211" i="1" s="1"/>
  <c r="BL212" i="1" s="1"/>
  <c r="BL226" i="1" s="1"/>
  <c r="BK198" i="1"/>
  <c r="BK197" i="1" s="1"/>
  <c r="BK210" i="1"/>
  <c r="BK211" i="1" s="1"/>
  <c r="BK212" i="1" s="1"/>
  <c r="BK170" i="1"/>
  <c r="BG179" i="1"/>
  <c r="BI173" i="1"/>
  <c r="BI174" i="1" s="1"/>
  <c r="BI261" i="1" l="1"/>
  <c r="BI259" i="1"/>
  <c r="BI257" i="1"/>
  <c r="BG119" i="1"/>
  <c r="BG122" i="1" s="1"/>
  <c r="BK199" i="1"/>
  <c r="BK202" i="1" s="1"/>
  <c r="BK226" i="1"/>
  <c r="BK223" i="1"/>
  <c r="BJ222" i="1"/>
  <c r="BJ223" i="1" s="1"/>
  <c r="BJ224" i="1" s="1"/>
  <c r="BI224" i="1"/>
  <c r="BI181" i="1"/>
  <c r="BI178" i="1"/>
  <c r="BM166" i="1"/>
  <c r="BM169" i="1" s="1"/>
  <c r="BI117" i="1" l="1"/>
  <c r="BI119" i="1" s="1"/>
  <c r="BI122" i="1" s="1"/>
  <c r="BJ45" i="1"/>
  <c r="BM198" i="1"/>
  <c r="BM197" i="1" s="1"/>
  <c r="BN210" i="1"/>
  <c r="BN211" i="1" s="1"/>
  <c r="BN212" i="1" s="1"/>
  <c r="BN226" i="1" s="1"/>
  <c r="BM210" i="1"/>
  <c r="BM211" i="1" s="1"/>
  <c r="BM212" i="1" s="1"/>
  <c r="BM170" i="1"/>
  <c r="BI179" i="1"/>
  <c r="BK173" i="1"/>
  <c r="BK174" i="1" s="1"/>
  <c r="BK261" i="1" l="1"/>
  <c r="BK259" i="1"/>
  <c r="BK257" i="1"/>
  <c r="BI118" i="1"/>
  <c r="BI121" i="1" s="1"/>
  <c r="BM199" i="1"/>
  <c r="BM202" i="1" s="1"/>
  <c r="BM226" i="1"/>
  <c r="BM223" i="1"/>
  <c r="BL222" i="1"/>
  <c r="BL223" i="1" s="1"/>
  <c r="BL224" i="1" s="1"/>
  <c r="BK224" i="1"/>
  <c r="BK181" i="1"/>
  <c r="BK178" i="1"/>
  <c r="BO166" i="1"/>
  <c r="BO169" i="1" s="1"/>
  <c r="BK117" i="1" l="1"/>
  <c r="BK119" i="1" s="1"/>
  <c r="BK122" i="1" s="1"/>
  <c r="BL45" i="1"/>
  <c r="BO198" i="1"/>
  <c r="BO197" i="1" s="1"/>
  <c r="BP210" i="1"/>
  <c r="BP211" i="1" s="1"/>
  <c r="BP212" i="1" s="1"/>
  <c r="BP226" i="1" s="1"/>
  <c r="BO210" i="1"/>
  <c r="BO211" i="1" s="1"/>
  <c r="BO212" i="1" s="1"/>
  <c r="BM173" i="1"/>
  <c r="BM174" i="1" s="1"/>
  <c r="BK179" i="1"/>
  <c r="BO170" i="1"/>
  <c r="BM259" i="1" l="1"/>
  <c r="BM261" i="1"/>
  <c r="BM257" i="1"/>
  <c r="BK118" i="1"/>
  <c r="BK121" i="1" s="1"/>
  <c r="BO199" i="1"/>
  <c r="BO202" i="1" s="1"/>
  <c r="BO226" i="1"/>
  <c r="BO223" i="1"/>
  <c r="BN222" i="1"/>
  <c r="BN223" i="1" s="1"/>
  <c r="BN224" i="1" s="1"/>
  <c r="BM224" i="1"/>
  <c r="BM178" i="1"/>
  <c r="BM181" i="1"/>
  <c r="BQ166" i="1"/>
  <c r="BQ169" i="1" s="1"/>
  <c r="BM117" i="1" l="1"/>
  <c r="BM118" i="1" s="1"/>
  <c r="BM121" i="1" s="1"/>
  <c r="BN45" i="1"/>
  <c r="BQ198" i="1"/>
  <c r="BQ197" i="1" s="1"/>
  <c r="BR210" i="1"/>
  <c r="BR211" i="1" s="1"/>
  <c r="BR212" i="1" s="1"/>
  <c r="BR226" i="1" s="1"/>
  <c r="BQ210" i="1"/>
  <c r="BQ211" i="1" s="1"/>
  <c r="BQ212" i="1" s="1"/>
  <c r="BO173" i="1"/>
  <c r="BO174" i="1" s="1"/>
  <c r="BQ170" i="1"/>
  <c r="BM179" i="1"/>
  <c r="BO259" i="1" l="1"/>
  <c r="BO261" i="1"/>
  <c r="BO257" i="1"/>
  <c r="BM119" i="1"/>
  <c r="BM122" i="1" s="1"/>
  <c r="BQ199" i="1"/>
  <c r="BQ202" i="1" s="1"/>
  <c r="BQ226" i="1"/>
  <c r="BQ223" i="1"/>
  <c r="BP222" i="1"/>
  <c r="BP223" i="1" s="1"/>
  <c r="BP224" i="1" s="1"/>
  <c r="BO224" i="1"/>
  <c r="BS166" i="1"/>
  <c r="BS169" i="1" s="1"/>
  <c r="BO178" i="1"/>
  <c r="BO181" i="1"/>
  <c r="BO117" i="1" l="1"/>
  <c r="BO118" i="1" s="1"/>
  <c r="BO121" i="1" s="1"/>
  <c r="BP45" i="1"/>
  <c r="BS198" i="1"/>
  <c r="BS197" i="1" s="1"/>
  <c r="BT210" i="1"/>
  <c r="BT211" i="1" s="1"/>
  <c r="BT212" i="1" s="1"/>
  <c r="BT226" i="1" s="1"/>
  <c r="BS210" i="1"/>
  <c r="BS211" i="1" s="1"/>
  <c r="BS212" i="1" s="1"/>
  <c r="BO179" i="1"/>
  <c r="BS170" i="1"/>
  <c r="BQ173" i="1"/>
  <c r="BQ174" i="1" s="1"/>
  <c r="BQ261" i="1" l="1"/>
  <c r="BQ259" i="1"/>
  <c r="BQ257" i="1"/>
  <c r="BO119" i="1"/>
  <c r="BO122" i="1" s="1"/>
  <c r="BS199" i="1"/>
  <c r="BS202" i="1" s="1"/>
  <c r="BS226" i="1"/>
  <c r="BS223" i="1"/>
  <c r="BR222" i="1"/>
  <c r="BR223" i="1" s="1"/>
  <c r="BR224" i="1" s="1"/>
  <c r="BQ224" i="1"/>
  <c r="BQ178" i="1"/>
  <c r="BQ181" i="1"/>
  <c r="BU166" i="1"/>
  <c r="BU169" i="1" s="1"/>
  <c r="BQ117" i="1" l="1"/>
  <c r="BQ118" i="1" s="1"/>
  <c r="BQ121" i="1" s="1"/>
  <c r="BR45" i="1"/>
  <c r="BU198" i="1"/>
  <c r="BU197" i="1" s="1"/>
  <c r="BV210" i="1"/>
  <c r="BV211" i="1" s="1"/>
  <c r="BV212" i="1" s="1"/>
  <c r="BV226" i="1" s="1"/>
  <c r="BU210" i="1"/>
  <c r="BU211" i="1" s="1"/>
  <c r="BU212" i="1" s="1"/>
  <c r="BS173" i="1"/>
  <c r="BS174" i="1" s="1"/>
  <c r="BQ179" i="1"/>
  <c r="BU170" i="1"/>
  <c r="BS261" i="1" l="1"/>
  <c r="BS259" i="1"/>
  <c r="BS257" i="1"/>
  <c r="BQ119" i="1"/>
  <c r="BQ122" i="1" s="1"/>
  <c r="BU199" i="1"/>
  <c r="BU202" i="1" s="1"/>
  <c r="BU226" i="1"/>
  <c r="BU223" i="1"/>
  <c r="BT222" i="1"/>
  <c r="BT223" i="1" s="1"/>
  <c r="BT224" i="1" s="1"/>
  <c r="BS224" i="1"/>
  <c r="BS178" i="1"/>
  <c r="BS181" i="1"/>
  <c r="BW166" i="1"/>
  <c r="BW169" i="1" s="1"/>
  <c r="BS117" i="1" l="1"/>
  <c r="BS119" i="1" s="1"/>
  <c r="BS122" i="1" s="1"/>
  <c r="BT45" i="1"/>
  <c r="BW198" i="1"/>
  <c r="BW197" i="1" s="1"/>
  <c r="BX210" i="1"/>
  <c r="BX211" i="1" s="1"/>
  <c r="BX212" i="1" s="1"/>
  <c r="BX226" i="1" s="1"/>
  <c r="BW210" i="1"/>
  <c r="BW211" i="1" s="1"/>
  <c r="BW212" i="1" s="1"/>
  <c r="BW170" i="1"/>
  <c r="BS179" i="1"/>
  <c r="BU173" i="1"/>
  <c r="BU174" i="1" s="1"/>
  <c r="BU259" i="1" l="1"/>
  <c r="BU261" i="1"/>
  <c r="BU257" i="1"/>
  <c r="BS118" i="1"/>
  <c r="BS121" i="1" s="1"/>
  <c r="BW199" i="1"/>
  <c r="BW202" i="1" s="1"/>
  <c r="BW226" i="1"/>
  <c r="BW223" i="1"/>
  <c r="BV222" i="1"/>
  <c r="BV223" i="1" s="1"/>
  <c r="BV224" i="1" s="1"/>
  <c r="BU224" i="1"/>
  <c r="BU178" i="1"/>
  <c r="BU181" i="1"/>
  <c r="BY166" i="1"/>
  <c r="BY169" i="1" s="1"/>
  <c r="BU117" i="1" l="1"/>
  <c r="BU119" i="1" s="1"/>
  <c r="BU122" i="1" s="1"/>
  <c r="BV45" i="1"/>
  <c r="BZ210" i="1"/>
  <c r="BZ211" i="1" s="1"/>
  <c r="BZ212" i="1" s="1"/>
  <c r="BZ226" i="1" s="1"/>
  <c r="BY198" i="1"/>
  <c r="BY197" i="1" s="1"/>
  <c r="BY210" i="1"/>
  <c r="BY211" i="1" s="1"/>
  <c r="BY212" i="1" s="1"/>
  <c r="BW173" i="1"/>
  <c r="BW174" i="1" s="1"/>
  <c r="BY170" i="1"/>
  <c r="BU179" i="1"/>
  <c r="BW259" i="1" l="1"/>
  <c r="BW261" i="1"/>
  <c r="BW257" i="1"/>
  <c r="BU118" i="1"/>
  <c r="BU121" i="1" s="1"/>
  <c r="BY199" i="1"/>
  <c r="BY202" i="1" s="1"/>
  <c r="BY226" i="1"/>
  <c r="BY223" i="1"/>
  <c r="BX222" i="1"/>
  <c r="BX223" i="1" s="1"/>
  <c r="BX224" i="1" s="1"/>
  <c r="BW224" i="1"/>
  <c r="BW178" i="1"/>
  <c r="BW181" i="1"/>
  <c r="BW117" i="1" l="1"/>
  <c r="BW119" i="1" s="1"/>
  <c r="BW122" i="1" s="1"/>
  <c r="BX45" i="1"/>
  <c r="BW179" i="1"/>
  <c r="BY173" i="1"/>
  <c r="BY174" i="1" s="1"/>
  <c r="BY261" i="1" l="1"/>
  <c r="BY259" i="1"/>
  <c r="BY257" i="1"/>
  <c r="BW118" i="1"/>
  <c r="BW121" i="1" s="1"/>
  <c r="BZ222" i="1"/>
  <c r="BZ223" i="1" s="1"/>
  <c r="BZ224" i="1" s="1"/>
  <c r="BY224" i="1"/>
  <c r="BY181" i="1"/>
  <c r="BY178" i="1"/>
  <c r="BY117" i="1" l="1"/>
  <c r="BY118" i="1" s="1"/>
  <c r="BY121" i="1" s="1"/>
  <c r="BZ45" i="1"/>
  <c r="BY179" i="1"/>
  <c r="CC158" i="1"/>
  <c r="CC157" i="1"/>
  <c r="CA157" i="1"/>
  <c r="CA166" i="1"/>
  <c r="CA169" i="1" s="1"/>
  <c r="CA158" i="1"/>
  <c r="BY119" i="1" l="1"/>
  <c r="BY122" i="1" s="1"/>
  <c r="CA161" i="1"/>
  <c r="CA195" i="1" s="1"/>
  <c r="CA194" i="1" s="1"/>
  <c r="CB210" i="1"/>
  <c r="CA198" i="1"/>
  <c r="CA197" i="1" s="1"/>
  <c r="CA210" i="1"/>
  <c r="CC166" i="1"/>
  <c r="CC169" i="1" s="1"/>
  <c r="CC161" i="1"/>
  <c r="CA170" i="1" l="1"/>
  <c r="CA209" i="1"/>
  <c r="CA211" i="1" s="1"/>
  <c r="CA212" i="1" s="1"/>
  <c r="CA226" i="1" s="1"/>
  <c r="CB209" i="1"/>
  <c r="CB211" i="1" s="1"/>
  <c r="CB212" i="1" s="1"/>
  <c r="CB226" i="1" s="1"/>
  <c r="CA199" i="1"/>
  <c r="CD209" i="1"/>
  <c r="CC195" i="1"/>
  <c r="CC194" i="1" s="1"/>
  <c r="CC209" i="1"/>
  <c r="CC198" i="1"/>
  <c r="CC197" i="1" s="1"/>
  <c r="CD210" i="1"/>
  <c r="CC210" i="1"/>
  <c r="CC170" i="1"/>
  <c r="CA202" i="1" l="1"/>
  <c r="CE202" i="1"/>
  <c r="CC211" i="1"/>
  <c r="CC212" i="1" s="1"/>
  <c r="CC226" i="1" s="1"/>
  <c r="CD211" i="1"/>
  <c r="CD212" i="1" s="1"/>
  <c r="CD226" i="1" s="1"/>
  <c r="CA223" i="1"/>
  <c r="CA173" i="1" s="1"/>
  <c r="CA174" i="1" s="1"/>
  <c r="CC199" i="1"/>
  <c r="CA261" i="1" l="1"/>
  <c r="CA259" i="1"/>
  <c r="CA257" i="1"/>
  <c r="CC202" i="1"/>
  <c r="CG202" i="1"/>
  <c r="CC223" i="1"/>
  <c r="CC173" i="1" s="1"/>
  <c r="CC174" i="1" s="1"/>
  <c r="CB222" i="1"/>
  <c r="CB223" i="1" s="1"/>
  <c r="CB224" i="1" s="1"/>
  <c r="CA224" i="1"/>
  <c r="CA181" i="1"/>
  <c r="CA178" i="1"/>
  <c r="CC259" i="1" l="1"/>
  <c r="CC261" i="1"/>
  <c r="CC257" i="1"/>
  <c r="CA117" i="1"/>
  <c r="CA118" i="1" s="1"/>
  <c r="CA121" i="1" s="1"/>
  <c r="CB45" i="1"/>
  <c r="CD222" i="1"/>
  <c r="CD223" i="1" s="1"/>
  <c r="CD224" i="1" s="1"/>
  <c r="CC224" i="1"/>
  <c r="CC178" i="1"/>
  <c r="CC181" i="1"/>
  <c r="CA179" i="1"/>
  <c r="CA119" i="1" l="1"/>
  <c r="CA122" i="1" s="1"/>
  <c r="CC117" i="1"/>
  <c r="CC118" i="1" s="1"/>
  <c r="CC121" i="1" s="1"/>
  <c r="CD45" i="1"/>
  <c r="CC179" i="1"/>
  <c r="CC119" i="1" l="1"/>
  <c r="CC122" i="1" s="1"/>
  <c r="CE97" i="1"/>
  <c r="CD97" i="1"/>
  <c r="CC97" i="1"/>
  <c r="CB97" i="1"/>
  <c r="Y97" i="1"/>
  <c r="CI158" i="1" l="1"/>
  <c r="CI166" i="1"/>
  <c r="CI169" i="1" s="1"/>
  <c r="CI157" i="1"/>
  <c r="CJ210" i="1" l="1"/>
  <c r="CI161" i="1"/>
  <c r="CI210" i="1"/>
  <c r="CJ209" i="1" l="1"/>
  <c r="CJ211" i="1" s="1"/>
  <c r="CJ212" i="1" s="1"/>
  <c r="CJ226" i="1" s="1"/>
  <c r="CI170" i="1"/>
  <c r="CI209" i="1"/>
  <c r="CI211" i="1" s="1"/>
  <c r="CI212" i="1" s="1"/>
  <c r="CI226" i="1" s="1"/>
  <c r="CI199" i="1" l="1"/>
  <c r="CI202" i="1" s="1"/>
  <c r="CI223" i="1"/>
  <c r="CI173" i="1" s="1"/>
  <c r="CI174" i="1" s="1"/>
  <c r="CI261" i="1" l="1"/>
  <c r="CI259" i="1"/>
  <c r="CI257" i="1"/>
  <c r="CI224" i="1"/>
  <c r="CJ222" i="1"/>
  <c r="CJ223" i="1" s="1"/>
  <c r="CI181" i="1"/>
  <c r="CI178" i="1"/>
  <c r="CI117" i="1" l="1"/>
  <c r="CI119" i="1" s="1"/>
  <c r="CI122" i="1" s="1"/>
  <c r="CJ45" i="1"/>
  <c r="CJ224" i="1"/>
  <c r="CI179" i="1"/>
  <c r="CI118" i="1" l="1"/>
  <c r="CI121" i="1" s="1"/>
  <c r="CJ181" i="1"/>
  <c r="CJ117" i="1" l="1"/>
  <c r="CK45" i="1"/>
  <c r="CN45" i="1"/>
  <c r="CO45" i="1" s="1"/>
  <c r="CS45" i="1" s="1"/>
  <c r="CT45" i="1" s="1"/>
  <c r="CU45" i="1" s="1"/>
  <c r="CV45" i="1" s="1"/>
  <c r="CW45" i="1" s="1"/>
  <c r="CX45" i="1" s="1"/>
  <c r="CY45" i="1" s="1"/>
  <c r="CZ45" i="1" s="1"/>
  <c r="DA45" i="1" s="1"/>
  <c r="DB45" i="1" s="1"/>
  <c r="CJ118" i="1" l="1"/>
  <c r="CJ121" i="1" s="1"/>
  <c r="CJ119" i="1"/>
  <c r="CJ122" i="1" s="1"/>
  <c r="CK244" i="1" l="1"/>
  <c r="CK266" i="1"/>
  <c r="CK265" i="1"/>
  <c r="CK157" i="1" l="1"/>
  <c r="CK166" i="1"/>
  <c r="CK158" i="1"/>
  <c r="CK165" i="1"/>
  <c r="CK238" i="1"/>
  <c r="CK159" i="1"/>
  <c r="AA7" i="1" l="1"/>
  <c r="AA9" i="1"/>
  <c r="CK169" i="1"/>
  <c r="CK161" i="1"/>
  <c r="CK210" i="1" l="1"/>
  <c r="CL210" i="1"/>
  <c r="CK209" i="1"/>
  <c r="CK211" i="1" s="1"/>
  <c r="CL209" i="1"/>
  <c r="CL211" i="1" s="1"/>
  <c r="CL212" i="1" s="1"/>
  <c r="CL226" i="1" s="1"/>
  <c r="AA8" i="1"/>
  <c r="CK170" i="1"/>
  <c r="CK263" i="1"/>
  <c r="CK264" i="1" s="1"/>
  <c r="CK245" i="1"/>
  <c r="CK246" i="1" s="1"/>
  <c r="CK239" i="1"/>
  <c r="AA12" i="1" l="1"/>
  <c r="AA11" i="1" s="1"/>
  <c r="CK258" i="1" l="1"/>
  <c r="CK240" i="1"/>
  <c r="CK247" i="1"/>
  <c r="CK206" i="1" l="1"/>
  <c r="CK208" i="1" s="1"/>
  <c r="CK212" i="1" s="1"/>
  <c r="CK226" i="1" s="1"/>
  <c r="CK132" i="1"/>
  <c r="CK133" i="1" l="1"/>
  <c r="CL220" i="1" s="1"/>
  <c r="CL218" i="1" s="1"/>
  <c r="CK62" i="1" l="1"/>
  <c r="CK100" i="1"/>
  <c r="CG97" i="1"/>
  <c r="CK220" i="1"/>
  <c r="CK218" i="1" s="1"/>
  <c r="CK223" i="1" s="1"/>
  <c r="CK142" i="1"/>
  <c r="CK63" i="1" s="1"/>
  <c r="CK104" i="1" l="1"/>
  <c r="CK103" i="1"/>
  <c r="CK102" i="1"/>
  <c r="CK173" i="1"/>
  <c r="CK174" i="1" s="1"/>
  <c r="CL222" i="1" s="1"/>
  <c r="CL223" i="1" s="1"/>
  <c r="CL224" i="1" s="1"/>
  <c r="CK224" i="1" l="1"/>
  <c r="CK261" i="1"/>
  <c r="CK257" i="1"/>
  <c r="CK259" i="1"/>
  <c r="CK178" i="1"/>
  <c r="CK181" i="1"/>
  <c r="CK117" i="1" l="1"/>
  <c r="CL45" i="1"/>
  <c r="CK179" i="1"/>
  <c r="CK118" i="1" l="1"/>
  <c r="CK121" i="1" s="1"/>
  <c r="CK119" i="1"/>
  <c r="CK122" i="1" s="1"/>
  <c r="CM94" i="1" l="1"/>
  <c r="CN94" i="1" s="1"/>
  <c r="CO94" i="1" s="1"/>
  <c r="CP94" i="1" s="1"/>
  <c r="CQ94" i="1" s="1"/>
  <c r="CR94" i="1" s="1"/>
  <c r="CS94" i="1" s="1"/>
  <c r="CT94" i="1" s="1"/>
  <c r="CU94" i="1" s="1"/>
  <c r="CV94" i="1" s="1"/>
  <c r="CW94" i="1" s="1"/>
  <c r="CX94" i="1" s="1"/>
  <c r="CY94" i="1" s="1"/>
  <c r="CZ94" i="1" s="1"/>
  <c r="DA94" i="1" s="1"/>
  <c r="DB94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Z97" i="1"/>
  <c r="CH97" i="1"/>
  <c r="CM222" i="1" l="1"/>
  <c r="AB222" i="1"/>
  <c r="CN121" i="1" l="1"/>
  <c r="CO121" i="1" s="1"/>
  <c r="CP121" i="1" s="1"/>
  <c r="CQ121" i="1" s="1"/>
  <c r="CR121" i="1" s="1"/>
  <c r="CS121" i="1" s="1"/>
  <c r="CT121" i="1" s="1"/>
  <c r="CU121" i="1" s="1"/>
  <c r="CV121" i="1" s="1"/>
  <c r="CW121" i="1" s="1"/>
  <c r="CX121" i="1" s="1"/>
  <c r="CY121" i="1" s="1"/>
  <c r="CZ121" i="1" s="1"/>
  <c r="DA121" i="1" s="1"/>
  <c r="DB121" i="1" s="1"/>
  <c r="CN122" i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M44" i="1"/>
  <c r="CM4" i="1" l="1"/>
  <c r="CM16" i="1" l="1"/>
  <c r="CM265" i="1" s="1"/>
  <c r="CM124" i="1"/>
  <c r="CM125" i="1" s="1"/>
  <c r="CM10" i="1"/>
  <c r="CM266" i="1" l="1"/>
  <c r="CM106" i="1"/>
  <c r="CM107" i="1" s="1"/>
  <c r="CM110" i="1" s="1"/>
  <c r="CM244" i="1"/>
  <c r="CM18" i="1"/>
  <c r="CM24" i="1" l="1"/>
  <c r="CM34" i="1"/>
  <c r="CM158" i="1"/>
  <c r="CM159" i="1"/>
  <c r="CM165" i="1"/>
  <c r="CM19" i="1"/>
  <c r="CM166" i="1"/>
  <c r="CM157" i="1"/>
  <c r="CM161" i="1" s="1"/>
  <c r="CM20" i="1"/>
  <c r="CM238" i="1"/>
  <c r="CM27" i="1"/>
  <c r="CM169" i="1" l="1"/>
  <c r="CM23" i="1"/>
  <c r="CM9" i="1"/>
  <c r="CM26" i="1"/>
  <c r="CM31" i="1"/>
  <c r="CM36" i="1"/>
  <c r="CM120" i="1" s="1"/>
  <c r="CM126" i="1" s="1"/>
  <c r="CM210" i="1"/>
  <c r="CM209" i="1"/>
  <c r="CM170" i="1" l="1"/>
  <c r="CM42" i="1"/>
  <c r="CM46" i="1" s="1"/>
  <c r="CM39" i="1"/>
  <c r="CM245" i="1"/>
  <c r="CM246" i="1" s="1"/>
  <c r="CM239" i="1"/>
  <c r="CM12" i="1"/>
  <c r="CM11" i="1" s="1"/>
  <c r="CM263" i="1"/>
  <c r="CM264" i="1" s="1"/>
  <c r="CM38" i="1"/>
  <c r="CM37" i="1"/>
  <c r="CM119" i="1"/>
  <c r="CM118" i="1"/>
  <c r="CM211" i="1"/>
  <c r="CO4" i="1" l="1"/>
  <c r="CP4" i="1"/>
  <c r="CQ4" i="1"/>
  <c r="CU4" i="1" s="1"/>
  <c r="CN4" i="1"/>
  <c r="CR4" i="1" l="1"/>
  <c r="CQ124" i="1"/>
  <c r="CP124" i="1"/>
  <c r="CN124" i="1"/>
  <c r="CN125" i="1" s="1"/>
  <c r="CO124" i="1"/>
  <c r="CT4" i="1"/>
  <c r="CT16" i="1" s="1"/>
  <c r="CR16" i="1"/>
  <c r="CU10" i="1"/>
  <c r="CO10" i="1"/>
  <c r="CO16" i="1"/>
  <c r="CS4" i="1"/>
  <c r="CQ10" i="1"/>
  <c r="CQ16" i="1"/>
  <c r="CN10" i="1"/>
  <c r="AB4" i="1"/>
  <c r="CN16" i="1"/>
  <c r="CU16" i="1"/>
  <c r="CY4" i="1"/>
  <c r="CP10" i="1"/>
  <c r="CP16" i="1"/>
  <c r="CV4" i="1" l="1"/>
  <c r="CR124" i="1"/>
  <c r="CR125" i="1" s="1"/>
  <c r="CR10" i="1"/>
  <c r="CT10" i="1"/>
  <c r="CP125" i="1"/>
  <c r="AB124" i="1"/>
  <c r="AB125" i="1" s="1"/>
  <c r="AC4" i="1"/>
  <c r="AC10" i="1" s="1"/>
  <c r="CV124" i="1"/>
  <c r="CS124" i="1"/>
  <c r="CT124" i="1"/>
  <c r="CQ125" i="1"/>
  <c r="CU124" i="1"/>
  <c r="CU125" i="1" s="1"/>
  <c r="CO125" i="1"/>
  <c r="CX4" i="1"/>
  <c r="CX10" i="1" s="1"/>
  <c r="AB5" i="1"/>
  <c r="AB10" i="1"/>
  <c r="CY10" i="1"/>
  <c r="CY16" i="1"/>
  <c r="CS10" i="1"/>
  <c r="CW4" i="1"/>
  <c r="CS16" i="1"/>
  <c r="CT106" i="1" s="1"/>
  <c r="CT107" i="1" s="1"/>
  <c r="CT110" i="1" s="1"/>
  <c r="CQ244" i="1"/>
  <c r="CQ266" i="1"/>
  <c r="CQ18" i="1"/>
  <c r="CV10" i="1"/>
  <c r="CZ4" i="1"/>
  <c r="CV16" i="1"/>
  <c r="CT244" i="1"/>
  <c r="CT266" i="1"/>
  <c r="CT18" i="1"/>
  <c r="CU266" i="1"/>
  <c r="CU244" i="1"/>
  <c r="CU18" i="1"/>
  <c r="CO266" i="1"/>
  <c r="CO244" i="1"/>
  <c r="CR106" i="1"/>
  <c r="CR107" i="1" s="1"/>
  <c r="CR110" i="1" s="1"/>
  <c r="CO18" i="1"/>
  <c r="CP266" i="1"/>
  <c r="CP244" i="1"/>
  <c r="CP18" i="1"/>
  <c r="CP106" i="1"/>
  <c r="CP107" i="1" s="1"/>
  <c r="CP110" i="1" s="1"/>
  <c r="CN106" i="1"/>
  <c r="CN107" i="1" s="1"/>
  <c r="CN110" i="1" s="1"/>
  <c r="CQ106" i="1"/>
  <c r="CQ107" i="1" s="1"/>
  <c r="CQ110" i="1" s="1"/>
  <c r="CN244" i="1"/>
  <c r="CO106" i="1"/>
  <c r="CO107" i="1" s="1"/>
  <c r="CO110" i="1" s="1"/>
  <c r="CN266" i="1"/>
  <c r="AB16" i="1"/>
  <c r="CN18" i="1"/>
  <c r="CR266" i="1"/>
  <c r="CR244" i="1"/>
  <c r="CR18" i="1"/>
  <c r="CV125" i="1" l="1"/>
  <c r="CZ124" i="1"/>
  <c r="CZ125" i="1" s="1"/>
  <c r="CY124" i="1"/>
  <c r="CS125" i="1"/>
  <c r="AC124" i="1"/>
  <c r="AC125" i="1" s="1"/>
  <c r="CT125" i="1"/>
  <c r="CX16" i="1"/>
  <c r="CX266" i="1" s="1"/>
  <c r="CX124" i="1"/>
  <c r="DB4" i="1"/>
  <c r="DB10" i="1" s="1"/>
  <c r="AC5" i="1"/>
  <c r="CW124" i="1"/>
  <c r="CW125" i="1" s="1"/>
  <c r="CS106" i="1"/>
  <c r="CS107" i="1" s="1"/>
  <c r="CS110" i="1" s="1"/>
  <c r="CU106" i="1"/>
  <c r="CU107" i="1" s="1"/>
  <c r="CU110" i="1" s="1"/>
  <c r="AC16" i="1"/>
  <c r="AC18" i="1" s="1"/>
  <c r="CR157" i="1"/>
  <c r="CR34" i="1"/>
  <c r="CR31" i="1" s="1"/>
  <c r="CR165" i="1"/>
  <c r="CR159" i="1"/>
  <c r="CR20" i="1"/>
  <c r="CR166" i="1"/>
  <c r="CR158" i="1"/>
  <c r="CR24" i="1"/>
  <c r="CT34" i="1"/>
  <c r="CT31" i="1" s="1"/>
  <c r="CT158" i="1"/>
  <c r="AC158" i="1" s="1"/>
  <c r="CT159" i="1"/>
  <c r="AC159" i="1" s="1"/>
  <c r="CT166" i="1"/>
  <c r="AC166" i="1" s="1"/>
  <c r="CT165" i="1"/>
  <c r="CT157" i="1"/>
  <c r="CT24" i="1"/>
  <c r="CV266" i="1"/>
  <c r="CV244" i="1"/>
  <c r="CV18" i="1"/>
  <c r="CQ165" i="1"/>
  <c r="CQ157" i="1"/>
  <c r="CU19" i="1"/>
  <c r="CQ166" i="1"/>
  <c r="CQ20" i="1"/>
  <c r="CQ34" i="1"/>
  <c r="CQ31" i="1" s="1"/>
  <c r="CQ159" i="1"/>
  <c r="CQ19" i="1"/>
  <c r="CQ158" i="1"/>
  <c r="CQ24" i="1"/>
  <c r="CQ23" i="1" s="1"/>
  <c r="CW10" i="1"/>
  <c r="DA4" i="1"/>
  <c r="CW16" i="1"/>
  <c r="CN20" i="1"/>
  <c r="CN165" i="1"/>
  <c r="CN34" i="1"/>
  <c r="CN31" i="1" s="1"/>
  <c r="CN238" i="1"/>
  <c r="CO238" i="1"/>
  <c r="CR19" i="1"/>
  <c r="CN19" i="1"/>
  <c r="CN159" i="1"/>
  <c r="CQ238" i="1"/>
  <c r="CP238" i="1"/>
  <c r="CN158" i="1"/>
  <c r="CN166" i="1"/>
  <c r="CN157" i="1"/>
  <c r="CN24" i="1"/>
  <c r="CN23" i="1" s="1"/>
  <c r="AB266" i="1"/>
  <c r="AB18" i="1"/>
  <c r="CP159" i="1"/>
  <c r="AB159" i="1" s="1"/>
  <c r="CT19" i="1"/>
  <c r="CP158" i="1"/>
  <c r="AB158" i="1" s="1"/>
  <c r="AB193" i="1" s="1"/>
  <c r="CP20" i="1"/>
  <c r="CP166" i="1"/>
  <c r="AB166" i="1" s="1"/>
  <c r="AB196" i="1" s="1"/>
  <c r="CP19" i="1"/>
  <c r="CP34" i="1"/>
  <c r="CP31" i="1" s="1"/>
  <c r="CP165" i="1"/>
  <c r="CP157" i="1"/>
  <c r="CP24" i="1"/>
  <c r="CO165" i="1"/>
  <c r="CO34" i="1"/>
  <c r="CO31" i="1" s="1"/>
  <c r="CO19" i="1"/>
  <c r="CO20" i="1"/>
  <c r="CR238" i="1"/>
  <c r="CO157" i="1"/>
  <c r="CO166" i="1"/>
  <c r="CO158" i="1"/>
  <c r="CO159" i="1"/>
  <c r="CO24" i="1"/>
  <c r="CU165" i="1"/>
  <c r="CU157" i="1"/>
  <c r="CU20" i="1"/>
  <c r="CU34" i="1"/>
  <c r="CU31" i="1" s="1"/>
  <c r="CU166" i="1"/>
  <c r="CU159" i="1"/>
  <c r="CU158" i="1"/>
  <c r="CU24" i="1"/>
  <c r="CU23" i="1" s="1"/>
  <c r="CZ10" i="1"/>
  <c r="CZ16" i="1"/>
  <c r="CY244" i="1"/>
  <c r="CY266" i="1"/>
  <c r="CY18" i="1"/>
  <c r="CY19" i="1" s="1"/>
  <c r="CS244" i="1"/>
  <c r="CV106" i="1"/>
  <c r="CV107" i="1" s="1"/>
  <c r="CV110" i="1" s="1"/>
  <c r="CS266" i="1"/>
  <c r="CS18" i="1"/>
  <c r="CS238" i="1" s="1"/>
  <c r="AD4" i="1"/>
  <c r="DB16" i="1" l="1"/>
  <c r="AE4" i="1"/>
  <c r="AE5" i="1" s="1"/>
  <c r="DA124" i="1"/>
  <c r="DA125" i="1" s="1"/>
  <c r="AC266" i="1"/>
  <c r="AC196" i="1"/>
  <c r="CX125" i="1"/>
  <c r="AD124" i="1"/>
  <c r="AD125" i="1" s="1"/>
  <c r="CX18" i="1"/>
  <c r="CX157" i="1" s="1"/>
  <c r="CX244" i="1"/>
  <c r="CY106" i="1"/>
  <c r="CY107" i="1" s="1"/>
  <c r="CY110" i="1" s="1"/>
  <c r="CY125" i="1"/>
  <c r="DB124" i="1"/>
  <c r="CN161" i="1"/>
  <c r="CN209" i="1" s="1"/>
  <c r="CW106" i="1"/>
  <c r="CW107" i="1" s="1"/>
  <c r="CW110" i="1" s="1"/>
  <c r="CX106" i="1"/>
  <c r="CX107" i="1" s="1"/>
  <c r="CX110" i="1" s="1"/>
  <c r="AC193" i="1"/>
  <c r="CO161" i="1"/>
  <c r="AC7" i="1"/>
  <c r="AC106" i="1"/>
  <c r="AC107" i="1" s="1"/>
  <c r="AC110" i="1" s="1"/>
  <c r="AC19" i="1"/>
  <c r="AC201" i="1"/>
  <c r="AC66" i="1"/>
  <c r="CP9" i="1"/>
  <c r="CP26" i="1"/>
  <c r="CP27" i="1"/>
  <c r="CP36" i="1"/>
  <c r="CV34" i="1"/>
  <c r="CV31" i="1" s="1"/>
  <c r="CV159" i="1"/>
  <c r="CV20" i="1"/>
  <c r="CV157" i="1"/>
  <c r="CV158" i="1"/>
  <c r="CV166" i="1"/>
  <c r="CV165" i="1"/>
  <c r="CV24" i="1"/>
  <c r="CT26" i="1"/>
  <c r="CT9" i="1"/>
  <c r="CT36" i="1"/>
  <c r="CR26" i="1"/>
  <c r="CR27" i="1"/>
  <c r="CR9" i="1"/>
  <c r="CR36" i="1"/>
  <c r="AD10" i="1"/>
  <c r="AD5" i="1"/>
  <c r="CS165" i="1"/>
  <c r="CS34" i="1"/>
  <c r="CS31" i="1" s="1"/>
  <c r="AC31" i="1" s="1"/>
  <c r="AC34" i="1" s="1"/>
  <c r="AC35" i="1" s="1"/>
  <c r="CS20" i="1"/>
  <c r="CS157" i="1"/>
  <c r="CS159" i="1"/>
  <c r="CV238" i="1"/>
  <c r="CS158" i="1"/>
  <c r="CS166" i="1"/>
  <c r="CS24" i="1"/>
  <c r="CT27" i="1" s="1"/>
  <c r="CZ244" i="1"/>
  <c r="CZ266" i="1"/>
  <c r="CZ18" i="1"/>
  <c r="CZ19" i="1" s="1"/>
  <c r="CU161" i="1"/>
  <c r="CS19" i="1"/>
  <c r="CP161" i="1"/>
  <c r="AB157" i="1"/>
  <c r="AB201" i="1"/>
  <c r="AB106" i="1"/>
  <c r="AB107" i="1" s="1"/>
  <c r="AB110" i="1" s="1"/>
  <c r="AB66" i="1"/>
  <c r="AB19" i="1"/>
  <c r="AB7" i="1"/>
  <c r="AB31" i="1"/>
  <c r="AB34" i="1" s="1"/>
  <c r="AB35" i="1" s="1"/>
  <c r="CT23" i="1"/>
  <c r="CT161" i="1"/>
  <c r="AC157" i="1"/>
  <c r="CR23" i="1"/>
  <c r="CR169" i="1"/>
  <c r="CU169" i="1"/>
  <c r="AB165" i="1"/>
  <c r="AB169" i="1" s="1"/>
  <c r="CP169" i="1"/>
  <c r="CP23" i="1"/>
  <c r="CN169" i="1"/>
  <c r="CZ106" i="1"/>
  <c r="CZ107" i="1" s="1"/>
  <c r="CZ110" i="1" s="1"/>
  <c r="CW244" i="1"/>
  <c r="CW266" i="1"/>
  <c r="CW18" i="1"/>
  <c r="AD16" i="1"/>
  <c r="CQ161" i="1"/>
  <c r="CT169" i="1"/>
  <c r="AC165" i="1"/>
  <c r="AC169" i="1" s="1"/>
  <c r="CV19" i="1"/>
  <c r="CU238" i="1"/>
  <c r="AE10" i="1"/>
  <c r="CY34" i="1"/>
  <c r="CY31" i="1" s="1"/>
  <c r="CY166" i="1"/>
  <c r="CY158" i="1"/>
  <c r="CY157" i="1"/>
  <c r="CY165" i="1"/>
  <c r="CY159" i="1"/>
  <c r="CY24" i="1"/>
  <c r="CU9" i="1"/>
  <c r="CU27" i="1"/>
  <c r="CU26" i="1"/>
  <c r="CU36" i="1"/>
  <c r="CO9" i="1"/>
  <c r="CO27" i="1"/>
  <c r="CO26" i="1"/>
  <c r="CO36" i="1"/>
  <c r="CO23" i="1"/>
  <c r="CO169" i="1"/>
  <c r="CN27" i="1"/>
  <c r="CN9" i="1"/>
  <c r="CN26" i="1"/>
  <c r="CN36" i="1"/>
  <c r="DA10" i="1"/>
  <c r="DA16" i="1"/>
  <c r="CQ27" i="1"/>
  <c r="CQ26" i="1"/>
  <c r="CQ9" i="1"/>
  <c r="CQ36" i="1"/>
  <c r="CT238" i="1"/>
  <c r="CQ169" i="1"/>
  <c r="CT20" i="1"/>
  <c r="CR161" i="1"/>
  <c r="DB266" i="1" l="1"/>
  <c r="DB244" i="1"/>
  <c r="DB18" i="1"/>
  <c r="DB19" i="1" s="1"/>
  <c r="DB106" i="1"/>
  <c r="DB107" i="1" s="1"/>
  <c r="DB110" i="1" s="1"/>
  <c r="CX165" i="1"/>
  <c r="AD165" i="1" s="1"/>
  <c r="CX159" i="1"/>
  <c r="AD159" i="1" s="1"/>
  <c r="CX19" i="1"/>
  <c r="CX166" i="1"/>
  <c r="AD166" i="1" s="1"/>
  <c r="AD196" i="1" s="1"/>
  <c r="CR120" i="1"/>
  <c r="CR126" i="1" s="1"/>
  <c r="CR210" i="1"/>
  <c r="CX158" i="1"/>
  <c r="AD158" i="1" s="1"/>
  <c r="AD193" i="1" s="1"/>
  <c r="AE124" i="1"/>
  <c r="AE125" i="1" s="1"/>
  <c r="DB125" i="1"/>
  <c r="CX20" i="1"/>
  <c r="CX24" i="1"/>
  <c r="CX9" i="1" s="1"/>
  <c r="CO209" i="1"/>
  <c r="CX34" i="1"/>
  <c r="CX31" i="1" s="1"/>
  <c r="CY20" i="1"/>
  <c r="CQ120" i="1"/>
  <c r="CQ126" i="1" s="1"/>
  <c r="CP120" i="1"/>
  <c r="CP126" i="1" s="1"/>
  <c r="CO120" i="1"/>
  <c r="CO126" i="1" s="1"/>
  <c r="CN120" i="1"/>
  <c r="CN126" i="1" s="1"/>
  <c r="CU210" i="1"/>
  <c r="CP210" i="1"/>
  <c r="CV169" i="1"/>
  <c r="CV210" i="1" s="1"/>
  <c r="CY169" i="1"/>
  <c r="AB23" i="1"/>
  <c r="AB24" i="1" s="1"/>
  <c r="AB9" i="1" s="1"/>
  <c r="AB8" i="1" s="1"/>
  <c r="CS169" i="1"/>
  <c r="CS210" i="1" s="1"/>
  <c r="CV161" i="1"/>
  <c r="CS23" i="1"/>
  <c r="AC23" i="1" s="1"/>
  <c r="AC24" i="1" s="1"/>
  <c r="CY161" i="1"/>
  <c r="CW238" i="1"/>
  <c r="AD266" i="1"/>
  <c r="AD18" i="1"/>
  <c r="CR245" i="1"/>
  <c r="CR246" i="1" s="1"/>
  <c r="CR263" i="1"/>
  <c r="CR264" i="1" s="1"/>
  <c r="CR39" i="1"/>
  <c r="CR37" i="1"/>
  <c r="CR12" i="1"/>
  <c r="CR11" i="1" s="1"/>
  <c r="CR38" i="1"/>
  <c r="CR42" i="1"/>
  <c r="AB198" i="1"/>
  <c r="AB197" i="1" s="1"/>
  <c r="AB210" i="1"/>
  <c r="AC210" i="1"/>
  <c r="DA244" i="1"/>
  <c r="DA266" i="1"/>
  <c r="DA18" i="1"/>
  <c r="DA19" i="1" s="1"/>
  <c r="AE16" i="1"/>
  <c r="CY9" i="1"/>
  <c r="CY26" i="1"/>
  <c r="CY36" i="1"/>
  <c r="CW34" i="1"/>
  <c r="CW31" i="1" s="1"/>
  <c r="CW165" i="1"/>
  <c r="CW158" i="1"/>
  <c r="CW159" i="1"/>
  <c r="CW157" i="1"/>
  <c r="CZ238" i="1"/>
  <c r="CW166" i="1"/>
  <c r="CW20" i="1"/>
  <c r="CW24" i="1"/>
  <c r="CX238" i="1"/>
  <c r="CN210" i="1"/>
  <c r="CN211" i="1" s="1"/>
  <c r="CO210" i="1"/>
  <c r="AC192" i="1"/>
  <c r="AC161" i="1"/>
  <c r="CS161" i="1"/>
  <c r="CS209" i="1" s="1"/>
  <c r="CT245" i="1"/>
  <c r="CT246" i="1" s="1"/>
  <c r="CT37" i="1"/>
  <c r="CT38" i="1"/>
  <c r="CT12" i="1"/>
  <c r="CT11" i="1" s="1"/>
  <c r="CT42" i="1"/>
  <c r="CV27" i="1"/>
  <c r="CV26" i="1"/>
  <c r="CV9" i="1"/>
  <c r="CV36" i="1"/>
  <c r="CQ245" i="1"/>
  <c r="CQ246" i="1" s="1"/>
  <c r="CQ263" i="1"/>
  <c r="CQ264" i="1" s="1"/>
  <c r="CQ37" i="1"/>
  <c r="CQ12" i="1"/>
  <c r="CQ11" i="1" s="1"/>
  <c r="CQ39" i="1"/>
  <c r="CQ38" i="1"/>
  <c r="CQ42" i="1"/>
  <c r="CO245" i="1"/>
  <c r="CO246" i="1" s="1"/>
  <c r="CO263" i="1"/>
  <c r="CO264" i="1" s="1"/>
  <c r="CO39" i="1"/>
  <c r="CO37" i="1"/>
  <c r="CR239" i="1"/>
  <c r="CO42" i="1"/>
  <c r="CO38" i="1"/>
  <c r="CO12" i="1"/>
  <c r="CO11" i="1" s="1"/>
  <c r="CY23" i="1"/>
  <c r="CU209" i="1"/>
  <c r="CT170" i="1"/>
  <c r="CU170" i="1"/>
  <c r="CS9" i="1"/>
  <c r="CS27" i="1"/>
  <c r="CS26" i="1"/>
  <c r="CS36" i="1"/>
  <c r="CU120" i="1" s="1"/>
  <c r="CU126" i="1" s="1"/>
  <c r="CW19" i="1"/>
  <c r="CV23" i="1"/>
  <c r="CP245" i="1"/>
  <c r="CP246" i="1" s="1"/>
  <c r="CP263" i="1"/>
  <c r="CP264" i="1" s="1"/>
  <c r="CP39" i="1"/>
  <c r="CP12" i="1"/>
  <c r="CP11" i="1" s="1"/>
  <c r="CP37" i="1"/>
  <c r="CP38" i="1"/>
  <c r="CP42" i="1"/>
  <c r="CO170" i="1"/>
  <c r="AD157" i="1"/>
  <c r="AC198" i="1"/>
  <c r="AC197" i="1" s="1"/>
  <c r="CQ209" i="1"/>
  <c r="CP170" i="1"/>
  <c r="CR170" i="1"/>
  <c r="CN263" i="1"/>
  <c r="CN264" i="1" s="1"/>
  <c r="CN245" i="1"/>
  <c r="CN246" i="1" s="1"/>
  <c r="CN37" i="1"/>
  <c r="CQ239" i="1"/>
  <c r="CP239" i="1"/>
  <c r="CO239" i="1"/>
  <c r="CN239" i="1"/>
  <c r="CN38" i="1"/>
  <c r="CN12" i="1"/>
  <c r="CN11" i="1" s="1"/>
  <c r="CN39" i="1"/>
  <c r="CN42" i="1"/>
  <c r="CU245" i="1"/>
  <c r="CU246" i="1" s="1"/>
  <c r="CU263" i="1"/>
  <c r="CU264" i="1" s="1"/>
  <c r="CU12" i="1"/>
  <c r="CU11" i="1" s="1"/>
  <c r="CU37" i="1"/>
  <c r="CU38" i="1"/>
  <c r="CU39" i="1"/>
  <c r="CU42" i="1"/>
  <c r="DA106" i="1"/>
  <c r="DA107" i="1" s="1"/>
  <c r="DA110" i="1" s="1"/>
  <c r="CQ170" i="1"/>
  <c r="CR209" i="1"/>
  <c r="CQ210" i="1"/>
  <c r="AB192" i="1"/>
  <c r="AB161" i="1"/>
  <c r="CZ34" i="1"/>
  <c r="CZ31" i="1" s="1"/>
  <c r="CZ165" i="1"/>
  <c r="CZ166" i="1"/>
  <c r="CZ158" i="1"/>
  <c r="CZ157" i="1"/>
  <c r="CZ159" i="1"/>
  <c r="CZ20" i="1"/>
  <c r="CZ24" i="1"/>
  <c r="CY238" i="1"/>
  <c r="CN170" i="1"/>
  <c r="CP209" i="1"/>
  <c r="DB159" i="1" l="1"/>
  <c r="AE159" i="1" s="1"/>
  <c r="DB34" i="1"/>
  <c r="DB31" i="1" s="1"/>
  <c r="DB158" i="1"/>
  <c r="AE158" i="1" s="1"/>
  <c r="AE193" i="1" s="1"/>
  <c r="DB165" i="1"/>
  <c r="DB166" i="1"/>
  <c r="AE166" i="1" s="1"/>
  <c r="AE196" i="1" s="1"/>
  <c r="DB157" i="1"/>
  <c r="DB161" i="1" s="1"/>
  <c r="DB24" i="1"/>
  <c r="DB23" i="1" s="1"/>
  <c r="CR118" i="1"/>
  <c r="AD169" i="1"/>
  <c r="AD210" i="1" s="1"/>
  <c r="CX169" i="1"/>
  <c r="CY210" i="1" s="1"/>
  <c r="CR211" i="1"/>
  <c r="CR119" i="1"/>
  <c r="CP211" i="1"/>
  <c r="CX161" i="1"/>
  <c r="CY209" i="1" s="1"/>
  <c r="CS120" i="1"/>
  <c r="CS126" i="1" s="1"/>
  <c r="CX23" i="1"/>
  <c r="AD31" i="1"/>
  <c r="AD34" i="1" s="1"/>
  <c r="AD35" i="1" s="1"/>
  <c r="CO211" i="1"/>
  <c r="CX36" i="1"/>
  <c r="CX245" i="1" s="1"/>
  <c r="CX246" i="1" s="1"/>
  <c r="CU211" i="1"/>
  <c r="CY27" i="1"/>
  <c r="CX26" i="1"/>
  <c r="CU119" i="1"/>
  <c r="CU118" i="1"/>
  <c r="CN118" i="1"/>
  <c r="CN119" i="1"/>
  <c r="CU239" i="1"/>
  <c r="CV120" i="1"/>
  <c r="CV126" i="1" s="1"/>
  <c r="CO118" i="1"/>
  <c r="CO119" i="1"/>
  <c r="CP119" i="1"/>
  <c r="CP118" i="1"/>
  <c r="CQ118" i="1"/>
  <c r="CQ119" i="1"/>
  <c r="CV170" i="1"/>
  <c r="CT120" i="1"/>
  <c r="CT126" i="1" s="1"/>
  <c r="CT210" i="1"/>
  <c r="CY170" i="1"/>
  <c r="AB26" i="1"/>
  <c r="AB67" i="1"/>
  <c r="AB25" i="1"/>
  <c r="AB36" i="1"/>
  <c r="AB42" i="1" s="1"/>
  <c r="CV209" i="1"/>
  <c r="CV211" i="1" s="1"/>
  <c r="CS239" i="1"/>
  <c r="CS211" i="1"/>
  <c r="AC9" i="1"/>
  <c r="AC8" i="1" s="1"/>
  <c r="AC67" i="1"/>
  <c r="AC26" i="1"/>
  <c r="AC36" i="1"/>
  <c r="AC68" i="1" s="1"/>
  <c r="AC25" i="1"/>
  <c r="DB20" i="1"/>
  <c r="CZ169" i="1"/>
  <c r="CZ161" i="1"/>
  <c r="CZ209" i="1" s="1"/>
  <c r="CV245" i="1"/>
  <c r="CV246" i="1" s="1"/>
  <c r="CV263" i="1"/>
  <c r="CV264" i="1" s="1"/>
  <c r="CV38" i="1"/>
  <c r="CV39" i="1"/>
  <c r="CV12" i="1"/>
  <c r="CV11" i="1" s="1"/>
  <c r="CV37" i="1"/>
  <c r="CV42" i="1"/>
  <c r="CW9" i="1"/>
  <c r="CW26" i="1"/>
  <c r="CW27" i="1"/>
  <c r="CW36" i="1"/>
  <c r="DA34" i="1"/>
  <c r="DA31" i="1" s="1"/>
  <c r="DA165" i="1"/>
  <c r="DA159" i="1"/>
  <c r="DA157" i="1"/>
  <c r="DA158" i="1"/>
  <c r="DA20" i="1"/>
  <c r="DA166" i="1"/>
  <c r="DA24" i="1"/>
  <c r="DB238" i="1"/>
  <c r="CQ211" i="1"/>
  <c r="CS263" i="1"/>
  <c r="CS264" i="1" s="1"/>
  <c r="CS245" i="1"/>
  <c r="CS246" i="1" s="1"/>
  <c r="CV239" i="1"/>
  <c r="CS38" i="1"/>
  <c r="CS39" i="1"/>
  <c r="CS37" i="1"/>
  <c r="CS12" i="1"/>
  <c r="CS11" i="1" s="1"/>
  <c r="CS42" i="1"/>
  <c r="AC195" i="1"/>
  <c r="AC170" i="1"/>
  <c r="CW161" i="1"/>
  <c r="CW23" i="1"/>
  <c r="CX27" i="1"/>
  <c r="CZ9" i="1"/>
  <c r="CZ26" i="1"/>
  <c r="CZ27" i="1"/>
  <c r="CZ36" i="1"/>
  <c r="CZ23" i="1"/>
  <c r="CT239" i="1"/>
  <c r="AE165" i="1"/>
  <c r="AE169" i="1" s="1"/>
  <c r="AE198" i="1" s="1"/>
  <c r="DB169" i="1"/>
  <c r="CT39" i="1"/>
  <c r="CW169" i="1"/>
  <c r="CY245" i="1"/>
  <c r="CY246" i="1" s="1"/>
  <c r="CY12" i="1"/>
  <c r="CY11" i="1" s="1"/>
  <c r="CY37" i="1"/>
  <c r="CY38" i="1"/>
  <c r="CY42" i="1"/>
  <c r="AD7" i="1"/>
  <c r="AD201" i="1"/>
  <c r="AD19" i="1"/>
  <c r="AD106" i="1"/>
  <c r="AD107" i="1" s="1"/>
  <c r="AD110" i="1" s="1"/>
  <c r="AD66" i="1"/>
  <c r="AC209" i="1"/>
  <c r="AC211" i="1" s="1"/>
  <c r="AB209" i="1"/>
  <c r="AB211" i="1" s="1"/>
  <c r="AB195" i="1"/>
  <c r="AB170" i="1"/>
  <c r="AD192" i="1"/>
  <c r="AD161" i="1"/>
  <c r="CT263" i="1"/>
  <c r="CT264" i="1" s="1"/>
  <c r="CT209" i="1"/>
  <c r="CS170" i="1"/>
  <c r="AE266" i="1"/>
  <c r="AE18" i="1"/>
  <c r="DA238" i="1"/>
  <c r="AE31" i="1" l="1"/>
  <c r="AE34" i="1" s="1"/>
  <c r="DB27" i="1"/>
  <c r="AE157" i="1"/>
  <c r="AE161" i="1" s="1"/>
  <c r="AE209" i="1" s="1"/>
  <c r="DB26" i="1"/>
  <c r="DB9" i="1"/>
  <c r="DB36" i="1"/>
  <c r="DB245" i="1" s="1"/>
  <c r="DB246" i="1" s="1"/>
  <c r="AD198" i="1"/>
  <c r="AD197" i="1" s="1"/>
  <c r="CY263" i="1"/>
  <c r="CY264" i="1" s="1"/>
  <c r="CX170" i="1"/>
  <c r="CS118" i="1"/>
  <c r="AD23" i="1"/>
  <c r="AD24" i="1" s="1"/>
  <c r="AD67" i="1" s="1"/>
  <c r="CX38" i="1"/>
  <c r="CX42" i="1"/>
  <c r="CX12" i="1"/>
  <c r="CX11" i="1" s="1"/>
  <c r="CX37" i="1"/>
  <c r="CS119" i="1"/>
  <c r="CZ120" i="1"/>
  <c r="CZ126" i="1" s="1"/>
  <c r="CY39" i="1"/>
  <c r="AB120" i="1"/>
  <c r="AB126" i="1" s="1"/>
  <c r="CT119" i="1"/>
  <c r="CT118" i="1"/>
  <c r="CV118" i="1"/>
  <c r="CV119" i="1"/>
  <c r="CY120" i="1"/>
  <c r="CY126" i="1" s="1"/>
  <c r="AB68" i="1"/>
  <c r="CW120" i="1"/>
  <c r="CW126" i="1" s="1"/>
  <c r="AB37" i="1"/>
  <c r="AB38" i="1"/>
  <c r="CX120" i="1"/>
  <c r="CX126" i="1" s="1"/>
  <c r="CT211" i="1"/>
  <c r="CY211" i="1"/>
  <c r="CW239" i="1"/>
  <c r="CX263" i="1"/>
  <c r="CX264" i="1" s="1"/>
  <c r="AB12" i="1"/>
  <c r="AB11" i="1" s="1"/>
  <c r="AB263" i="1"/>
  <c r="AB264" i="1" s="1"/>
  <c r="CX39" i="1"/>
  <c r="AC120" i="1"/>
  <c r="AC126" i="1" s="1"/>
  <c r="AE197" i="1"/>
  <c r="DA169" i="1"/>
  <c r="DB210" i="1" s="1"/>
  <c r="CZ170" i="1"/>
  <c r="AC42" i="1"/>
  <c r="AC12" i="1"/>
  <c r="AC11" i="1" s="1"/>
  <c r="AC38" i="1"/>
  <c r="AE35" i="1"/>
  <c r="CZ210" i="1"/>
  <c r="CZ211" i="1" s="1"/>
  <c r="AC37" i="1"/>
  <c r="AC263" i="1"/>
  <c r="AC264" i="1" s="1"/>
  <c r="AC194" i="1"/>
  <c r="AC199" i="1"/>
  <c r="CX210" i="1"/>
  <c r="CW210" i="1"/>
  <c r="CZ263" i="1"/>
  <c r="CZ264" i="1" s="1"/>
  <c r="CZ245" i="1"/>
  <c r="CZ246" i="1" s="1"/>
  <c r="CZ12" i="1"/>
  <c r="CZ11" i="1" s="1"/>
  <c r="CZ39" i="1"/>
  <c r="CZ38" i="1"/>
  <c r="CZ42" i="1"/>
  <c r="CZ37" i="1"/>
  <c r="CX209" i="1"/>
  <c r="CW170" i="1"/>
  <c r="CW209" i="1"/>
  <c r="DA27" i="1"/>
  <c r="DA9" i="1"/>
  <c r="DA26" i="1"/>
  <c r="DA36" i="1"/>
  <c r="DA161" i="1"/>
  <c r="AE106" i="1"/>
  <c r="AE107" i="1" s="1"/>
  <c r="AE110" i="1" s="1"/>
  <c r="AE201" i="1"/>
  <c r="AE7" i="1"/>
  <c r="AE19" i="1"/>
  <c r="AE66" i="1"/>
  <c r="AE192" i="1"/>
  <c r="AB199" i="1"/>
  <c r="AB202" i="1" s="1"/>
  <c r="AB203" i="1" s="1"/>
  <c r="AB194" i="1"/>
  <c r="DA23" i="1"/>
  <c r="AE23" i="1" s="1"/>
  <c r="AE24" i="1" s="1"/>
  <c r="CW245" i="1"/>
  <c r="CW246" i="1" s="1"/>
  <c r="CW263" i="1"/>
  <c r="CW264" i="1" s="1"/>
  <c r="CW12" i="1"/>
  <c r="CW11" i="1" s="1"/>
  <c r="CW38" i="1"/>
  <c r="CW39" i="1"/>
  <c r="CZ239" i="1"/>
  <c r="CW37" i="1"/>
  <c r="CW42" i="1"/>
  <c r="CX239" i="1"/>
  <c r="CY239" i="1"/>
  <c r="AD195" i="1"/>
  <c r="AD170" i="1"/>
  <c r="DB170" i="1"/>
  <c r="AE210" i="1"/>
  <c r="AD209" i="1"/>
  <c r="AD211" i="1" s="1"/>
  <c r="DB42" i="1" l="1"/>
  <c r="DB38" i="1"/>
  <c r="DB37" i="1"/>
  <c r="DB39" i="1"/>
  <c r="DB12" i="1"/>
  <c r="DB11" i="1" s="1"/>
  <c r="AD26" i="1"/>
  <c r="AD36" i="1"/>
  <c r="AD120" i="1" s="1"/>
  <c r="AD126" i="1" s="1"/>
  <c r="AD9" i="1"/>
  <c r="AD8" i="1" s="1"/>
  <c r="AD25" i="1"/>
  <c r="CZ119" i="1"/>
  <c r="CZ118" i="1"/>
  <c r="DB263" i="1"/>
  <c r="DB264" i="1" s="1"/>
  <c r="CY118" i="1"/>
  <c r="CY119" i="1"/>
  <c r="DB120" i="1"/>
  <c r="DB126" i="1" s="1"/>
  <c r="CX118" i="1"/>
  <c r="CX119" i="1"/>
  <c r="CW119" i="1"/>
  <c r="CW118" i="1"/>
  <c r="DA120" i="1"/>
  <c r="DA126" i="1" s="1"/>
  <c r="DA210" i="1"/>
  <c r="CX211" i="1"/>
  <c r="AE211" i="1"/>
  <c r="CW211" i="1"/>
  <c r="AE9" i="1"/>
  <c r="AE67" i="1"/>
  <c r="AE25" i="1"/>
  <c r="AE36" i="1"/>
  <c r="AE26" i="1"/>
  <c r="AE195" i="1"/>
  <c r="AE170" i="1"/>
  <c r="AD194" i="1"/>
  <c r="AD199" i="1"/>
  <c r="AD202" i="1" s="1"/>
  <c r="AD203" i="1" s="1"/>
  <c r="DB209" i="1"/>
  <c r="DB211" i="1" s="1"/>
  <c r="DA170" i="1"/>
  <c r="DA209" i="1"/>
  <c r="AC202" i="1"/>
  <c r="AC203" i="1" s="1"/>
  <c r="DA263" i="1"/>
  <c r="DA264" i="1" s="1"/>
  <c r="DA245" i="1"/>
  <c r="DA246" i="1" s="1"/>
  <c r="DA39" i="1"/>
  <c r="DA37" i="1"/>
  <c r="DA38" i="1"/>
  <c r="DA12" i="1"/>
  <c r="DA11" i="1" s="1"/>
  <c r="DA42" i="1"/>
  <c r="DA239" i="1"/>
  <c r="DB239" i="1"/>
  <c r="AE38" i="1" l="1"/>
  <c r="AD38" i="1"/>
  <c r="AD68" i="1"/>
  <c r="AD37" i="1"/>
  <c r="AD42" i="1"/>
  <c r="AD12" i="1"/>
  <c r="AD11" i="1" s="1"/>
  <c r="AD263" i="1"/>
  <c r="AD264" i="1" s="1"/>
  <c r="DA211" i="1"/>
  <c r="DA119" i="1"/>
  <c r="DA118" i="1"/>
  <c r="DB119" i="1"/>
  <c r="DB118" i="1"/>
  <c r="AE199" i="1"/>
  <c r="AE202" i="1" s="1"/>
  <c r="AE203" i="1" s="1"/>
  <c r="AE194" i="1"/>
  <c r="AE8" i="1"/>
  <c r="AE263" i="1"/>
  <c r="AE264" i="1" s="1"/>
  <c r="AE120" i="1"/>
  <c r="AE126" i="1" s="1"/>
  <c r="AE37" i="1"/>
  <c r="AE68" i="1"/>
  <c r="AE12" i="1"/>
  <c r="AE11" i="1" s="1"/>
  <c r="AE42" i="1"/>
  <c r="CM47" i="1"/>
  <c r="CM49" i="1" l="1"/>
  <c r="CM50" i="1" l="1"/>
  <c r="CM258" i="1" s="1"/>
  <c r="CM56" i="1"/>
  <c r="CM247" i="1"/>
  <c r="CM51" i="1"/>
  <c r="CM52" i="1"/>
  <c r="CM240" i="1"/>
  <c r="CM132" i="1" l="1"/>
  <c r="CM206" i="1"/>
  <c r="CM208" i="1" s="1"/>
  <c r="CM212" i="1" s="1"/>
  <c r="CM226" i="1" s="1"/>
  <c r="CM74" i="1"/>
  <c r="CM77" i="1" l="1"/>
  <c r="CM133" i="1"/>
  <c r="CM93" i="1" l="1"/>
  <c r="CI97" i="1"/>
  <c r="CM78" i="1"/>
  <c r="CM142" i="1"/>
  <c r="CM63" i="1" s="1"/>
  <c r="CM100" i="1"/>
  <c r="CM102" i="1" s="1"/>
  <c r="CM220" i="1"/>
  <c r="CM218" i="1" s="1"/>
  <c r="CM223" i="1" s="1"/>
  <c r="CM62" i="1"/>
  <c r="CM173" i="1" l="1"/>
  <c r="CM174" i="1" s="1"/>
  <c r="CM224" i="1" s="1"/>
  <c r="CN222" i="1" l="1"/>
  <c r="CM259" i="1"/>
  <c r="CM181" i="1"/>
  <c r="CM117" i="1" s="1"/>
  <c r="CM261" i="1"/>
  <c r="CM178" i="1"/>
  <c r="CM179" i="1" s="1"/>
  <c r="CM257" i="1"/>
  <c r="CM115" i="1" l="1"/>
  <c r="CM116" i="1"/>
  <c r="CN44" i="1"/>
  <c r="CN46" i="1" l="1"/>
  <c r="CN265" i="1"/>
  <c r="CN47" i="1" l="1"/>
  <c r="CN49" i="1" s="1"/>
  <c r="CN50" i="1" l="1"/>
  <c r="CN258" i="1" s="1"/>
  <c r="CN56" i="1"/>
  <c r="CN247" i="1"/>
  <c r="CN51" i="1"/>
  <c r="CN52" i="1"/>
  <c r="CN240" i="1"/>
  <c r="CN74" i="1" l="1"/>
  <c r="CN206" i="1"/>
  <c r="CN208" i="1" s="1"/>
  <c r="CN212" i="1" s="1"/>
  <c r="CN226" i="1" s="1"/>
  <c r="CN132" i="1"/>
  <c r="CN133" i="1" l="1"/>
  <c r="CN77" i="1"/>
  <c r="CN93" i="1" l="1"/>
  <c r="CN78" i="1"/>
  <c r="CJ97" i="1"/>
  <c r="CN100" i="1"/>
  <c r="CN102" i="1" s="1"/>
  <c r="CN220" i="1"/>
  <c r="CN218" i="1" s="1"/>
  <c r="CN223" i="1" s="1"/>
  <c r="CN142" i="1"/>
  <c r="CN63" i="1" s="1"/>
  <c r="CN62" i="1"/>
  <c r="CN173" i="1" l="1"/>
  <c r="CN174" i="1" s="1"/>
  <c r="CN224" i="1" s="1"/>
  <c r="CN257" i="1" l="1"/>
  <c r="CN259" i="1"/>
  <c r="CN178" i="1"/>
  <c r="CN179" i="1" s="1"/>
  <c r="CO222" i="1"/>
  <c r="CN261" i="1"/>
  <c r="CN181" i="1"/>
  <c r="CN117" i="1" s="1"/>
  <c r="CN116" i="1" l="1"/>
  <c r="CN115" i="1"/>
  <c r="CO44" i="1"/>
  <c r="CO46" i="1" l="1"/>
  <c r="CO265" i="1"/>
  <c r="CO47" i="1" l="1"/>
  <c r="CO49" i="1" l="1"/>
  <c r="CO56" i="1" l="1"/>
  <c r="CO51" i="1"/>
  <c r="CO52" i="1"/>
  <c r="CO247" i="1"/>
  <c r="CO50" i="1"/>
  <c r="CO258" i="1" s="1"/>
  <c r="CO240" i="1"/>
  <c r="CO74" i="1" l="1"/>
  <c r="CO206" i="1"/>
  <c r="CO208" i="1" s="1"/>
  <c r="CO212" i="1" s="1"/>
  <c r="CO226" i="1" s="1"/>
  <c r="CO132" i="1"/>
  <c r="CO133" i="1" l="1"/>
  <c r="CO77" i="1"/>
  <c r="CO220" i="1" l="1"/>
  <c r="CO218" i="1" s="1"/>
  <c r="CO223" i="1" s="1"/>
  <c r="CO100" i="1"/>
  <c r="CO102" i="1" s="1"/>
  <c r="CO142" i="1"/>
  <c r="CO63" i="1" s="1"/>
  <c r="CO62" i="1"/>
  <c r="CO78" i="1"/>
  <c r="CK97" i="1"/>
  <c r="CO93" i="1"/>
  <c r="CO173" i="1" l="1"/>
  <c r="CO174" i="1" s="1"/>
  <c r="CO224" i="1" s="1"/>
  <c r="CO178" i="1" l="1"/>
  <c r="CO179" i="1" s="1"/>
  <c r="CO261" i="1"/>
  <c r="CO181" i="1"/>
  <c r="CO117" i="1" s="1"/>
  <c r="CO259" i="1"/>
  <c r="CO257" i="1"/>
  <c r="CP222" i="1"/>
  <c r="CO115" i="1" l="1"/>
  <c r="CO116" i="1"/>
  <c r="CP44" i="1"/>
  <c r="CP46" i="1" l="1"/>
  <c r="CP265" i="1"/>
  <c r="AB44" i="1"/>
  <c r="AB45" i="1" l="1"/>
  <c r="AB46" i="1"/>
  <c r="AB265" i="1"/>
  <c r="CP47" i="1"/>
  <c r="AB47" i="1" s="1"/>
  <c r="CP49" i="1" l="1"/>
  <c r="CP52" i="1" s="1"/>
  <c r="AB49" i="1"/>
  <c r="AB51" i="1" s="1"/>
  <c r="AB48" i="1"/>
  <c r="AB50" i="1" l="1"/>
  <c r="AB258" i="1" s="1"/>
  <c r="CP240" i="1"/>
  <c r="CP247" i="1"/>
  <c r="CP50" i="1"/>
  <c r="CP258" i="1" s="1"/>
  <c r="CP51" i="1"/>
  <c r="CP56" i="1"/>
  <c r="CP132" i="1" s="1"/>
  <c r="AB69" i="1"/>
  <c r="AB56" i="1"/>
  <c r="AB59" i="1" s="1"/>
  <c r="AB60" i="1" s="1"/>
  <c r="CP206" i="1" l="1"/>
  <c r="CP208" i="1" s="1"/>
  <c r="CP212" i="1" s="1"/>
  <c r="CP226" i="1" s="1"/>
  <c r="CP74" i="1"/>
  <c r="CP77" i="1" s="1"/>
  <c r="CL97" i="1" s="1"/>
  <c r="AB74" i="1"/>
  <c r="AB206" i="1"/>
  <c r="AB208" i="1" s="1"/>
  <c r="AB212" i="1" s="1"/>
  <c r="AB226" i="1" s="1"/>
  <c r="CP133" i="1"/>
  <c r="AB132" i="1"/>
  <c r="AB133" i="1" s="1"/>
  <c r="AB77" i="1" l="1"/>
  <c r="AB76" i="1"/>
  <c r="CP78" i="1"/>
  <c r="CP93" i="1"/>
  <c r="CP80" i="1"/>
  <c r="AB142" i="1"/>
  <c r="AB63" i="1" s="1"/>
  <c r="AB220" i="1"/>
  <c r="AB218" i="1" s="1"/>
  <c r="AB223" i="1" s="1"/>
  <c r="AB188" i="1"/>
  <c r="AB100" i="1"/>
  <c r="AB102" i="1" s="1"/>
  <c r="AB62" i="1"/>
  <c r="CP142" i="1"/>
  <c r="CP63" i="1" s="1"/>
  <c r="CP100" i="1"/>
  <c r="CP102" i="1" s="1"/>
  <c r="CP220" i="1"/>
  <c r="CP218" i="1" s="1"/>
  <c r="CP223" i="1" s="1"/>
  <c r="CP62" i="1"/>
  <c r="AB93" i="1" l="1"/>
  <c r="AA97" i="1"/>
  <c r="AB78" i="1"/>
  <c r="CP173" i="1"/>
  <c r="AB173" i="1" l="1"/>
  <c r="AB174" i="1" s="1"/>
  <c r="CP174" i="1"/>
  <c r="CP261" i="1" l="1"/>
  <c r="CP257" i="1"/>
  <c r="CP259" i="1"/>
  <c r="CP181" i="1"/>
  <c r="CP117" i="1" s="1"/>
  <c r="CP178" i="1"/>
  <c r="CP179" i="1" s="1"/>
  <c r="CQ222" i="1"/>
  <c r="CP224" i="1"/>
  <c r="AB259" i="1"/>
  <c r="AC222" i="1"/>
  <c r="AB178" i="1"/>
  <c r="AB179" i="1" s="1"/>
  <c r="AB261" i="1"/>
  <c r="AB257" i="1"/>
  <c r="AB181" i="1"/>
  <c r="AB117" i="1" s="1"/>
  <c r="AB224" i="1"/>
  <c r="CP116" i="1" l="1"/>
  <c r="CP115" i="1"/>
  <c r="CQ44" i="1"/>
  <c r="CQ46" i="1" l="1"/>
  <c r="CQ265" i="1"/>
  <c r="CQ47" i="1" l="1"/>
  <c r="CQ49" i="1" s="1"/>
  <c r="CQ51" i="1" l="1"/>
  <c r="CQ247" i="1"/>
  <c r="CQ50" i="1"/>
  <c r="CQ258" i="1" s="1"/>
  <c r="CQ56" i="1"/>
  <c r="CQ52" i="1"/>
  <c r="CQ240" i="1"/>
  <c r="CQ74" i="1" l="1"/>
  <c r="CQ206" i="1"/>
  <c r="CQ208" i="1" s="1"/>
  <c r="CQ212" i="1" s="1"/>
  <c r="CQ226" i="1" s="1"/>
  <c r="CQ132" i="1"/>
  <c r="CQ77" i="1" l="1"/>
  <c r="CQ133" i="1"/>
  <c r="CQ220" i="1" l="1"/>
  <c r="CQ218" i="1" s="1"/>
  <c r="CQ223" i="1" s="1"/>
  <c r="CQ100" i="1"/>
  <c r="CQ102" i="1" s="1"/>
  <c r="CQ142" i="1"/>
  <c r="CQ63" i="1" s="1"/>
  <c r="CQ62" i="1"/>
  <c r="CQ93" i="1"/>
  <c r="CQ78" i="1"/>
  <c r="CQ173" i="1" l="1"/>
  <c r="CQ174" i="1" s="1"/>
  <c r="CQ257" i="1" l="1"/>
  <c r="CR222" i="1"/>
  <c r="CQ181" i="1"/>
  <c r="CQ117" i="1" s="1"/>
  <c r="CQ259" i="1"/>
  <c r="CQ261" i="1"/>
  <c r="CQ178" i="1"/>
  <c r="CQ179" i="1" s="1"/>
  <c r="CQ224" i="1"/>
  <c r="CQ116" i="1" l="1"/>
  <c r="CQ115" i="1"/>
  <c r="CR44" i="1"/>
  <c r="CR265" i="1" l="1"/>
  <c r="CR46" i="1"/>
  <c r="CR47" i="1" l="1"/>
  <c r="CR49" i="1" s="1"/>
  <c r="CR51" i="1" l="1"/>
  <c r="CR52" i="1"/>
  <c r="CR56" i="1"/>
  <c r="CR50" i="1"/>
  <c r="CR258" i="1" s="1"/>
  <c r="CR247" i="1"/>
  <c r="CR240" i="1"/>
  <c r="CR74" i="1" l="1"/>
  <c r="CR206" i="1"/>
  <c r="CR208" i="1" s="1"/>
  <c r="CR212" i="1" s="1"/>
  <c r="CR226" i="1" s="1"/>
  <c r="CR132" i="1"/>
  <c r="CR133" i="1" l="1"/>
  <c r="CR77" i="1"/>
  <c r="CR93" i="1" l="1"/>
  <c r="CR78" i="1"/>
  <c r="CR220" i="1"/>
  <c r="CR218" i="1" s="1"/>
  <c r="CR223" i="1" s="1"/>
  <c r="CR100" i="1"/>
  <c r="CR102" i="1" s="1"/>
  <c r="CR142" i="1"/>
  <c r="CR63" i="1" s="1"/>
  <c r="CR62" i="1"/>
  <c r="CR173" i="1" l="1"/>
  <c r="CR174" i="1" s="1"/>
  <c r="CS222" i="1" l="1"/>
  <c r="CR259" i="1"/>
  <c r="CR261" i="1"/>
  <c r="CR257" i="1"/>
  <c r="CR181" i="1"/>
  <c r="CR117" i="1" s="1"/>
  <c r="CR178" i="1"/>
  <c r="CR179" i="1" s="1"/>
  <c r="CR224" i="1"/>
  <c r="CR116" i="1" l="1"/>
  <c r="CR115" i="1"/>
  <c r="CS44" i="1"/>
  <c r="CS46" i="1" l="1"/>
  <c r="CS265" i="1"/>
  <c r="CS47" i="1" l="1"/>
  <c r="CS49" i="1" s="1"/>
  <c r="CS247" i="1" l="1"/>
  <c r="CS52" i="1"/>
  <c r="CS56" i="1"/>
  <c r="CS51" i="1"/>
  <c r="CS50" i="1"/>
  <c r="CS258" i="1" s="1"/>
  <c r="CS240" i="1"/>
  <c r="CS74" i="1" l="1"/>
  <c r="CS206" i="1"/>
  <c r="CS208" i="1" s="1"/>
  <c r="CS212" i="1" s="1"/>
  <c r="CS226" i="1" s="1"/>
  <c r="CS132" i="1"/>
  <c r="CS133" i="1" l="1"/>
  <c r="CS77" i="1"/>
  <c r="CS93" i="1" l="1"/>
  <c r="CS78" i="1"/>
  <c r="CS142" i="1"/>
  <c r="CS63" i="1" s="1"/>
  <c r="CS100" i="1"/>
  <c r="CS102" i="1" s="1"/>
  <c r="CS220" i="1"/>
  <c r="CS218" i="1" s="1"/>
  <c r="CS223" i="1" s="1"/>
  <c r="CS62" i="1"/>
  <c r="CS173" i="1" l="1"/>
  <c r="CS174" i="1" s="1"/>
  <c r="CT222" i="1" l="1"/>
  <c r="CS261" i="1"/>
  <c r="CS181" i="1"/>
  <c r="CS117" i="1" s="1"/>
  <c r="CS257" i="1"/>
  <c r="CS178" i="1"/>
  <c r="CS179" i="1" s="1"/>
  <c r="CS259" i="1"/>
  <c r="CS224" i="1"/>
  <c r="CS115" i="1" l="1"/>
  <c r="CS116" i="1"/>
  <c r="CT44" i="1"/>
  <c r="CT265" i="1" l="1"/>
  <c r="CT46" i="1"/>
  <c r="AC44" i="1"/>
  <c r="CT47" i="1" l="1"/>
  <c r="AC47" i="1" s="1"/>
  <c r="AC265" i="1"/>
  <c r="AC45" i="1"/>
  <c r="AC46" i="1"/>
  <c r="AC49" i="1" l="1"/>
  <c r="AC50" i="1" s="1"/>
  <c r="AC258" i="1" s="1"/>
  <c r="CT49" i="1"/>
  <c r="AC48" i="1"/>
  <c r="AC51" i="1" l="1"/>
  <c r="AC56" i="1"/>
  <c r="AC74" i="1" s="1"/>
  <c r="CT50" i="1"/>
  <c r="CT258" i="1" s="1"/>
  <c r="CT52" i="1"/>
  <c r="CT247" i="1"/>
  <c r="CT51" i="1"/>
  <c r="CT56" i="1"/>
  <c r="CT240" i="1"/>
  <c r="AC69" i="1"/>
  <c r="AC206" i="1" l="1"/>
  <c r="AC208" i="1" s="1"/>
  <c r="AC212" i="1" s="1"/>
  <c r="AC226" i="1" s="1"/>
  <c r="AC59" i="1"/>
  <c r="AC60" i="1" s="1"/>
  <c r="CT206" i="1"/>
  <c r="CT208" i="1" s="1"/>
  <c r="CT212" i="1" s="1"/>
  <c r="CT226" i="1" s="1"/>
  <c r="CT74" i="1"/>
  <c r="CT132" i="1"/>
  <c r="AC77" i="1"/>
  <c r="AC76" i="1"/>
  <c r="AC78" i="1" l="1"/>
  <c r="AC93" i="1"/>
  <c r="CT77" i="1"/>
  <c r="AC132" i="1"/>
  <c r="AC133" i="1" s="1"/>
  <c r="CT133" i="1"/>
  <c r="CT80" i="1" l="1"/>
  <c r="CT93" i="1"/>
  <c r="CT78" i="1"/>
  <c r="CT142" i="1"/>
  <c r="CT63" i="1" s="1"/>
  <c r="CT100" i="1"/>
  <c r="CT102" i="1" s="1"/>
  <c r="CT220" i="1"/>
  <c r="CT218" i="1" s="1"/>
  <c r="CT223" i="1" s="1"/>
  <c r="CT62" i="1"/>
  <c r="AC220" i="1"/>
  <c r="AC218" i="1" s="1"/>
  <c r="AC223" i="1" s="1"/>
  <c r="AC188" i="1"/>
  <c r="AC142" i="1"/>
  <c r="AC63" i="1" s="1"/>
  <c r="AC100" i="1"/>
  <c r="AC102" i="1" s="1"/>
  <c r="AC62" i="1"/>
  <c r="CT173" i="1" l="1"/>
  <c r="CT174" i="1" l="1"/>
  <c r="AC173" i="1"/>
  <c r="AC174" i="1" s="1"/>
  <c r="CT178" i="1" l="1"/>
  <c r="CT179" i="1" s="1"/>
  <c r="CT259" i="1"/>
  <c r="CU222" i="1"/>
  <c r="CT257" i="1"/>
  <c r="CT181" i="1"/>
  <c r="CT117" i="1" s="1"/>
  <c r="CT261" i="1"/>
  <c r="CT224" i="1"/>
  <c r="AD222" i="1"/>
  <c r="AC259" i="1"/>
  <c r="AC178" i="1"/>
  <c r="AC179" i="1" s="1"/>
  <c r="AC261" i="1"/>
  <c r="AC181" i="1"/>
  <c r="AC117" i="1" s="1"/>
  <c r="AC257" i="1"/>
  <c r="AC224" i="1"/>
  <c r="CT116" i="1" l="1"/>
  <c r="CT115" i="1"/>
  <c r="CU44" i="1"/>
  <c r="CU46" i="1" l="1"/>
  <c r="CU265" i="1"/>
  <c r="CU47" i="1" l="1"/>
  <c r="CU49" i="1" s="1"/>
  <c r="CU51" i="1" l="1"/>
  <c r="CU56" i="1"/>
  <c r="CU247" i="1"/>
  <c r="CU50" i="1"/>
  <c r="CU258" i="1" s="1"/>
  <c r="CU52" i="1"/>
  <c r="CU240" i="1"/>
  <c r="CU74" i="1" l="1"/>
  <c r="CU206" i="1"/>
  <c r="CU208" i="1" s="1"/>
  <c r="CU212" i="1" s="1"/>
  <c r="CU226" i="1" s="1"/>
  <c r="CU132" i="1"/>
  <c r="CU77" i="1" l="1"/>
  <c r="CU133" i="1"/>
  <c r="CU100" i="1" l="1"/>
  <c r="CU102" i="1" s="1"/>
  <c r="CU142" i="1"/>
  <c r="CU63" i="1" s="1"/>
  <c r="CU220" i="1"/>
  <c r="CU218" i="1" s="1"/>
  <c r="CU223" i="1" s="1"/>
  <c r="CU62" i="1"/>
  <c r="CU93" i="1"/>
  <c r="CU78" i="1"/>
  <c r="CU173" i="1" l="1"/>
  <c r="CU174" i="1" s="1"/>
  <c r="CU181" i="1" l="1"/>
  <c r="CU117" i="1" s="1"/>
  <c r="CU261" i="1"/>
  <c r="CU259" i="1"/>
  <c r="CU257" i="1"/>
  <c r="CV222" i="1"/>
  <c r="CU178" i="1"/>
  <c r="CU179" i="1" s="1"/>
  <c r="CU224" i="1"/>
  <c r="CU115" i="1" l="1"/>
  <c r="CU116" i="1"/>
  <c r="CV44" i="1"/>
  <c r="CV46" i="1" l="1"/>
  <c r="CV265" i="1"/>
  <c r="CV47" i="1" l="1"/>
  <c r="CV49" i="1" s="1"/>
  <c r="CV50" i="1" l="1"/>
  <c r="CV258" i="1" s="1"/>
  <c r="CV51" i="1"/>
  <c r="CV56" i="1"/>
  <c r="CV247" i="1"/>
  <c r="CV52" i="1"/>
  <c r="CV240" i="1"/>
  <c r="CV74" i="1" l="1"/>
  <c r="CV206" i="1"/>
  <c r="CV208" i="1" s="1"/>
  <c r="CV212" i="1" s="1"/>
  <c r="CV226" i="1" s="1"/>
  <c r="CV132" i="1"/>
  <c r="CV133" i="1" l="1"/>
  <c r="CV77" i="1"/>
  <c r="CV100" i="1" l="1"/>
  <c r="CV102" i="1" s="1"/>
  <c r="CV220" i="1"/>
  <c r="CV218" i="1" s="1"/>
  <c r="CV223" i="1" s="1"/>
  <c r="CV142" i="1"/>
  <c r="CV63" i="1" s="1"/>
  <c r="CV62" i="1"/>
  <c r="CV93" i="1"/>
  <c r="CV78" i="1"/>
  <c r="CV173" i="1" l="1"/>
  <c r="CV174" i="1" s="1"/>
  <c r="CV224" i="1" s="1"/>
  <c r="CV178" i="1" l="1"/>
  <c r="CV179" i="1" s="1"/>
  <c r="CV181" i="1"/>
  <c r="CV117" i="1" s="1"/>
  <c r="CV261" i="1"/>
  <c r="CV259" i="1"/>
  <c r="CV257" i="1"/>
  <c r="CW222" i="1"/>
  <c r="CV116" i="1" l="1"/>
  <c r="CV115" i="1"/>
  <c r="CW44" i="1"/>
  <c r="CW265" i="1" l="1"/>
  <c r="CW46" i="1"/>
  <c r="CW47" i="1" l="1"/>
  <c r="CW49" i="1" s="1"/>
  <c r="CW50" i="1" l="1"/>
  <c r="CW258" i="1" s="1"/>
  <c r="CW52" i="1"/>
  <c r="CW51" i="1"/>
  <c r="CW247" i="1"/>
  <c r="CW56" i="1"/>
  <c r="CW240" i="1"/>
  <c r="CW74" i="1" l="1"/>
  <c r="CW206" i="1"/>
  <c r="CW208" i="1" s="1"/>
  <c r="CW212" i="1" s="1"/>
  <c r="CW226" i="1" s="1"/>
  <c r="CW132" i="1"/>
  <c r="CW133" i="1" l="1"/>
  <c r="CW77" i="1"/>
  <c r="CW93" i="1" l="1"/>
  <c r="CW78" i="1"/>
  <c r="CW220" i="1"/>
  <c r="CW218" i="1" s="1"/>
  <c r="CW223" i="1" s="1"/>
  <c r="CW100" i="1"/>
  <c r="CW102" i="1" s="1"/>
  <c r="CW142" i="1"/>
  <c r="CW63" i="1" s="1"/>
  <c r="CW62" i="1"/>
  <c r="CW173" i="1" l="1"/>
  <c r="CW174" i="1" s="1"/>
  <c r="CX222" i="1" l="1"/>
  <c r="CW261" i="1"/>
  <c r="CW259" i="1"/>
  <c r="CW181" i="1"/>
  <c r="CW117" i="1" s="1"/>
  <c r="CW257" i="1"/>
  <c r="CW178" i="1"/>
  <c r="CW179" i="1" s="1"/>
  <c r="CW224" i="1"/>
  <c r="CW115" i="1" l="1"/>
  <c r="CW116" i="1"/>
  <c r="CX44" i="1"/>
  <c r="CX46" i="1" l="1"/>
  <c r="CX265" i="1"/>
  <c r="AD44" i="1"/>
  <c r="CX47" i="1" l="1"/>
  <c r="AD47" i="1" s="1"/>
  <c r="AD46" i="1"/>
  <c r="AD45" i="1"/>
  <c r="AD265" i="1"/>
  <c r="AD49" i="1" l="1"/>
  <c r="AD50" i="1" s="1"/>
  <c r="AD258" i="1" s="1"/>
  <c r="AD48" i="1"/>
  <c r="CX49" i="1"/>
  <c r="AD56" i="1" l="1"/>
  <c r="AD74" i="1" s="1"/>
  <c r="AD51" i="1"/>
  <c r="CX56" i="1"/>
  <c r="CX50" i="1"/>
  <c r="CX258" i="1" s="1"/>
  <c r="CX247" i="1"/>
  <c r="CX52" i="1"/>
  <c r="CX51" i="1"/>
  <c r="CX240" i="1"/>
  <c r="AD69" i="1"/>
  <c r="AD206" i="1" l="1"/>
  <c r="AD208" i="1" s="1"/>
  <c r="AD212" i="1" s="1"/>
  <c r="AD226" i="1" s="1"/>
  <c r="AD59" i="1"/>
  <c r="AD60" i="1" s="1"/>
  <c r="AD77" i="1"/>
  <c r="AD76" i="1"/>
  <c r="CX206" i="1"/>
  <c r="CX208" i="1" s="1"/>
  <c r="CX212" i="1" s="1"/>
  <c r="CX226" i="1" s="1"/>
  <c r="CX74" i="1"/>
  <c r="CX132" i="1"/>
  <c r="CX133" i="1" l="1"/>
  <c r="AD132" i="1"/>
  <c r="AD133" i="1" s="1"/>
  <c r="CX77" i="1"/>
  <c r="CX80" i="1" s="1"/>
  <c r="AD93" i="1"/>
  <c r="AD78" i="1"/>
  <c r="CX93" i="1" l="1"/>
  <c r="CX78" i="1"/>
  <c r="AD220" i="1"/>
  <c r="AD218" i="1" s="1"/>
  <c r="AD223" i="1" s="1"/>
  <c r="AD100" i="1"/>
  <c r="AD102" i="1" s="1"/>
  <c r="AD142" i="1"/>
  <c r="AD63" i="1" s="1"/>
  <c r="AD188" i="1"/>
  <c r="AD62" i="1"/>
  <c r="CX142" i="1"/>
  <c r="CX63" i="1" s="1"/>
  <c r="CX220" i="1"/>
  <c r="CX218" i="1" s="1"/>
  <c r="CX223" i="1" s="1"/>
  <c r="CX100" i="1"/>
  <c r="CX102" i="1" s="1"/>
  <c r="CX62" i="1"/>
  <c r="CX173" i="1" l="1"/>
  <c r="AD173" i="1" l="1"/>
  <c r="AD174" i="1" s="1"/>
  <c r="CX174" i="1"/>
  <c r="AD257" i="1" l="1"/>
  <c r="AD261" i="1"/>
  <c r="AD259" i="1"/>
  <c r="AE222" i="1"/>
  <c r="AD178" i="1"/>
  <c r="AD179" i="1" s="1"/>
  <c r="AD181" i="1"/>
  <c r="AD117" i="1" s="1"/>
  <c r="AD224" i="1"/>
  <c r="CX178" i="1"/>
  <c r="CX179" i="1" s="1"/>
  <c r="CX259" i="1"/>
  <c r="CX257" i="1"/>
  <c r="CY222" i="1"/>
  <c r="CX181" i="1"/>
  <c r="CX117" i="1" s="1"/>
  <c r="CX261" i="1"/>
  <c r="CX224" i="1"/>
  <c r="CX115" i="1" l="1"/>
  <c r="CX116" i="1"/>
  <c r="CY44" i="1"/>
  <c r="CY265" i="1" l="1"/>
  <c r="CY46" i="1"/>
  <c r="CY47" i="1" l="1"/>
  <c r="CY49" i="1" l="1"/>
  <c r="CY56" i="1" l="1"/>
  <c r="CY50" i="1"/>
  <c r="CY258" i="1" s="1"/>
  <c r="CY51" i="1"/>
  <c r="CY247" i="1"/>
  <c r="CY52" i="1"/>
  <c r="CY240" i="1"/>
  <c r="CY206" i="1" l="1"/>
  <c r="CY208" i="1" s="1"/>
  <c r="CY212" i="1" s="1"/>
  <c r="CY226" i="1" s="1"/>
  <c r="CY74" i="1"/>
  <c r="CY132" i="1"/>
  <c r="CY133" i="1" l="1"/>
  <c r="CY77" i="1"/>
  <c r="CY220" i="1" l="1"/>
  <c r="CY218" i="1" s="1"/>
  <c r="CY223" i="1" s="1"/>
  <c r="CY142" i="1"/>
  <c r="CY63" i="1" s="1"/>
  <c r="CY100" i="1"/>
  <c r="CY102" i="1" s="1"/>
  <c r="CY62" i="1"/>
  <c r="CY93" i="1"/>
  <c r="CY78" i="1"/>
  <c r="CY173" i="1" l="1"/>
  <c r="CY174" i="1" s="1"/>
  <c r="CY178" i="1" l="1"/>
  <c r="CY179" i="1" s="1"/>
  <c r="CZ222" i="1"/>
  <c r="CY181" i="1"/>
  <c r="CY117" i="1" s="1"/>
  <c r="CY261" i="1"/>
  <c r="CY259" i="1"/>
  <c r="CY257" i="1"/>
  <c r="CY224" i="1"/>
  <c r="CY116" i="1" l="1"/>
  <c r="CY115" i="1"/>
  <c r="CZ44" i="1"/>
  <c r="CZ265" i="1" l="1"/>
  <c r="CZ46" i="1"/>
  <c r="CZ47" i="1" l="1"/>
  <c r="CZ49" i="1" s="1"/>
  <c r="CZ56" i="1" l="1"/>
  <c r="CZ50" i="1"/>
  <c r="CZ258" i="1" s="1"/>
  <c r="CZ247" i="1"/>
  <c r="CZ51" i="1"/>
  <c r="CZ52" i="1"/>
  <c r="CZ240" i="1"/>
  <c r="CZ206" i="1" l="1"/>
  <c r="CZ208" i="1" s="1"/>
  <c r="CZ212" i="1" s="1"/>
  <c r="CZ226" i="1" s="1"/>
  <c r="CZ74" i="1"/>
  <c r="CZ132" i="1"/>
  <c r="CZ133" i="1" l="1"/>
  <c r="CZ77" i="1"/>
  <c r="CZ93" i="1" l="1"/>
  <c r="CZ78" i="1"/>
  <c r="CZ220" i="1"/>
  <c r="CZ218" i="1" s="1"/>
  <c r="CZ223" i="1" s="1"/>
  <c r="CZ100" i="1"/>
  <c r="CZ102" i="1" s="1"/>
  <c r="CZ142" i="1"/>
  <c r="CZ63" i="1" s="1"/>
  <c r="CZ62" i="1"/>
  <c r="CZ173" i="1" l="1"/>
  <c r="CZ174" i="1" s="1"/>
  <c r="DA222" i="1" l="1"/>
  <c r="CZ181" i="1"/>
  <c r="CZ117" i="1" s="1"/>
  <c r="CZ257" i="1"/>
  <c r="CZ261" i="1"/>
  <c r="CZ259" i="1"/>
  <c r="CZ178" i="1"/>
  <c r="CZ179" i="1" s="1"/>
  <c r="CZ224" i="1"/>
  <c r="CZ115" i="1" l="1"/>
  <c r="CZ116" i="1"/>
  <c r="DA44" i="1"/>
  <c r="DA265" i="1" l="1"/>
  <c r="DA46" i="1"/>
  <c r="DA47" i="1" l="1"/>
  <c r="DA49" i="1" l="1"/>
  <c r="DA247" i="1" l="1"/>
  <c r="DA52" i="1"/>
  <c r="DA50" i="1"/>
  <c r="DA258" i="1" s="1"/>
  <c r="DA56" i="1"/>
  <c r="DA51" i="1"/>
  <c r="DA240" i="1"/>
  <c r="DA206" i="1" l="1"/>
  <c r="DA208" i="1" s="1"/>
  <c r="DA212" i="1" s="1"/>
  <c r="DA226" i="1" s="1"/>
  <c r="DA74" i="1"/>
  <c r="DA132" i="1"/>
  <c r="DA77" i="1" l="1"/>
  <c r="DA133" i="1"/>
  <c r="DA100" i="1" l="1"/>
  <c r="DA102" i="1" s="1"/>
  <c r="DA142" i="1"/>
  <c r="DA63" i="1" s="1"/>
  <c r="DA220" i="1"/>
  <c r="DA218" i="1" s="1"/>
  <c r="DA223" i="1" s="1"/>
  <c r="DA62" i="1"/>
  <c r="DA93" i="1"/>
  <c r="DA78" i="1"/>
  <c r="DA173" i="1" l="1"/>
  <c r="DA174" i="1" s="1"/>
  <c r="DB222" i="1" l="1"/>
  <c r="DA259" i="1"/>
  <c r="DA178" i="1"/>
  <c r="DA179" i="1" s="1"/>
  <c r="DA181" i="1"/>
  <c r="DA117" i="1" s="1"/>
  <c r="DA257" i="1"/>
  <c r="DA261" i="1"/>
  <c r="DA224" i="1"/>
  <c r="DA116" i="1" l="1"/>
  <c r="DA115" i="1"/>
  <c r="DB44" i="1"/>
  <c r="DB46" i="1" l="1"/>
  <c r="DB265" i="1"/>
  <c r="AE44" i="1"/>
  <c r="AE265" i="1" l="1"/>
  <c r="AE45" i="1"/>
  <c r="AE46" i="1"/>
  <c r="DB47" i="1"/>
  <c r="AE47" i="1" s="1"/>
  <c r="AE48" i="1" l="1"/>
  <c r="AE49" i="1"/>
  <c r="DB49" i="1"/>
  <c r="DB56" i="1" l="1"/>
  <c r="DB50" i="1"/>
  <c r="DB258" i="1" s="1"/>
  <c r="DB51" i="1"/>
  <c r="DB247" i="1"/>
  <c r="DB52" i="1"/>
  <c r="DB240" i="1"/>
  <c r="AE69" i="1"/>
  <c r="AE56" i="1"/>
  <c r="AE50" i="1"/>
  <c r="AE258" i="1" s="1"/>
  <c r="AE51" i="1"/>
  <c r="AE74" i="1" l="1"/>
  <c r="AE59" i="1"/>
  <c r="AE60" i="1" s="1"/>
  <c r="AE206" i="1"/>
  <c r="AE208" i="1" s="1"/>
  <c r="AE212" i="1" s="1"/>
  <c r="AE226" i="1" s="1"/>
  <c r="DB206" i="1"/>
  <c r="DB208" i="1" s="1"/>
  <c r="DB212" i="1" s="1"/>
  <c r="DB226" i="1" s="1"/>
  <c r="DB74" i="1"/>
  <c r="DB77" i="1" s="1"/>
  <c r="DB132" i="1"/>
  <c r="AE132" i="1" l="1"/>
  <c r="AE133" i="1" s="1"/>
  <c r="DB133" i="1"/>
  <c r="DB93" i="1"/>
  <c r="DB78" i="1"/>
  <c r="AE77" i="1"/>
  <c r="AE76" i="1"/>
  <c r="AE78" i="1" l="1"/>
  <c r="AE93" i="1"/>
  <c r="DB220" i="1"/>
  <c r="DB218" i="1" s="1"/>
  <c r="DB223" i="1" s="1"/>
  <c r="DB142" i="1"/>
  <c r="DB63" i="1" s="1"/>
  <c r="DB100" i="1"/>
  <c r="DB102" i="1" s="1"/>
  <c r="DB62" i="1"/>
  <c r="AE142" i="1"/>
  <c r="AE63" i="1" s="1"/>
  <c r="AE220" i="1"/>
  <c r="AE218" i="1" s="1"/>
  <c r="AE223" i="1" s="1"/>
  <c r="AE100" i="1"/>
  <c r="AE102" i="1" s="1"/>
  <c r="AE188" i="1"/>
  <c r="AE62" i="1"/>
  <c r="DB173" i="1" l="1"/>
  <c r="DB174" i="1" l="1"/>
  <c r="AE173" i="1"/>
  <c r="AE174" i="1" s="1"/>
  <c r="AE261" i="1" l="1"/>
  <c r="AE259" i="1"/>
  <c r="AE181" i="1"/>
  <c r="AE117" i="1" s="1"/>
  <c r="AE178" i="1"/>
  <c r="AE179" i="1" s="1"/>
  <c r="AE257" i="1"/>
  <c r="AE224" i="1"/>
  <c r="DB178" i="1"/>
  <c r="DB179" i="1" s="1"/>
  <c r="DB261" i="1"/>
  <c r="DB257" i="1"/>
  <c r="DB181" i="1"/>
  <c r="DB117" i="1" s="1"/>
  <c r="DB259" i="1"/>
  <c r="DB224" i="1"/>
  <c r="CX87" i="1"/>
  <c r="CX90" i="1" s="1"/>
  <c r="CP87" i="1"/>
  <c r="CP90" i="1" s="1"/>
  <c r="CP86" i="1"/>
  <c r="CP89" i="1" s="1"/>
  <c r="DA87" i="1"/>
  <c r="DA90" i="1" s="1"/>
  <c r="CW87" i="1"/>
  <c r="CW90" i="1" s="1"/>
  <c r="CS87" i="1"/>
  <c r="CS90" i="1" s="1"/>
  <c r="CO87" i="1"/>
  <c r="CO90" i="1" s="1"/>
  <c r="DA86" i="1"/>
  <c r="DA89" i="1" s="1"/>
  <c r="CW86" i="1"/>
  <c r="CW89" i="1" s="1"/>
  <c r="CS86" i="1"/>
  <c r="CS89" i="1" s="1"/>
  <c r="CO86" i="1"/>
  <c r="CO89" i="1" s="1"/>
  <c r="CT87" i="1"/>
  <c r="CT90" i="1" s="1"/>
  <c r="CT86" i="1"/>
  <c r="CT89" i="1" s="1"/>
  <c r="CZ87" i="1"/>
  <c r="CZ90" i="1" s="1"/>
  <c r="CV87" i="1"/>
  <c r="CV90" i="1" s="1"/>
  <c r="CR87" i="1"/>
  <c r="CR90" i="1" s="1"/>
  <c r="CN87" i="1"/>
  <c r="CN90" i="1" s="1"/>
  <c r="CZ86" i="1"/>
  <c r="CZ89" i="1" s="1"/>
  <c r="CV86" i="1"/>
  <c r="CV89" i="1" s="1"/>
  <c r="CR86" i="1"/>
  <c r="CR89" i="1" s="1"/>
  <c r="CN86" i="1"/>
  <c r="CN89" i="1" s="1"/>
  <c r="CX86" i="1"/>
  <c r="CX89" i="1" s="1"/>
  <c r="CY87" i="1"/>
  <c r="CU87" i="1"/>
  <c r="CU90" i="1" s="1"/>
  <c r="CQ87" i="1"/>
  <c r="CQ90" i="1" s="1"/>
  <c r="CM87" i="1"/>
  <c r="CY86" i="1"/>
  <c r="CU86" i="1"/>
  <c r="CU89" i="1" s="1"/>
  <c r="CQ86" i="1"/>
  <c r="CM86" i="1"/>
  <c r="AB87" i="1" l="1"/>
  <c r="AB104" i="1" s="1"/>
  <c r="AC86" i="1"/>
  <c r="AC89" i="1" s="1"/>
  <c r="DB115" i="1"/>
  <c r="DB86" i="1" s="1"/>
  <c r="DB89" i="1" s="1"/>
  <c r="DB116" i="1"/>
  <c r="DB87" i="1" s="1"/>
  <c r="DB90" i="1" s="1"/>
  <c r="AB86" i="1"/>
  <c r="AB94" i="1" s="1"/>
  <c r="CM89" i="1"/>
  <c r="AC87" i="1"/>
  <c r="CY90" i="1"/>
  <c r="AD86" i="1"/>
  <c r="CY89" i="1"/>
  <c r="CM90" i="1"/>
  <c r="CQ89" i="1"/>
  <c r="AD87" i="1"/>
  <c r="AB95" i="1" l="1"/>
  <c r="AB112" i="1"/>
  <c r="AB116" i="1"/>
  <c r="AB119" i="1" s="1"/>
  <c r="AB122" i="1" s="1"/>
  <c r="AB90" i="1"/>
  <c r="AB111" i="1"/>
  <c r="AC94" i="1"/>
  <c r="AC103" i="1"/>
  <c r="AC115" i="1"/>
  <c r="AC118" i="1" s="1"/>
  <c r="AC121" i="1" s="1"/>
  <c r="AC97" i="1"/>
  <c r="AB97" i="1"/>
  <c r="AC111" i="1"/>
  <c r="AE86" i="1"/>
  <c r="AE94" i="1" s="1"/>
  <c r="AE87" i="1"/>
  <c r="AE112" i="1" s="1"/>
  <c r="AB115" i="1"/>
  <c r="AB118" i="1" s="1"/>
  <c r="AB121" i="1" s="1"/>
  <c r="AB103" i="1"/>
  <c r="AB89" i="1"/>
  <c r="AD94" i="1"/>
  <c r="AD111" i="1"/>
  <c r="AD89" i="1"/>
  <c r="AD115" i="1"/>
  <c r="AD118" i="1" s="1"/>
  <c r="AD121" i="1" s="1"/>
  <c r="AD103" i="1"/>
  <c r="AD97" i="1"/>
  <c r="AD90" i="1"/>
  <c r="AD116" i="1"/>
  <c r="AD119" i="1" s="1"/>
  <c r="AD122" i="1" s="1"/>
  <c r="AD112" i="1"/>
  <c r="AD95" i="1"/>
  <c r="AD104" i="1"/>
  <c r="AC104" i="1"/>
  <c r="AC95" i="1"/>
  <c r="AC112" i="1"/>
  <c r="AC90" i="1"/>
  <c r="AC116" i="1"/>
  <c r="AC119" i="1" s="1"/>
  <c r="AC122" i="1" s="1"/>
  <c r="AE89" i="1" l="1"/>
  <c r="AE95" i="1"/>
  <c r="AE90" i="1"/>
  <c r="AE116" i="1"/>
  <c r="AE119" i="1" s="1"/>
  <c r="AE122" i="1" s="1"/>
  <c r="AE104" i="1"/>
  <c r="AE103" i="1"/>
  <c r="AE115" i="1"/>
  <c r="AE118" i="1" s="1"/>
  <c r="AE121" i="1" s="1"/>
  <c r="AE1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Rucheeta Kadge</author>
  </authors>
  <commentList>
    <comment ref="CL47" authorId="0" shapeId="0" xr:uid="{D7822CC1-D762-46C2-800A-4785F583FB14}">
      <text>
        <r>
          <rPr>
            <b/>
            <sz val="9"/>
            <color indexed="81"/>
            <rFont val="Tahoma"/>
            <family val="2"/>
          </rPr>
          <t>Reversal of Tax provision on the favourable order by the court</t>
        </r>
      </text>
    </comment>
    <comment ref="CM71" authorId="0" shapeId="0" xr:uid="{6B9BDCED-ED59-4EC9-97C9-00206999FE87}">
      <text>
        <r>
          <rPr>
            <b/>
            <sz val="9"/>
            <color indexed="81"/>
            <rFont val="Tahoma"/>
            <family val="2"/>
          </rPr>
          <t xml:space="preserve">As per Ace EQ- 466.95 due to amalgamation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<sst xmlns="http://schemas.openxmlformats.org/spreadsheetml/2006/main" count="675" uniqueCount="535">
  <si>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</si>
  <si>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</si>
  <si>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</si>
  <si>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</si>
  <si>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</si>
  <si>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</si>
  <si>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</si>
  <si>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</si>
  <si>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</si>
  <si>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</si>
  <si>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</si>
  <si>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</si>
  <si>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</si>
  <si>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</si>
  <si>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</si>
  <si>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</si>
  <si>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</si>
  <si>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</si>
  <si>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</si>
  <si>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</si>
  <si>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</si>
  <si>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</si>
  <si>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</si>
  <si>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</si>
  <si>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</si>
  <si>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</si>
  <si>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</si>
  <si>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</si>
  <si>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</si>
  <si>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</si>
  <si>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</si>
  <si>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</si>
  <si>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</si>
  <si>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</si>
  <si>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</si>
  <si>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</si>
  <si>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</si>
  <si>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</si>
  <si>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</si>
  <si>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</si>
  <si>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</si>
  <si>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</si>
  <si>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</si>
  <si>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</si>
  <si>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</si>
  <si>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</si>
  <si>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</si>
  <si>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</si>
  <si>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</si>
  <si>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</si>
  <si>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</si>
  <si>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</si>
  <si>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</si>
  <si>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</si>
  <si>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</si>
  <si>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</si>
  <si>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</si>
  <si>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</si>
  <si>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</si>
  <si>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</si>
  <si>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</si>
  <si>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</si>
  <si>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</si>
  <si>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</si>
  <si>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</si>
  <si>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</si>
  <si>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</si>
  <si>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</si>
  <si>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</si>
  <si>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</si>
  <si>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</si>
  <si>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</si>
  <si>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</si>
  <si>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</si>
  <si>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</si>
  <si>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</si>
  <si>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</si>
  <si>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</si>
  <si>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</si>
  <si>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</si>
  <si>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</si>
  <si>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</si>
  <si>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</si>
  <si>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</si>
  <si>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</si>
  <si>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</si>
  <si>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</si>
  <si>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</si>
  <si>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</si>
  <si>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</si>
  <si>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</si>
  <si>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</si>
  <si>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</si>
  <si>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</si>
  <si>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</si>
  <si>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</si>
  <si>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</si>
  <si>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</si>
  <si>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</si>
  <si>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</si>
  <si>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</si>
  <si>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</si>
  <si>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</si>
  <si>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</si>
  <si>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</si>
  <si>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</si>
  <si>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</si>
  <si>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</si>
  <si>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</si>
  <si>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</si>
  <si>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</si>
  <si>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</si>
  <si>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</si>
  <si>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</si>
  <si>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</si>
  <si>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</si>
  <si>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</si>
  <si>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</si>
  <si>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</si>
  <si>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</si>
  <si>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</si>
  <si>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</si>
  <si>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</si>
  <si>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</si>
  <si>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</si>
  <si>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</si>
  <si>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</si>
  <si>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</si>
  <si>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</si>
  <si>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</si>
  <si>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</si>
  <si>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</si>
  <si>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</si>
  <si>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</si>
  <si>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</si>
  <si>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</si>
  <si>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</si>
  <si>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</si>
  <si>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</si>
  <si>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</si>
  <si>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</si>
  <si>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</si>
  <si>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</si>
  <si>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</si>
  <si>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</si>
  <si>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</si>
  <si>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</si>
  <si>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</si>
  <si>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</si>
  <si>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</si>
  <si>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</si>
  <si>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</si>
  <si>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</si>
  <si>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</si>
  <si>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</si>
  <si>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</si>
  <si>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</si>
  <si>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</si>
  <si>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</si>
  <si>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</si>
  <si>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</si>
  <si>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</si>
  <si>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</si>
  <si>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</si>
  <si>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</si>
  <si>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</si>
  <si>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</si>
  <si>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</si>
  <si>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</si>
  <si>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</si>
  <si>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</si>
  <si>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</si>
  <si>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</si>
  <si>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</si>
  <si>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</si>
  <si>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</si>
  <si>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</si>
  <si>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</si>
  <si>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</si>
  <si>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</si>
  <si>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</si>
  <si>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</si>
  <si>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</si>
  <si>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</si>
  <si>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</si>
  <si>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</si>
  <si>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</si>
  <si>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</si>
  <si>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</si>
  <si>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</si>
  <si>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</si>
  <si>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</si>
  <si>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</si>
  <si>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</si>
  <si>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</si>
  <si>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</si>
  <si>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</si>
  <si>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</si>
  <si>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</si>
  <si>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</si>
  <si>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</si>
  <si>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</si>
  <si>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</si>
  <si>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</si>
  <si>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</si>
  <si>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</si>
  <si>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</si>
  <si>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</si>
  <si>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</si>
  <si>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</si>
  <si>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</si>
  <si>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</si>
  <si>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</si>
  <si>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</si>
  <si>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</si>
  <si>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</si>
  <si>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</si>
  <si>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</si>
  <si>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</si>
  <si>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</si>
  <si>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</si>
  <si>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</si>
  <si>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</si>
  <si>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</si>
  <si>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</si>
  <si>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</si>
  <si>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</si>
  <si>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</si>
  <si>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</si>
  <si>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</si>
  <si>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</si>
  <si>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</si>
  <si>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</si>
  <si>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</si>
  <si>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</si>
  <si>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</si>
  <si>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</si>
  <si>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</si>
  <si>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</si>
  <si>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</si>
  <si>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</si>
  <si>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</si>
  <si>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</si>
  <si>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</si>
  <si>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</si>
  <si>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</si>
  <si>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</si>
  <si>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</si>
  <si>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</si>
  <si>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</si>
  <si>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</si>
  <si>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</si>
  <si>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</si>
  <si>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</si>
  <si>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</si>
  <si>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</si>
  <si>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</si>
  <si>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</si>
  <si>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</si>
  <si>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</si>
  <si>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</si>
  <si>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</si>
  <si>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</si>
  <si>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</si>
  <si>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</si>
  <si>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</si>
  <si>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</si>
  <si>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</si>
  <si>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</si>
  <si>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</si>
  <si>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</si>
  <si>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</si>
  <si>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</si>
  <si>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</si>
  <si>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</si>
  <si>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</si>
  <si>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</si>
  <si>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</si>
  <si>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</si>
  <si>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</si>
  <si>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</si>
  <si>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</si>
  <si>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</si>
  <si>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</si>
  <si>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</si>
  <si>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</si>
  <si>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</si>
  <si>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</si>
  <si>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</si>
  <si>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</si>
  <si>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</si>
  <si>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</si>
  <si>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</si>
  <si>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</si>
  <si>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</si>
  <si>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</si>
  <si>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</si>
  <si>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</si>
  <si>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</si>
  <si>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</si>
  <si>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</si>
  <si>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</si>
  <si>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</si>
  <si>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</si>
  <si>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</si>
  <si>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</si>
  <si>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</si>
  <si>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</si>
  <si>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</si>
  <si>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</si>
  <si>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</si>
  <si>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</si>
  <si>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</si>
  <si>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</si>
  <si>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</si>
  <si>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</si>
  <si>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</si>
  <si>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</si>
  <si>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</si>
  <si>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</si>
  <si>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</si>
  <si>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</si>
  <si>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</si>
  <si>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</si>
  <si>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</si>
  <si>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</si>
  <si>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</si>
  <si>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</si>
  <si>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</si>
  <si>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</si>
  <si>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</si>
  <si>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</si>
  <si>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</si>
  <si>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</si>
  <si>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</si>
  <si>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</si>
  <si>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</si>
  <si>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</si>
  <si>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</si>
  <si>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</si>
  <si>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</si>
  <si>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</si>
  <si>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</si>
  <si>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</si>
  <si>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</si>
  <si>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</si>
  <si>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</si>
  <si>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</si>
  <si>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</si>
  <si>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</si>
  <si>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</si>
  <si>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</si>
  <si>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</si>
  <si>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</si>
  <si>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</si>
  <si>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</si>
  <si>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</si>
  <si>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</si>
  <si>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</si>
  <si>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</si>
  <si>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</si>
  <si>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</si>
  <si>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</si>
  <si>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</si>
  <si>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</si>
  <si>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</si>
  <si>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</si>
  <si>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</si>
  <si>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</si>
  <si>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</si>
  <si>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</si>
  <si>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</si>
  <si>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</si>
  <si>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</si>
  <si>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</si>
  <si>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</si>
  <si>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</si>
  <si>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</si>
  <si>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</si>
  <si>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</si>
  <si>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</si>
  <si>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</si>
  <si>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</si>
  <si>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</si>
  <si>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</si>
  <si>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</si>
  <si>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</si>
  <si>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</si>
  <si>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</si>
  <si>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</si>
  <si>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</si>
  <si>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</si>
  <si>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</si>
  <si>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</si>
  <si>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</si>
  <si>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</si>
  <si>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</si>
  <si>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</si>
  <si>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</si>
  <si>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</si>
  <si>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</si>
  <si>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</si>
  <si>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</si>
  <si>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</si>
  <si>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</si>
  <si>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</si>
  <si>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</si>
  <si>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</si>
  <si>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</si>
  <si>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</si>
  <si>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</si>
  <si>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</si>
  <si>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</si>
  <si>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</si>
  <si>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</si>
  <si>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</si>
  <si>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</si>
  <si>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</si>
  <si>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</si>
  <si>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</si>
  <si>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</si>
  <si>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</si>
  <si>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</si>
  <si>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</si>
  <si>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</si>
  <si>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</si>
  <si>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</si>
  <si>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</si>
  <si>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</si>
  <si>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</si>
  <si>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</si>
  <si>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</si>
  <si>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</si>
  <si>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</si>
  <si>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</si>
  <si>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</si>
  <si>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</si>
  <si>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</si>
  <si>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</si>
  <si>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</si>
  <si>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</si>
  <si>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</si>
  <si>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</si>
  <si>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</si>
  <si>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</si>
  <si>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</si>
  <si>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</si>
  <si>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</si>
  <si>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</si>
  <si>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</si>
  <si>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</si>
  <si>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</si>
  <si>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</si>
  <si>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</si>
  <si>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</si>
  <si>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</si>
  <si>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</si>
  <si>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</si>
  <si>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</si>
  <si>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</si>
  <si>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</si>
  <si>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</si>
  <si>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</si>
  <si>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</si>
  <si>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</si>
  <si>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</si>
  <si>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</si>
  <si>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</si>
  <si>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</si>
  <si>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</si>
  <si>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</si>
  <si>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</si>
  <si>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</si>
  <si>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</si>
  <si>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</si>
  <si>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</si>
  <si>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</si>
  <si>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</si>
  <si>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</si>
  <si>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</si>
  <si>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</si>
  <si>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</si>
  <si>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</si>
  <si>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</si>
  <si>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</si>
  <si>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</si>
  <si>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</si>
  <si>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</si>
  <si>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</si>
  <si>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</si>
  <si>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</si>
  <si>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</si>
  <si>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</si>
  <si>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</si>
  <si>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</si>
  <si>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</si>
  <si>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</si>
  <si>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</si>
  <si>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</si>
  <si>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</si>
  <si>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</si>
  <si>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</si>
  <si>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</si>
  <si>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</si>
  <si>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</si>
  <si>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</si>
  <si>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</si>
  <si>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</si>
  <si>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</si>
  <si>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</si>
  <si>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</si>
  <si>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</si>
  <si>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</si>
  <si>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</si>
  <si>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</si>
  <si>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Ambuja Cements Ltd.</t>
  </si>
  <si>
    <t>DATE</t>
  </si>
  <si>
    <t>ADJHIGH</t>
  </si>
  <si>
    <t>ADJCLOSE</t>
  </si>
  <si>
    <t>ADJLOW</t>
  </si>
  <si>
    <t>ADJOPEN</t>
  </si>
  <si>
    <t>CLOSE</t>
  </si>
  <si>
    <t>VOLUME</t>
  </si>
  <si>
    <t>Revenue Volume</t>
  </si>
  <si>
    <t xml:space="preserve">Revenue Volume YoY % </t>
  </si>
  <si>
    <t>Unit Matrix - Revenue</t>
  </si>
  <si>
    <t>Unit Matrix - GP</t>
  </si>
  <si>
    <t>Unit Matrix - EBITDA</t>
  </si>
  <si>
    <t>Unit Matrix - RM</t>
  </si>
  <si>
    <t>Unit Matrix - Employee Cost</t>
  </si>
  <si>
    <t>Unit Matrix - Other Cost</t>
  </si>
  <si>
    <t>Volume TTM</t>
  </si>
  <si>
    <t>Growth %</t>
  </si>
  <si>
    <t>Ebitda per Tonne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</si>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</sst>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7" fillId="0" borderId="0" xfId="1" applyFont="1" applyAlignment="1">
      <alignment horizontal="right"/>
    </xf>
    <xf numFmtId="9" fontId="20" fillId="0" borderId="0" xfId="1" applyFont="1" applyFill="1" applyAlignment="1">
      <alignment horizontal="right"/>
    </xf>
    <xf numFmtId="43" fontId="20" fillId="2" borderId="0" xfId="2" applyFont="1" applyFill="1" applyAlignment="1"/>
    <xf numFmtId="43" fontId="18" fillId="2" borderId="0" xfId="2" applyFont="1" applyFill="1" applyAlignment="1"/>
    <xf numFmtId="9" fontId="20" fillId="2" borderId="0" xfId="1" applyFont="1" applyFill="1" applyAlignment="1"/>
    <xf numFmtId="9" fontId="4" fillId="3" borderId="0" xfId="1" applyFont="1" applyFill="1"/>
    <xf numFmtId="9" fontId="5" fillId="3" borderId="0" xfId="1" applyFont="1" applyFill="1"/>
    <xf numFmtId="9" fontId="5" fillId="7" borderId="0" xfId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7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15" sqref="DF15:DF267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>EOMONTH(G1,9)</f>
        <v>39082</v>
      </c>
      <c r="I1" s="79">
        <f t="shared" si="0"/>
        <v>39447</v>
      </c>
      <c r="J1" s="79">
        <f t="shared" si="0"/>
        <v>39813</v>
      </c>
      <c r="K1" s="79">
        <f t="shared" si="0"/>
        <v>40178</v>
      </c>
      <c r="L1" s="79">
        <f t="shared" si="0"/>
        <v>40543</v>
      </c>
      <c r="M1" s="79">
        <f t="shared" si="0"/>
        <v>40908</v>
      </c>
      <c r="N1" s="79">
        <f t="shared" si="0"/>
        <v>41274</v>
      </c>
      <c r="O1" s="79">
        <f t="shared" si="0"/>
        <v>41639</v>
      </c>
      <c r="P1" s="79">
        <f t="shared" si="0"/>
        <v>42004</v>
      </c>
      <c r="Q1" s="79">
        <f t="shared" si="0"/>
        <v>42369</v>
      </c>
      <c r="R1" s="79">
        <f t="shared" si="0"/>
        <v>42735</v>
      </c>
      <c r="S1" s="79">
        <f t="shared" si="0"/>
        <v>43100</v>
      </c>
      <c r="T1" s="79">
        <f t="shared" si="0"/>
        <v>43465</v>
      </c>
      <c r="U1" s="79">
        <f t="shared" si="0"/>
        <v>43830</v>
      </c>
      <c r="V1" s="79">
        <f t="shared" si="0"/>
        <v>44196</v>
      </c>
      <c r="W1" s="79">
        <f t="shared" si="0"/>
        <v>44561</v>
      </c>
      <c r="X1" s="79">
        <f>EOMONTH(W1,15)</f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L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si="15"/>
        <v>46112</v>
      </c>
      <c r="CM1" s="80">
        <f t="shared" ref="CM1" si="16">EOMONTH(CL1,3)</f>
        <v>46203</v>
      </c>
      <c r="CN1" s="80">
        <f t="shared" ref="CN1" si="17">EOMONTH(CM1,3)</f>
        <v>46295</v>
      </c>
      <c r="CO1" s="80">
        <f t="shared" ref="CO1" si="18">EOMONTH(CN1,3)</f>
        <v>46387</v>
      </c>
      <c r="CP1" s="80">
        <f t="shared" ref="CP1" si="19">EOMONTH(CO1,3)</f>
        <v>46477</v>
      </c>
      <c r="CQ1" s="80">
        <f t="shared" ref="CQ1" si="20">EOMONTH(CP1,3)</f>
        <v>46568</v>
      </c>
      <c r="CR1" s="80">
        <f t="shared" ref="CR1" si="21">EOMONTH(CQ1,3)</f>
        <v>46660</v>
      </c>
      <c r="CS1" s="80">
        <f t="shared" ref="CS1" si="22">EOMONTH(CR1,3)</f>
        <v>46752</v>
      </c>
      <c r="CT1" s="80">
        <f t="shared" ref="CT1" si="23">EOMONTH(CS1,3)</f>
        <v>46843</v>
      </c>
      <c r="CU1" s="80">
        <f t="shared" ref="CU1" si="24">EOMONTH(CT1,3)</f>
        <v>46934</v>
      </c>
      <c r="CV1" s="80">
        <f t="shared" ref="CV1" si="25">EOMONTH(CU1,3)</f>
        <v>47026</v>
      </c>
      <c r="CW1" s="80">
        <f t="shared" ref="CW1" si="26">EOMONTH(CV1,3)</f>
        <v>47118</v>
      </c>
      <c r="CX1" s="80">
        <f t="shared" ref="CX1" si="27">EOMONTH(CW1,3)</f>
        <v>47208</v>
      </c>
      <c r="CY1" s="80">
        <f t="shared" ref="CY1" si="28">EOMONTH(CX1,3)</f>
        <v>47299</v>
      </c>
      <c r="CZ1" s="80">
        <f t="shared" ref="CZ1" si="29">EOMONTH(CY1,3)</f>
        <v>47391</v>
      </c>
      <c r="DA1" s="80">
        <f t="shared" ref="DA1" si="30">EOMONTH(CZ1,3)</f>
        <v>47483</v>
      </c>
      <c r="DB1" s="80">
        <f t="shared" ref="DB1" si="31">EOMONTH(DA1,3)</f>
        <v>47573</v>
      </c>
      <c r="DE1" s="148" t="s">
        <v>445</v>
      </c>
      <c r="DF1" s="19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89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09" customFormat="1" x14ac:dyDescent="0.2">
      <c r="A4" s="190" t="s">
        <v>523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>
        <f>+SUM(AY4:BB4)</f>
        <v>45.350793650793648</v>
      </c>
      <c r="S4" s="107">
        <f>+SUM(BC4:BF4)</f>
        <v>50.11492063492063</v>
      </c>
      <c r="T4" s="107">
        <f>+SUM(BG4:BJ4)</f>
        <v>52.999999999999993</v>
      </c>
      <c r="U4" s="107">
        <f>+SUM(BK4:BN4)</f>
        <v>51.507936507936506</v>
      </c>
      <c r="V4" s="107">
        <f>+SUM(BO4:BR4)</f>
        <v>48.492063492063487</v>
      </c>
      <c r="W4" s="107">
        <f>+SUM(BS4:BV4)</f>
        <v>54.220105820105815</v>
      </c>
      <c r="X4" s="107">
        <f>+SUM(BW4:BZ4)</f>
        <v>54.699999999999996</v>
      </c>
      <c r="Y4" s="107">
        <f>+SUM(CA4:CD4)</f>
        <v>59.2</v>
      </c>
      <c r="Z4" s="107">
        <f>+SUM(CE4:CH4)</f>
        <v>65.2</v>
      </c>
      <c r="AA4" s="108">
        <f>+SUM(CI4:CL4)</f>
        <v>73.699999999999989</v>
      </c>
      <c r="AB4" s="108">
        <f>+SUM(CM4:CP4)</f>
        <v>86.965999999999994</v>
      </c>
      <c r="AC4" s="108">
        <f>+SUM(CQ4:CT4)</f>
        <v>96.967089999999999</v>
      </c>
      <c r="AD4" s="108">
        <f>+SUM(CU4:CX4)</f>
        <v>106.76999546647157</v>
      </c>
      <c r="AE4" s="108">
        <f>+SUM(CY4:DB4)</f>
        <v>116.77095075776153</v>
      </c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>
        <v>10.964179894179894</v>
      </c>
      <c r="AY4" s="107">
        <v>11.975061728395062</v>
      </c>
      <c r="AZ4" s="107">
        <v>10.18657848324515</v>
      </c>
      <c r="BA4" s="107">
        <v>10.964179894179894</v>
      </c>
      <c r="BB4" s="107">
        <v>12.224973544973544</v>
      </c>
      <c r="BC4" s="107">
        <v>13.352098765432098</v>
      </c>
      <c r="BD4" s="107">
        <v>11.357954144620809</v>
      </c>
      <c r="BE4" s="107">
        <v>12.224973544973544</v>
      </c>
      <c r="BF4" s="107">
        <v>13.179894179894179</v>
      </c>
      <c r="BG4" s="107">
        <v>14.395061728395062</v>
      </c>
      <c r="BH4" s="107">
        <v>12.245149911816577</v>
      </c>
      <c r="BI4" s="107">
        <v>13.179894179894179</v>
      </c>
      <c r="BJ4" s="107">
        <v>13.179894179894179</v>
      </c>
      <c r="BK4" s="107">
        <v>14.395061728395062</v>
      </c>
      <c r="BL4" s="107">
        <v>12.245149911816577</v>
      </c>
      <c r="BM4" s="107">
        <v>13.179894179894179</v>
      </c>
      <c r="BN4" s="107">
        <v>11.687830687830687</v>
      </c>
      <c r="BO4" s="107">
        <v>12.765432098765432</v>
      </c>
      <c r="BP4" s="107">
        <v>10.858906525573191</v>
      </c>
      <c r="BQ4" s="107">
        <v>11.687830687830687</v>
      </c>
      <c r="BR4" s="107">
        <v>13.179894179894179</v>
      </c>
      <c r="BS4" s="107">
        <v>14.395061728395062</v>
      </c>
      <c r="BT4" s="107">
        <v>12.245149911816577</v>
      </c>
      <c r="BU4" s="107">
        <v>13.179894179894179</v>
      </c>
      <c r="BV4" s="107">
        <v>14.4</v>
      </c>
      <c r="BW4" s="107">
        <v>14.1</v>
      </c>
      <c r="BX4" s="107">
        <v>12.8</v>
      </c>
      <c r="BY4" s="107">
        <v>13.7</v>
      </c>
      <c r="BZ4" s="107">
        <v>14.1</v>
      </c>
      <c r="CA4" s="107">
        <v>15.4</v>
      </c>
      <c r="CB4" s="107">
        <v>13.1</v>
      </c>
      <c r="CC4" s="107">
        <v>14.1</v>
      </c>
      <c r="CD4" s="107">
        <v>16.600000000000001</v>
      </c>
      <c r="CE4" s="107">
        <v>15.8</v>
      </c>
      <c r="CF4" s="107">
        <v>14.2</v>
      </c>
      <c r="CG4" s="107">
        <v>16.5</v>
      </c>
      <c r="CH4" s="107">
        <v>18.7</v>
      </c>
      <c r="CI4" s="107">
        <v>18.399999999999999</v>
      </c>
      <c r="CJ4" s="107">
        <v>16.600000000000001</v>
      </c>
      <c r="CK4" s="107">
        <f>53.8-CJ4-CI4</f>
        <v>18.799999999999997</v>
      </c>
      <c r="CL4" s="107">
        <v>19.899999999999999</v>
      </c>
      <c r="CM4" s="108">
        <f t="shared" ref="CM4:DB4" si="32">+CI4+(CI4*CM5)</f>
        <v>21.712</v>
      </c>
      <c r="CN4" s="108">
        <f t="shared" si="32"/>
        <v>19.588000000000001</v>
      </c>
      <c r="CO4" s="108">
        <f t="shared" si="32"/>
        <v>22.183999999999997</v>
      </c>
      <c r="CP4" s="108">
        <f t="shared" si="32"/>
        <v>23.481999999999999</v>
      </c>
      <c r="CQ4" s="108">
        <f t="shared" si="32"/>
        <v>24.208880000000001</v>
      </c>
      <c r="CR4" s="108">
        <f t="shared" si="32"/>
        <v>21.840620000000001</v>
      </c>
      <c r="CS4" s="108">
        <f t="shared" si="32"/>
        <v>24.735159999999997</v>
      </c>
      <c r="CT4" s="108">
        <f t="shared" si="32"/>
        <v>26.18243</v>
      </c>
      <c r="CU4" s="108">
        <f t="shared" si="32"/>
        <v>26.853700140000001</v>
      </c>
      <c r="CV4" s="108">
        <f t="shared" si="32"/>
        <v>24.107403348250003</v>
      </c>
      <c r="CW4" s="108">
        <f t="shared" si="32"/>
        <v>27.174000397574996</v>
      </c>
      <c r="CX4" s="108">
        <f t="shared" si="32"/>
        <v>28.634891580646563</v>
      </c>
      <c r="CY4" s="108">
        <f t="shared" si="32"/>
        <v>29.369038398960427</v>
      </c>
      <c r="CZ4" s="108">
        <f t="shared" si="32"/>
        <v>26.365500878568366</v>
      </c>
      <c r="DA4" s="108">
        <f t="shared" si="32"/>
        <v>29.719340611127638</v>
      </c>
      <c r="DB4" s="108">
        <f t="shared" si="32"/>
        <v>31.317070869105098</v>
      </c>
      <c r="DE4" s="117"/>
    </row>
    <row r="5" spans="1:110" s="187" customFormat="1" x14ac:dyDescent="0.2">
      <c r="A5" s="191" t="s">
        <v>524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>
        <f t="shared" ref="S5:Y5" si="33">+S4/R4-1</f>
        <v>0.10505057575863641</v>
      </c>
      <c r="T5" s="185">
        <f t="shared" si="33"/>
        <v>5.7569269361847697E-2</v>
      </c>
      <c r="U5" s="185">
        <f t="shared" si="33"/>
        <v>-2.8152141359688465E-2</v>
      </c>
      <c r="V5" s="185">
        <f t="shared" si="33"/>
        <v>-5.8551617873651818E-2</v>
      </c>
      <c r="W5" s="185">
        <f t="shared" si="33"/>
        <v>0.11812329514457165</v>
      </c>
      <c r="X5" s="185">
        <f t="shared" si="33"/>
        <v>8.8508528826261035E-3</v>
      </c>
      <c r="Y5" s="185">
        <f t="shared" si="33"/>
        <v>8.2266910420475403E-2</v>
      </c>
      <c r="Z5" s="185">
        <f>+Z4/Y4-1</f>
        <v>0.10135135135135132</v>
      </c>
      <c r="AA5" s="186">
        <f t="shared" ref="AA5:AE5" si="34">+AA4/Z4-1</f>
        <v>0.130368098159509</v>
      </c>
      <c r="AB5" s="186">
        <f t="shared" si="34"/>
        <v>0.18000000000000016</v>
      </c>
      <c r="AC5" s="186">
        <f t="shared" si="34"/>
        <v>0.11499999999999999</v>
      </c>
      <c r="AD5" s="186">
        <f t="shared" si="34"/>
        <v>0.10109518050373145</v>
      </c>
      <c r="AE5" s="186">
        <f t="shared" si="34"/>
        <v>9.3668218749999976E-2</v>
      </c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  <c r="AU5" s="185"/>
      <c r="AV5" s="185"/>
      <c r="AW5" s="185"/>
      <c r="AX5" s="185"/>
      <c r="AY5" s="185"/>
      <c r="AZ5" s="185"/>
      <c r="BA5" s="185"/>
      <c r="BB5" s="185">
        <f t="shared" ref="BB5:CI5" si="35">+BB4/AX4-1</f>
        <v>0.1149920616919935</v>
      </c>
      <c r="BC5" s="185">
        <f t="shared" si="35"/>
        <v>0.1149920616919935</v>
      </c>
      <c r="BD5" s="185">
        <f t="shared" si="35"/>
        <v>0.1149920616919935</v>
      </c>
      <c r="BE5" s="185">
        <f t="shared" si="35"/>
        <v>0.1149920616919935</v>
      </c>
      <c r="BF5" s="185">
        <f t="shared" si="35"/>
        <v>7.8112286411716747E-2</v>
      </c>
      <c r="BG5" s="185">
        <f t="shared" si="35"/>
        <v>7.8112286411716969E-2</v>
      </c>
      <c r="BH5" s="185">
        <f t="shared" si="35"/>
        <v>7.8112286411716969E-2</v>
      </c>
      <c r="BI5" s="185">
        <f t="shared" si="35"/>
        <v>7.8112286411716747E-2</v>
      </c>
      <c r="BJ5" s="185">
        <f t="shared" si="35"/>
        <v>0</v>
      </c>
      <c r="BK5" s="185">
        <f t="shared" si="35"/>
        <v>0</v>
      </c>
      <c r="BL5" s="185">
        <f t="shared" si="35"/>
        <v>0</v>
      </c>
      <c r="BM5" s="185">
        <f t="shared" si="35"/>
        <v>0</v>
      </c>
      <c r="BN5" s="185">
        <f t="shared" si="35"/>
        <v>-0.1132075471698113</v>
      </c>
      <c r="BO5" s="185">
        <f t="shared" si="35"/>
        <v>-0.1132075471698113</v>
      </c>
      <c r="BP5" s="185">
        <f t="shared" si="35"/>
        <v>-0.1132075471698113</v>
      </c>
      <c r="BQ5" s="185">
        <f t="shared" si="35"/>
        <v>-0.1132075471698113</v>
      </c>
      <c r="BR5" s="185">
        <f t="shared" si="35"/>
        <v>0.12765957446808507</v>
      </c>
      <c r="BS5" s="185">
        <f t="shared" si="35"/>
        <v>0.12765957446808507</v>
      </c>
      <c r="BT5" s="185">
        <f t="shared" si="35"/>
        <v>0.12765957446808507</v>
      </c>
      <c r="BU5" s="185">
        <f t="shared" si="35"/>
        <v>0.12765957446808507</v>
      </c>
      <c r="BV5" s="185">
        <f t="shared" si="35"/>
        <v>9.2573263749498258E-2</v>
      </c>
      <c r="BW5" s="185">
        <f t="shared" si="35"/>
        <v>-2.0497427101200727E-2</v>
      </c>
      <c r="BX5" s="185">
        <f t="shared" si="35"/>
        <v>4.5311824859570971E-2</v>
      </c>
      <c r="BY5" s="185">
        <f t="shared" si="35"/>
        <v>3.946206342834202E-2</v>
      </c>
      <c r="BZ5" s="185">
        <f t="shared" si="35"/>
        <v>-2.083333333333337E-2</v>
      </c>
      <c r="CA5" s="185">
        <f t="shared" si="35"/>
        <v>9.219858156028371E-2</v>
      </c>
      <c r="CB5" s="185">
        <f t="shared" si="35"/>
        <v>2.34375E-2</v>
      </c>
      <c r="CC5" s="185">
        <f t="shared" si="35"/>
        <v>2.9197080291970767E-2</v>
      </c>
      <c r="CD5" s="185">
        <f t="shared" si="35"/>
        <v>0.17730496453900724</v>
      </c>
      <c r="CE5" s="185">
        <f t="shared" si="35"/>
        <v>2.5974025974025983E-2</v>
      </c>
      <c r="CF5" s="185">
        <f t="shared" si="35"/>
        <v>8.3969465648854991E-2</v>
      </c>
      <c r="CG5" s="185">
        <f t="shared" si="35"/>
        <v>0.17021276595744683</v>
      </c>
      <c r="CH5" s="185">
        <f t="shared" si="35"/>
        <v>0.12650602409638534</v>
      </c>
      <c r="CI5" s="185">
        <f t="shared" si="35"/>
        <v>0.16455696202531622</v>
      </c>
      <c r="CJ5" s="185">
        <f>+CJ4/CF4-1</f>
        <v>0.16901408450704247</v>
      </c>
      <c r="CK5" s="185">
        <f>+CK4/CG4-1</f>
        <v>0.13939393939393918</v>
      </c>
      <c r="CL5" s="185">
        <f>+CL4/CH4-1</f>
        <v>6.4171122994652441E-2</v>
      </c>
      <c r="CM5" s="186">
        <v>0.18</v>
      </c>
      <c r="CN5" s="186">
        <f t="shared" ref="CN5:DB5" si="36">+CM5</f>
        <v>0.18</v>
      </c>
      <c r="CO5" s="186">
        <f t="shared" si="36"/>
        <v>0.18</v>
      </c>
      <c r="CP5" s="186">
        <f t="shared" si="36"/>
        <v>0.18</v>
      </c>
      <c r="CQ5" s="186">
        <v>0.115</v>
      </c>
      <c r="CR5" s="186">
        <v>0.115</v>
      </c>
      <c r="CS5" s="186">
        <v>0.115</v>
      </c>
      <c r="CT5" s="186">
        <v>0.115</v>
      </c>
      <c r="CU5" s="186">
        <f>+CT5*0.95</f>
        <v>0.10925</v>
      </c>
      <c r="CV5" s="186">
        <f t="shared" ref="CV5:CX5" si="37">+CU5*0.95</f>
        <v>0.10378749999999999</v>
      </c>
      <c r="CW5" s="186">
        <f t="shared" si="37"/>
        <v>9.8598124999999981E-2</v>
      </c>
      <c r="CX5" s="186">
        <f t="shared" si="37"/>
        <v>9.3668218749999976E-2</v>
      </c>
      <c r="CY5" s="186">
        <f t="shared" si="36"/>
        <v>9.3668218749999976E-2</v>
      </c>
      <c r="CZ5" s="186">
        <f t="shared" si="36"/>
        <v>9.3668218749999976E-2</v>
      </c>
      <c r="DA5" s="186">
        <f t="shared" si="36"/>
        <v>9.3668218749999976E-2</v>
      </c>
      <c r="DB5" s="186">
        <f t="shared" si="36"/>
        <v>9.3668218749999976E-2</v>
      </c>
      <c r="DE5" s="188"/>
    </row>
    <row r="6" spans="1:110" s="158" customFormat="1" x14ac:dyDescent="0.2">
      <c r="A6" s="189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56"/>
      <c r="CL6" s="156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09" customFormat="1" x14ac:dyDescent="0.2">
      <c r="A7" s="190" t="s">
        <v>525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 t="e">
        <f t="shared" ref="R7:AE7" ca="1" si="38">+R18/R4*10</f>
        <v>#NAME?</v>
      </c>
      <c r="S7" s="107" t="e">
        <f t="shared" ca="1" si="38"/>
        <v>#NAME?</v>
      </c>
      <c r="T7" s="107" t="e">
        <f t="shared" ca="1" si="38"/>
        <v>#NAME?</v>
      </c>
      <c r="U7" s="107" t="e">
        <f t="shared" ca="1" si="38"/>
        <v>#NAME?</v>
      </c>
      <c r="V7" s="107" t="e">
        <f t="shared" ca="1" si="38"/>
        <v>#NAME?</v>
      </c>
      <c r="W7" s="107" t="e">
        <f t="shared" ca="1" si="38"/>
        <v>#NAME?</v>
      </c>
      <c r="X7" s="107" t="e">
        <f t="shared" ca="1" si="38"/>
        <v>#NAME?</v>
      </c>
      <c r="Y7" s="107" t="e">
        <f t="shared" ca="1" si="38"/>
        <v>#NAME?</v>
      </c>
      <c r="Z7" s="107" t="e">
        <f t="shared" ca="1" si="38"/>
        <v>#NAME?</v>
      </c>
      <c r="AA7" s="108" t="e">
        <f t="shared" ca="1" si="38"/>
        <v>#NAME?</v>
      </c>
      <c r="AB7" s="108" t="e">
        <f t="shared" ca="1" si="38"/>
        <v>#NAME?</v>
      </c>
      <c r="AC7" s="108" t="e">
        <f t="shared" ca="1" si="38"/>
        <v>#NAME?</v>
      </c>
      <c r="AD7" s="108" t="e">
        <f t="shared" ca="1" si="38"/>
        <v>#NAME?</v>
      </c>
      <c r="AE7" s="108" t="e">
        <f t="shared" ca="1" si="38"/>
        <v>#NAME?</v>
      </c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 t="e">
        <f t="shared" ref="AX7:CK7" ca="1" si="39">+AX18/AX4*10</f>
        <v>#NAME?</v>
      </c>
      <c r="AY7" s="107" t="e">
        <f t="shared" ca="1" si="39"/>
        <v>#NAME?</v>
      </c>
      <c r="AZ7" s="107" t="e">
        <f t="shared" ca="1" si="39"/>
        <v>#NAME?</v>
      </c>
      <c r="BA7" s="107" t="e">
        <f t="shared" ca="1" si="39"/>
        <v>#NAME?</v>
      </c>
      <c r="BB7" s="107" t="e">
        <f t="shared" ca="1" si="39"/>
        <v>#NAME?</v>
      </c>
      <c r="BC7" s="107" t="e">
        <f t="shared" ca="1" si="39"/>
        <v>#NAME?</v>
      </c>
      <c r="BD7" s="107" t="e">
        <f t="shared" ca="1" si="39"/>
        <v>#NAME?</v>
      </c>
      <c r="BE7" s="107" t="e">
        <f t="shared" ca="1" si="39"/>
        <v>#NAME?</v>
      </c>
      <c r="BF7" s="107" t="e">
        <f t="shared" ca="1" si="39"/>
        <v>#NAME?</v>
      </c>
      <c r="BG7" s="107" t="e">
        <f t="shared" ca="1" si="39"/>
        <v>#NAME?</v>
      </c>
      <c r="BH7" s="107" t="e">
        <f t="shared" ca="1" si="39"/>
        <v>#NAME?</v>
      </c>
      <c r="BI7" s="107" t="e">
        <f t="shared" ca="1" si="39"/>
        <v>#NAME?</v>
      </c>
      <c r="BJ7" s="107" t="e">
        <f t="shared" ca="1" si="39"/>
        <v>#NAME?</v>
      </c>
      <c r="BK7" s="107" t="e">
        <f t="shared" ca="1" si="39"/>
        <v>#NAME?</v>
      </c>
      <c r="BL7" s="107" t="e">
        <f t="shared" ca="1" si="39"/>
        <v>#NAME?</v>
      </c>
      <c r="BM7" s="107" t="e">
        <f t="shared" ca="1" si="39"/>
        <v>#NAME?</v>
      </c>
      <c r="BN7" s="107" t="e">
        <f t="shared" ca="1" si="39"/>
        <v>#NAME?</v>
      </c>
      <c r="BO7" s="107" t="e">
        <f t="shared" ca="1" si="39"/>
        <v>#NAME?</v>
      </c>
      <c r="BP7" s="107" t="e">
        <f t="shared" ca="1" si="39"/>
        <v>#NAME?</v>
      </c>
      <c r="BQ7" s="107" t="e">
        <f t="shared" ca="1" si="39"/>
        <v>#NAME?</v>
      </c>
      <c r="BR7" s="107" t="e">
        <f t="shared" ca="1" si="39"/>
        <v>#NAME?</v>
      </c>
      <c r="BS7" s="107" t="e">
        <f t="shared" ca="1" si="39"/>
        <v>#NAME?</v>
      </c>
      <c r="BT7" s="107" t="e">
        <f t="shared" ca="1" si="39"/>
        <v>#NAME?</v>
      </c>
      <c r="BU7" s="107" t="e">
        <f t="shared" ca="1" si="39"/>
        <v>#NAME?</v>
      </c>
      <c r="BV7" s="107" t="e">
        <f t="shared" ca="1" si="39"/>
        <v>#NAME?</v>
      </c>
      <c r="BW7" s="107" t="e">
        <f t="shared" ca="1" si="39"/>
        <v>#NAME?</v>
      </c>
      <c r="BX7" s="107" t="e">
        <f t="shared" ca="1" si="39"/>
        <v>#NAME?</v>
      </c>
      <c r="BY7" s="107" t="e">
        <f t="shared" ca="1" si="39"/>
        <v>#NAME?</v>
      </c>
      <c r="BZ7" s="107" t="e">
        <f t="shared" ca="1" si="39"/>
        <v>#NAME?</v>
      </c>
      <c r="CA7" s="107" t="e">
        <f t="shared" ca="1" si="39"/>
        <v>#NAME?</v>
      </c>
      <c r="CB7" s="107" t="e">
        <f t="shared" ca="1" si="39"/>
        <v>#NAME?</v>
      </c>
      <c r="CC7" s="107" t="e">
        <f t="shared" ca="1" si="39"/>
        <v>#NAME?</v>
      </c>
      <c r="CD7" s="107" t="e">
        <f t="shared" ca="1" si="39"/>
        <v>#NAME?</v>
      </c>
      <c r="CE7" s="107" t="e">
        <f t="shared" ca="1" si="39"/>
        <v>#NAME?</v>
      </c>
      <c r="CF7" s="107" t="e">
        <f t="shared" ca="1" si="39"/>
        <v>#NAME?</v>
      </c>
      <c r="CG7" s="107" t="e">
        <f t="shared" ca="1" si="39"/>
        <v>#NAME?</v>
      </c>
      <c r="CH7" s="107" t="e">
        <f t="shared" ca="1" si="39"/>
        <v>#NAME?</v>
      </c>
      <c r="CI7" s="107" t="e">
        <f t="shared" ca="1" si="39"/>
        <v>#NAME?</v>
      </c>
      <c r="CJ7" s="107" t="e">
        <f t="shared" ca="1" si="39"/>
        <v>#NAME?</v>
      </c>
      <c r="CK7" s="107" t="e">
        <f t="shared" ca="1" si="39"/>
        <v>#NAME?</v>
      </c>
      <c r="CL7" s="107" t="e">
        <f t="shared" ref="CL7" ca="1" si="40">+CL18/CL4*10</f>
        <v>#NAME?</v>
      </c>
      <c r="CM7" s="108" t="e">
        <f ca="1">+AVERAGE(CI7:CL7)*0.98</f>
        <v>#NAME?</v>
      </c>
      <c r="CN7" s="108" t="e">
        <f t="shared" ref="CN7:CP7" ca="1" si="41">+AVERAGE(CJ7:CM7)*0.98</f>
        <v>#NAME?</v>
      </c>
      <c r="CO7" s="108" t="e">
        <f t="shared" ca="1" si="41"/>
        <v>#NAME?</v>
      </c>
      <c r="CP7" s="108" t="e">
        <f t="shared" ca="1" si="41"/>
        <v>#NAME?</v>
      </c>
      <c r="CQ7" s="108" t="e">
        <f ca="1">+AVERAGE(CM7:CP7)*1.01</f>
        <v>#NAME?</v>
      </c>
      <c r="CR7" s="108" t="e">
        <f t="shared" ref="CR7:CT7" ca="1" si="42">+AVERAGE(CN7:CQ7)*1.01</f>
        <v>#NAME?</v>
      </c>
      <c r="CS7" s="108" t="e">
        <f t="shared" ca="1" si="42"/>
        <v>#NAME?</v>
      </c>
      <c r="CT7" s="108" t="e">
        <f t="shared" ca="1" si="42"/>
        <v>#NAME?</v>
      </c>
      <c r="CU7" s="108" t="e">
        <f t="shared" ref="CU7:DB7" ca="1" si="43">+AVERAGE(CQ7:CT7)</f>
        <v>#NAME?</v>
      </c>
      <c r="CV7" s="108" t="e">
        <f t="shared" ca="1" si="43"/>
        <v>#NAME?</v>
      </c>
      <c r="CW7" s="108" t="e">
        <f t="shared" ca="1" si="43"/>
        <v>#NAME?</v>
      </c>
      <c r="CX7" s="108" t="e">
        <f t="shared" ca="1" si="43"/>
        <v>#NAME?</v>
      </c>
      <c r="CY7" s="108" t="e">
        <f t="shared" ca="1" si="43"/>
        <v>#NAME?</v>
      </c>
      <c r="CZ7" s="108" t="e">
        <f t="shared" ca="1" si="43"/>
        <v>#NAME?</v>
      </c>
      <c r="DA7" s="108" t="e">
        <f t="shared" ca="1" si="43"/>
        <v>#NAME?</v>
      </c>
      <c r="DB7" s="108" t="e">
        <f t="shared" ca="1" si="43"/>
        <v>#NAME?</v>
      </c>
      <c r="DE7" s="117"/>
    </row>
    <row r="8" spans="1:110" s="158" customFormat="1" x14ac:dyDescent="0.2">
      <c r="A8" s="189" t="s">
        <v>528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 t="e">
        <f t="shared" ref="R8" ca="1" si="44">+R7-R9</f>
        <v>#NAME?</v>
      </c>
      <c r="S8" s="156" t="e">
        <f t="shared" ref="S8" ca="1" si="45">+S7-S9</f>
        <v>#NAME?</v>
      </c>
      <c r="T8" s="156" t="e">
        <f t="shared" ref="T8" ca="1" si="46">+T7-T9</f>
        <v>#NAME?</v>
      </c>
      <c r="U8" s="156" t="e">
        <f t="shared" ref="U8" ca="1" si="47">+U7-U9</f>
        <v>#NAME?</v>
      </c>
      <c r="V8" s="156" t="e">
        <f t="shared" ref="V8" ca="1" si="48">+V7-V9</f>
        <v>#NAME?</v>
      </c>
      <c r="W8" s="156" t="e">
        <f t="shared" ref="W8" ca="1" si="49">+W7-W9</f>
        <v>#NAME?</v>
      </c>
      <c r="X8" s="156" t="e">
        <f t="shared" ref="X8" ca="1" si="50">+X7-X9</f>
        <v>#NAME?</v>
      </c>
      <c r="Y8" s="156" t="e">
        <f t="shared" ref="Y8" ca="1" si="51">+Y7-Y9</f>
        <v>#NAME?</v>
      </c>
      <c r="Z8" s="156" t="e">
        <f t="shared" ref="Z8" ca="1" si="52">+Z7-Z9</f>
        <v>#NAME?</v>
      </c>
      <c r="AA8" s="157" t="e">
        <f t="shared" ref="AA8" ca="1" si="53">+AA7-AA9</f>
        <v>#NAME?</v>
      </c>
      <c r="AB8" s="157" t="e">
        <f t="shared" ref="AB8" ca="1" si="54">+AB7-AB9</f>
        <v>#NAME?</v>
      </c>
      <c r="AC8" s="157" t="e">
        <f t="shared" ref="AC8" ca="1" si="55">+AC7-AC9</f>
        <v>#NAME?</v>
      </c>
      <c r="AD8" s="157" t="e">
        <f t="shared" ref="AD8" ca="1" si="56">+AD7-AD9</f>
        <v>#NAME?</v>
      </c>
      <c r="AE8" s="157" t="e">
        <f t="shared" ref="AE8" ca="1" si="57">+AE7-AE9</f>
        <v>#NAME?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 t="e">
        <f t="shared" ref="AX8:CI8" ca="1" si="58">+AX7-AX9</f>
        <v>#NAME?</v>
      </c>
      <c r="AY8" s="156" t="e">
        <f t="shared" ca="1" si="58"/>
        <v>#NAME?</v>
      </c>
      <c r="AZ8" s="156" t="e">
        <f t="shared" ca="1" si="58"/>
        <v>#NAME?</v>
      </c>
      <c r="BA8" s="156" t="e">
        <f t="shared" ca="1" si="58"/>
        <v>#NAME?</v>
      </c>
      <c r="BB8" s="156" t="e">
        <f t="shared" ca="1" si="58"/>
        <v>#NAME?</v>
      </c>
      <c r="BC8" s="156" t="e">
        <f t="shared" ca="1" si="58"/>
        <v>#NAME?</v>
      </c>
      <c r="BD8" s="156" t="e">
        <f t="shared" ca="1" si="58"/>
        <v>#NAME?</v>
      </c>
      <c r="BE8" s="156" t="e">
        <f t="shared" ca="1" si="58"/>
        <v>#NAME?</v>
      </c>
      <c r="BF8" s="156" t="e">
        <f t="shared" ca="1" si="58"/>
        <v>#NAME?</v>
      </c>
      <c r="BG8" s="156" t="e">
        <f t="shared" ca="1" si="58"/>
        <v>#NAME?</v>
      </c>
      <c r="BH8" s="156" t="e">
        <f t="shared" ca="1" si="58"/>
        <v>#NAME?</v>
      </c>
      <c r="BI8" s="156" t="e">
        <f t="shared" ca="1" si="58"/>
        <v>#NAME?</v>
      </c>
      <c r="BJ8" s="156" t="e">
        <f t="shared" ca="1" si="58"/>
        <v>#NAME?</v>
      </c>
      <c r="BK8" s="156" t="e">
        <f t="shared" ca="1" si="58"/>
        <v>#NAME?</v>
      </c>
      <c r="BL8" s="156" t="e">
        <f t="shared" ca="1" si="58"/>
        <v>#NAME?</v>
      </c>
      <c r="BM8" s="156" t="e">
        <f t="shared" ca="1" si="58"/>
        <v>#NAME?</v>
      </c>
      <c r="BN8" s="156" t="e">
        <f t="shared" ca="1" si="58"/>
        <v>#NAME?</v>
      </c>
      <c r="BO8" s="156" t="e">
        <f t="shared" ca="1" si="58"/>
        <v>#NAME?</v>
      </c>
      <c r="BP8" s="156" t="e">
        <f t="shared" ca="1" si="58"/>
        <v>#NAME?</v>
      </c>
      <c r="BQ8" s="156" t="e">
        <f t="shared" ca="1" si="58"/>
        <v>#NAME?</v>
      </c>
      <c r="BR8" s="156" t="e">
        <f t="shared" ca="1" si="58"/>
        <v>#NAME?</v>
      </c>
      <c r="BS8" s="156" t="e">
        <f t="shared" ca="1" si="58"/>
        <v>#NAME?</v>
      </c>
      <c r="BT8" s="156" t="e">
        <f t="shared" ca="1" si="58"/>
        <v>#NAME?</v>
      </c>
      <c r="BU8" s="156" t="e">
        <f t="shared" ca="1" si="58"/>
        <v>#NAME?</v>
      </c>
      <c r="BV8" s="156" t="e">
        <f t="shared" ca="1" si="58"/>
        <v>#NAME?</v>
      </c>
      <c r="BW8" s="156" t="e">
        <f t="shared" ca="1" si="58"/>
        <v>#NAME?</v>
      </c>
      <c r="BX8" s="156" t="e">
        <f t="shared" ca="1" si="58"/>
        <v>#NAME?</v>
      </c>
      <c r="BY8" s="156" t="e">
        <f t="shared" ca="1" si="58"/>
        <v>#NAME?</v>
      </c>
      <c r="BZ8" s="156" t="e">
        <f t="shared" ca="1" si="58"/>
        <v>#NAME?</v>
      </c>
      <c r="CA8" s="156" t="e">
        <f t="shared" ca="1" si="58"/>
        <v>#NAME?</v>
      </c>
      <c r="CB8" s="156" t="e">
        <f t="shared" ca="1" si="58"/>
        <v>#NAME?</v>
      </c>
      <c r="CC8" s="156" t="e">
        <f t="shared" ca="1" si="58"/>
        <v>#NAME?</v>
      </c>
      <c r="CD8" s="156" t="e">
        <f t="shared" ca="1" si="58"/>
        <v>#NAME?</v>
      </c>
      <c r="CE8" s="156" t="e">
        <f t="shared" ca="1" si="58"/>
        <v>#NAME?</v>
      </c>
      <c r="CF8" s="156" t="e">
        <f t="shared" ca="1" si="58"/>
        <v>#NAME?</v>
      </c>
      <c r="CG8" s="156" t="e">
        <f t="shared" ca="1" si="58"/>
        <v>#NAME?</v>
      </c>
      <c r="CH8" s="156" t="e">
        <f t="shared" ca="1" si="58"/>
        <v>#NAME?</v>
      </c>
      <c r="CI8" s="156" t="e">
        <f t="shared" ca="1" si="58"/>
        <v>#NAME?</v>
      </c>
      <c r="CJ8" s="156" t="e">
        <f ca="1">+CJ7-CJ9</f>
        <v>#NAME?</v>
      </c>
      <c r="CK8" s="156" t="e">
        <f ca="1">+CK7-CK9</f>
        <v>#NAME?</v>
      </c>
      <c r="CL8" s="156" t="e">
        <f t="shared" ref="CL8" ca="1" si="59">+CL7-CL9</f>
        <v>#NAME?</v>
      </c>
      <c r="CM8" s="157" t="e">
        <f t="shared" ref="CM8:DB8" ca="1" si="60">+AVERAGE(CI8:CL8)</f>
        <v>#NAME?</v>
      </c>
      <c r="CN8" s="157" t="e">
        <f t="shared" ca="1" si="60"/>
        <v>#NAME?</v>
      </c>
      <c r="CO8" s="157" t="e">
        <f t="shared" ca="1" si="60"/>
        <v>#NAME?</v>
      </c>
      <c r="CP8" s="157" t="e">
        <f t="shared" ca="1" si="60"/>
        <v>#NAME?</v>
      </c>
      <c r="CQ8" s="157" t="e">
        <f t="shared" ca="1" si="60"/>
        <v>#NAME?</v>
      </c>
      <c r="CR8" s="157" t="e">
        <f t="shared" ca="1" si="60"/>
        <v>#NAME?</v>
      </c>
      <c r="CS8" s="157" t="e">
        <f t="shared" ca="1" si="60"/>
        <v>#NAME?</v>
      </c>
      <c r="CT8" s="157" t="e">
        <f t="shared" ca="1" si="60"/>
        <v>#NAME?</v>
      </c>
      <c r="CU8" s="157" t="e">
        <f t="shared" ca="1" si="60"/>
        <v>#NAME?</v>
      </c>
      <c r="CV8" s="157" t="e">
        <f t="shared" ca="1" si="60"/>
        <v>#NAME?</v>
      </c>
      <c r="CW8" s="157" t="e">
        <f t="shared" ca="1" si="60"/>
        <v>#NAME?</v>
      </c>
      <c r="CX8" s="157" t="e">
        <f t="shared" ca="1" si="60"/>
        <v>#NAME?</v>
      </c>
      <c r="CY8" s="157" t="e">
        <f t="shared" ca="1" si="60"/>
        <v>#NAME?</v>
      </c>
      <c r="CZ8" s="157" t="e">
        <f t="shared" ca="1" si="60"/>
        <v>#NAME?</v>
      </c>
      <c r="DA8" s="157" t="e">
        <f t="shared" ca="1" si="60"/>
        <v>#NAME?</v>
      </c>
      <c r="DB8" s="157" t="e">
        <f t="shared" ca="1" si="60"/>
        <v>#NAME?</v>
      </c>
      <c r="DE8" s="159"/>
    </row>
    <row r="9" spans="1:110" s="109" customFormat="1" x14ac:dyDescent="0.2">
      <c r="A9" s="190" t="s">
        <v>526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 t="e">
        <f t="shared" ref="R9:AE9" ca="1" si="61">+R24/R4*10</f>
        <v>#NAME?</v>
      </c>
      <c r="S9" s="107" t="e">
        <f t="shared" ca="1" si="61"/>
        <v>#NAME?</v>
      </c>
      <c r="T9" s="107" t="e">
        <f t="shared" ca="1" si="61"/>
        <v>#NAME?</v>
      </c>
      <c r="U9" s="107" t="e">
        <f t="shared" ca="1" si="61"/>
        <v>#NAME?</v>
      </c>
      <c r="V9" s="107" t="e">
        <f t="shared" ca="1" si="61"/>
        <v>#NAME?</v>
      </c>
      <c r="W9" s="107" t="e">
        <f t="shared" ca="1" si="61"/>
        <v>#NAME?</v>
      </c>
      <c r="X9" s="107" t="e">
        <f t="shared" ca="1" si="61"/>
        <v>#NAME?</v>
      </c>
      <c r="Y9" s="107" t="e">
        <f t="shared" ca="1" si="61"/>
        <v>#NAME?</v>
      </c>
      <c r="Z9" s="107" t="e">
        <f t="shared" ca="1" si="61"/>
        <v>#NAME?</v>
      </c>
      <c r="AA9" s="108" t="e">
        <f t="shared" ca="1" si="61"/>
        <v>#NAME?</v>
      </c>
      <c r="AB9" s="108" t="e">
        <f t="shared" ca="1" si="61"/>
        <v>#NAME?</v>
      </c>
      <c r="AC9" s="108" t="e">
        <f t="shared" ca="1" si="61"/>
        <v>#NAME?</v>
      </c>
      <c r="AD9" s="108" t="e">
        <f t="shared" ca="1" si="61"/>
        <v>#NAME?</v>
      </c>
      <c r="AE9" s="108" t="e">
        <f t="shared" ca="1" si="61"/>
        <v>#NAME?</v>
      </c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 t="e">
        <f t="shared" ref="AX9:CC9" ca="1" si="62">+AX24/AX4*10</f>
        <v>#NAME?</v>
      </c>
      <c r="AY9" s="107" t="e">
        <f t="shared" ca="1" si="62"/>
        <v>#NAME?</v>
      </c>
      <c r="AZ9" s="107" t="e">
        <f t="shared" ca="1" si="62"/>
        <v>#NAME?</v>
      </c>
      <c r="BA9" s="107" t="e">
        <f t="shared" ca="1" si="62"/>
        <v>#NAME?</v>
      </c>
      <c r="BB9" s="107" t="e">
        <f t="shared" ca="1" si="62"/>
        <v>#NAME?</v>
      </c>
      <c r="BC9" s="107" t="e">
        <f t="shared" ca="1" si="62"/>
        <v>#NAME?</v>
      </c>
      <c r="BD9" s="107" t="e">
        <f t="shared" ca="1" si="62"/>
        <v>#NAME?</v>
      </c>
      <c r="BE9" s="107" t="e">
        <f t="shared" ca="1" si="62"/>
        <v>#NAME?</v>
      </c>
      <c r="BF9" s="107" t="e">
        <f t="shared" ca="1" si="62"/>
        <v>#NAME?</v>
      </c>
      <c r="BG9" s="107" t="e">
        <f t="shared" ca="1" si="62"/>
        <v>#NAME?</v>
      </c>
      <c r="BH9" s="107" t="e">
        <f t="shared" ca="1" si="62"/>
        <v>#NAME?</v>
      </c>
      <c r="BI9" s="107" t="e">
        <f t="shared" ca="1" si="62"/>
        <v>#NAME?</v>
      </c>
      <c r="BJ9" s="107" t="e">
        <f t="shared" ca="1" si="62"/>
        <v>#NAME?</v>
      </c>
      <c r="BK9" s="107" t="e">
        <f t="shared" ca="1" si="62"/>
        <v>#NAME?</v>
      </c>
      <c r="BL9" s="107" t="e">
        <f t="shared" ca="1" si="62"/>
        <v>#NAME?</v>
      </c>
      <c r="BM9" s="107" t="e">
        <f t="shared" ca="1" si="62"/>
        <v>#NAME?</v>
      </c>
      <c r="BN9" s="107" t="e">
        <f t="shared" ca="1" si="62"/>
        <v>#NAME?</v>
      </c>
      <c r="BO9" s="107" t="e">
        <f t="shared" ca="1" si="62"/>
        <v>#NAME?</v>
      </c>
      <c r="BP9" s="107" t="e">
        <f t="shared" ca="1" si="62"/>
        <v>#NAME?</v>
      </c>
      <c r="BQ9" s="107" t="e">
        <f t="shared" ca="1" si="62"/>
        <v>#NAME?</v>
      </c>
      <c r="BR9" s="107" t="e">
        <f t="shared" ca="1" si="62"/>
        <v>#NAME?</v>
      </c>
      <c r="BS9" s="107" t="e">
        <f t="shared" ca="1" si="62"/>
        <v>#NAME?</v>
      </c>
      <c r="BT9" s="107" t="e">
        <f t="shared" ca="1" si="62"/>
        <v>#NAME?</v>
      </c>
      <c r="BU9" s="107" t="e">
        <f t="shared" ca="1" si="62"/>
        <v>#NAME?</v>
      </c>
      <c r="BV9" s="107" t="e">
        <f t="shared" ca="1" si="62"/>
        <v>#NAME?</v>
      </c>
      <c r="BW9" s="107" t="e">
        <f t="shared" ca="1" si="62"/>
        <v>#NAME?</v>
      </c>
      <c r="BX9" s="107" t="e">
        <f t="shared" ca="1" si="62"/>
        <v>#NAME?</v>
      </c>
      <c r="BY9" s="107" t="e">
        <f t="shared" ca="1" si="62"/>
        <v>#NAME?</v>
      </c>
      <c r="BZ9" s="107" t="e">
        <f t="shared" ca="1" si="62"/>
        <v>#NAME?</v>
      </c>
      <c r="CA9" s="107" t="e">
        <f t="shared" ca="1" si="62"/>
        <v>#NAME?</v>
      </c>
      <c r="CB9" s="107" t="e">
        <f t="shared" ca="1" si="62"/>
        <v>#NAME?</v>
      </c>
      <c r="CC9" s="107" t="e">
        <f t="shared" ca="1" si="62"/>
        <v>#NAME?</v>
      </c>
      <c r="CD9" s="107" t="e">
        <f t="shared" ref="CD9:DB9" ca="1" si="63">+CD24/CD4*10</f>
        <v>#NAME?</v>
      </c>
      <c r="CE9" s="107" t="e">
        <f t="shared" ca="1" si="63"/>
        <v>#NAME?</v>
      </c>
      <c r="CF9" s="107" t="e">
        <f t="shared" ca="1" si="63"/>
        <v>#NAME?</v>
      </c>
      <c r="CG9" s="107" t="e">
        <f t="shared" ca="1" si="63"/>
        <v>#NAME?</v>
      </c>
      <c r="CH9" s="107" t="e">
        <f t="shared" ca="1" si="63"/>
        <v>#NAME?</v>
      </c>
      <c r="CI9" s="107" t="e">
        <f t="shared" ca="1" si="63"/>
        <v>#NAME?</v>
      </c>
      <c r="CJ9" s="107" t="e">
        <f t="shared" ca="1" si="63"/>
        <v>#NAME?</v>
      </c>
      <c r="CK9" s="107" t="e">
        <f t="shared" ca="1" si="63"/>
        <v>#NAME?</v>
      </c>
      <c r="CL9" s="107" t="e">
        <f t="shared" ref="CL9" ca="1" si="64">+CL24/CL4*10</f>
        <v>#NAME?</v>
      </c>
      <c r="CM9" s="108" t="e">
        <f t="shared" ca="1" si="63"/>
        <v>#NAME?</v>
      </c>
      <c r="CN9" s="108" t="e">
        <f t="shared" ca="1" si="63"/>
        <v>#NAME?</v>
      </c>
      <c r="CO9" s="108" t="e">
        <f t="shared" ca="1" si="63"/>
        <v>#NAME?</v>
      </c>
      <c r="CP9" s="108" t="e">
        <f t="shared" ca="1" si="63"/>
        <v>#NAME?</v>
      </c>
      <c r="CQ9" s="108" t="e">
        <f t="shared" ca="1" si="63"/>
        <v>#NAME?</v>
      </c>
      <c r="CR9" s="108" t="e">
        <f t="shared" ca="1" si="63"/>
        <v>#NAME?</v>
      </c>
      <c r="CS9" s="108" t="e">
        <f t="shared" ca="1" si="63"/>
        <v>#NAME?</v>
      </c>
      <c r="CT9" s="108" t="e">
        <f t="shared" ca="1" si="63"/>
        <v>#NAME?</v>
      </c>
      <c r="CU9" s="108" t="e">
        <f t="shared" ca="1" si="63"/>
        <v>#NAME?</v>
      </c>
      <c r="CV9" s="108" t="e">
        <f t="shared" ca="1" si="63"/>
        <v>#NAME?</v>
      </c>
      <c r="CW9" s="108" t="e">
        <f t="shared" ca="1" si="63"/>
        <v>#NAME?</v>
      </c>
      <c r="CX9" s="108" t="e">
        <f t="shared" ca="1" si="63"/>
        <v>#NAME?</v>
      </c>
      <c r="CY9" s="108" t="e">
        <f t="shared" ca="1" si="63"/>
        <v>#NAME?</v>
      </c>
      <c r="CZ9" s="108" t="e">
        <f t="shared" ca="1" si="63"/>
        <v>#NAME?</v>
      </c>
      <c r="DA9" s="108" t="e">
        <f t="shared" ca="1" si="63"/>
        <v>#NAME?</v>
      </c>
      <c r="DB9" s="108" t="e">
        <f t="shared" ca="1" si="63"/>
        <v>#NAME?</v>
      </c>
      <c r="DE9" s="117"/>
    </row>
    <row r="10" spans="1:110" s="158" customFormat="1" x14ac:dyDescent="0.2">
      <c r="A10" s="189" t="s">
        <v>529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 t="e">
        <f t="shared" ref="R10:AE10" ca="1" si="65">+R28/R4*10</f>
        <v>#NAME?</v>
      </c>
      <c r="S10" s="156" t="e">
        <f t="shared" ca="1" si="65"/>
        <v>#NAME?</v>
      </c>
      <c r="T10" s="156" t="e">
        <f t="shared" ca="1" si="65"/>
        <v>#NAME?</v>
      </c>
      <c r="U10" s="156" t="e">
        <f t="shared" ca="1" si="65"/>
        <v>#NAME?</v>
      </c>
      <c r="V10" s="156" t="e">
        <f t="shared" ca="1" si="65"/>
        <v>#NAME?</v>
      </c>
      <c r="W10" s="156" t="e">
        <f t="shared" ca="1" si="65"/>
        <v>#NAME?</v>
      </c>
      <c r="X10" s="156" t="e">
        <f t="shared" ca="1" si="65"/>
        <v>#NAME?</v>
      </c>
      <c r="Y10" s="156" t="e">
        <f t="shared" ca="1" si="65"/>
        <v>#NAME?</v>
      </c>
      <c r="Z10" s="156" t="e">
        <f t="shared" ca="1" si="65"/>
        <v>#NAME?</v>
      </c>
      <c r="AA10" s="157" t="e">
        <f t="shared" ca="1" si="65"/>
        <v>#NAME?</v>
      </c>
      <c r="AB10" s="157" t="e">
        <f t="shared" ca="1" si="65"/>
        <v>#NAME?</v>
      </c>
      <c r="AC10" s="157" t="e">
        <f t="shared" ca="1" si="65"/>
        <v>#NAME?</v>
      </c>
      <c r="AD10" s="157" t="e">
        <f t="shared" ca="1" si="65"/>
        <v>#NAME?</v>
      </c>
      <c r="AE10" s="157" t="e">
        <f t="shared" ca="1" si="65"/>
        <v>#NAME?</v>
      </c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 t="e">
        <f t="shared" ref="AX10:CC10" ca="1" si="66">+AX28/AX4*10</f>
        <v>#NAME?</v>
      </c>
      <c r="AY10" s="156" t="e">
        <f t="shared" ca="1" si="66"/>
        <v>#NAME?</v>
      </c>
      <c r="AZ10" s="156" t="e">
        <f t="shared" ca="1" si="66"/>
        <v>#NAME?</v>
      </c>
      <c r="BA10" s="156" t="e">
        <f t="shared" ca="1" si="66"/>
        <v>#NAME?</v>
      </c>
      <c r="BB10" s="156" t="e">
        <f t="shared" ca="1" si="66"/>
        <v>#NAME?</v>
      </c>
      <c r="BC10" s="156" t="e">
        <f t="shared" ca="1" si="66"/>
        <v>#NAME?</v>
      </c>
      <c r="BD10" s="156" t="e">
        <f t="shared" ca="1" si="66"/>
        <v>#NAME?</v>
      </c>
      <c r="BE10" s="156" t="e">
        <f t="shared" ca="1" si="66"/>
        <v>#NAME?</v>
      </c>
      <c r="BF10" s="156" t="e">
        <f t="shared" ca="1" si="66"/>
        <v>#NAME?</v>
      </c>
      <c r="BG10" s="156" t="e">
        <f t="shared" ca="1" si="66"/>
        <v>#NAME?</v>
      </c>
      <c r="BH10" s="156" t="e">
        <f t="shared" ca="1" si="66"/>
        <v>#NAME?</v>
      </c>
      <c r="BI10" s="156" t="e">
        <f t="shared" ca="1" si="66"/>
        <v>#NAME?</v>
      </c>
      <c r="BJ10" s="156" t="e">
        <f t="shared" ca="1" si="66"/>
        <v>#NAME?</v>
      </c>
      <c r="BK10" s="156" t="e">
        <f t="shared" ca="1" si="66"/>
        <v>#NAME?</v>
      </c>
      <c r="BL10" s="156" t="e">
        <f t="shared" ca="1" si="66"/>
        <v>#NAME?</v>
      </c>
      <c r="BM10" s="156" t="e">
        <f t="shared" ca="1" si="66"/>
        <v>#NAME?</v>
      </c>
      <c r="BN10" s="156" t="e">
        <f t="shared" ca="1" si="66"/>
        <v>#NAME?</v>
      </c>
      <c r="BO10" s="156" t="e">
        <f t="shared" ca="1" si="66"/>
        <v>#NAME?</v>
      </c>
      <c r="BP10" s="156" t="e">
        <f t="shared" ca="1" si="66"/>
        <v>#NAME?</v>
      </c>
      <c r="BQ10" s="156" t="e">
        <f t="shared" ca="1" si="66"/>
        <v>#NAME?</v>
      </c>
      <c r="BR10" s="156" t="e">
        <f t="shared" ca="1" si="66"/>
        <v>#NAME?</v>
      </c>
      <c r="BS10" s="156" t="e">
        <f t="shared" ca="1" si="66"/>
        <v>#NAME?</v>
      </c>
      <c r="BT10" s="156" t="e">
        <f t="shared" ca="1" si="66"/>
        <v>#NAME?</v>
      </c>
      <c r="BU10" s="156" t="e">
        <f t="shared" ca="1" si="66"/>
        <v>#NAME?</v>
      </c>
      <c r="BV10" s="156" t="e">
        <f t="shared" ca="1" si="66"/>
        <v>#NAME?</v>
      </c>
      <c r="BW10" s="156" t="e">
        <f t="shared" ca="1" si="66"/>
        <v>#NAME?</v>
      </c>
      <c r="BX10" s="156" t="e">
        <f t="shared" ca="1" si="66"/>
        <v>#NAME?</v>
      </c>
      <c r="BY10" s="156" t="e">
        <f t="shared" ca="1" si="66"/>
        <v>#NAME?</v>
      </c>
      <c r="BZ10" s="156" t="e">
        <f t="shared" ca="1" si="66"/>
        <v>#NAME?</v>
      </c>
      <c r="CA10" s="156" t="e">
        <f t="shared" ca="1" si="66"/>
        <v>#NAME?</v>
      </c>
      <c r="CB10" s="156" t="e">
        <f t="shared" ca="1" si="66"/>
        <v>#NAME?</v>
      </c>
      <c r="CC10" s="156" t="e">
        <f t="shared" ca="1" si="66"/>
        <v>#NAME?</v>
      </c>
      <c r="CD10" s="156" t="e">
        <f t="shared" ref="CD10:DB10" ca="1" si="67">+CD28/CD4*10</f>
        <v>#NAME?</v>
      </c>
      <c r="CE10" s="156" t="e">
        <f t="shared" ca="1" si="67"/>
        <v>#NAME?</v>
      </c>
      <c r="CF10" s="156" t="e">
        <f t="shared" ca="1" si="67"/>
        <v>#NAME?</v>
      </c>
      <c r="CG10" s="156" t="e">
        <f t="shared" ca="1" si="67"/>
        <v>#NAME?</v>
      </c>
      <c r="CH10" s="156" t="e">
        <f t="shared" ca="1" si="67"/>
        <v>#NAME?</v>
      </c>
      <c r="CI10" s="156" t="e">
        <f t="shared" ca="1" si="67"/>
        <v>#NAME?</v>
      </c>
      <c r="CJ10" s="156" t="e">
        <f t="shared" ca="1" si="67"/>
        <v>#NAME?</v>
      </c>
      <c r="CK10" s="156" t="e">
        <f t="shared" ca="1" si="67"/>
        <v>#NAME?</v>
      </c>
      <c r="CL10" s="156" t="e">
        <f t="shared" ref="CL10" ca="1" si="68">+CL28/CL4*10</f>
        <v>#NAME?</v>
      </c>
      <c r="CM10" s="157" t="e">
        <f t="shared" ca="1" si="67"/>
        <v>#NAME?</v>
      </c>
      <c r="CN10" s="157" t="e">
        <f t="shared" ca="1" si="67"/>
        <v>#NAME?</v>
      </c>
      <c r="CO10" s="157" t="e">
        <f t="shared" ca="1" si="67"/>
        <v>#NAME?</v>
      </c>
      <c r="CP10" s="157" t="e">
        <f t="shared" ca="1" si="67"/>
        <v>#NAME?</v>
      </c>
      <c r="CQ10" s="157" t="e">
        <f t="shared" ca="1" si="67"/>
        <v>#NAME?</v>
      </c>
      <c r="CR10" s="157" t="e">
        <f t="shared" ca="1" si="67"/>
        <v>#NAME?</v>
      </c>
      <c r="CS10" s="157" t="e">
        <f t="shared" ca="1" si="67"/>
        <v>#NAME?</v>
      </c>
      <c r="CT10" s="157" t="e">
        <f t="shared" ca="1" si="67"/>
        <v>#NAME?</v>
      </c>
      <c r="CU10" s="157" t="e">
        <f t="shared" ca="1" si="67"/>
        <v>#NAME?</v>
      </c>
      <c r="CV10" s="157" t="e">
        <f t="shared" ca="1" si="67"/>
        <v>#NAME?</v>
      </c>
      <c r="CW10" s="157" t="e">
        <f t="shared" ca="1" si="67"/>
        <v>#NAME?</v>
      </c>
      <c r="CX10" s="157" t="e">
        <f t="shared" ca="1" si="67"/>
        <v>#NAME?</v>
      </c>
      <c r="CY10" s="157" t="e">
        <f t="shared" ca="1" si="67"/>
        <v>#NAME?</v>
      </c>
      <c r="CZ10" s="157" t="e">
        <f t="shared" ca="1" si="67"/>
        <v>#NAME?</v>
      </c>
      <c r="DA10" s="157" t="e">
        <f t="shared" ca="1" si="67"/>
        <v>#NAME?</v>
      </c>
      <c r="DB10" s="157" t="e">
        <f t="shared" ca="1" si="67"/>
        <v>#NAME?</v>
      </c>
      <c r="DE10" s="159"/>
    </row>
    <row r="11" spans="1:110" s="158" customFormat="1" x14ac:dyDescent="0.2">
      <c r="A11" s="189" t="s">
        <v>530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 t="e">
        <f t="shared" ref="R11" ca="1" si="69">+R9-R10-R12</f>
        <v>#NAME?</v>
      </c>
      <c r="S11" s="156" t="e">
        <f t="shared" ref="S11" ca="1" si="70">+S9-S10-S12</f>
        <v>#NAME?</v>
      </c>
      <c r="T11" s="156" t="e">
        <f t="shared" ref="T11" ca="1" si="71">+T9-T10-T12</f>
        <v>#NAME?</v>
      </c>
      <c r="U11" s="156" t="e">
        <f t="shared" ref="U11" ca="1" si="72">+U9-U10-U12</f>
        <v>#NAME?</v>
      </c>
      <c r="V11" s="156" t="e">
        <f t="shared" ref="V11" ca="1" si="73">+V9-V10-V12</f>
        <v>#NAME?</v>
      </c>
      <c r="W11" s="156" t="e">
        <f t="shared" ref="W11" ca="1" si="74">+W9-W10-W12</f>
        <v>#NAME?</v>
      </c>
      <c r="X11" s="156" t="e">
        <f t="shared" ref="X11" ca="1" si="75">+X9-X10-X12</f>
        <v>#NAME?</v>
      </c>
      <c r="Y11" s="156" t="e">
        <f t="shared" ref="Y11" ca="1" si="76">+Y9-Y10-Y12</f>
        <v>#NAME?</v>
      </c>
      <c r="Z11" s="156" t="e">
        <f t="shared" ref="Z11" ca="1" si="77">+Z9-Z10-Z12</f>
        <v>#NAME?</v>
      </c>
      <c r="AA11" s="157" t="e">
        <f t="shared" ref="AA11" ca="1" si="78">+AA9-AA10-AA12</f>
        <v>#NAME?</v>
      </c>
      <c r="AB11" s="157" t="e">
        <f t="shared" ref="AB11" ca="1" si="79">+AB9-AB10-AB12</f>
        <v>#NAME?</v>
      </c>
      <c r="AC11" s="157" t="e">
        <f t="shared" ref="AC11" ca="1" si="80">+AC9-AC10-AC12</f>
        <v>#NAME?</v>
      </c>
      <c r="AD11" s="157" t="e">
        <f t="shared" ref="AD11" ca="1" si="81">+AD9-AD10-AD12</f>
        <v>#NAME?</v>
      </c>
      <c r="AE11" s="157" t="e">
        <f t="shared" ref="AE11" ca="1" si="82">+AE9-AE10-AE12</f>
        <v>#NAME?</v>
      </c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 t="e">
        <f t="shared" ref="AX11:CI11" ca="1" si="83">+AX9-AX10-AX12</f>
        <v>#NAME?</v>
      </c>
      <c r="AY11" s="156" t="e">
        <f t="shared" ca="1" si="83"/>
        <v>#NAME?</v>
      </c>
      <c r="AZ11" s="156" t="e">
        <f t="shared" ca="1" si="83"/>
        <v>#NAME?</v>
      </c>
      <c r="BA11" s="156" t="e">
        <f t="shared" ca="1" si="83"/>
        <v>#NAME?</v>
      </c>
      <c r="BB11" s="156" t="e">
        <f t="shared" ca="1" si="83"/>
        <v>#NAME?</v>
      </c>
      <c r="BC11" s="156" t="e">
        <f t="shared" ca="1" si="83"/>
        <v>#NAME?</v>
      </c>
      <c r="BD11" s="156" t="e">
        <f t="shared" ca="1" si="83"/>
        <v>#NAME?</v>
      </c>
      <c r="BE11" s="156" t="e">
        <f t="shared" ca="1" si="83"/>
        <v>#NAME?</v>
      </c>
      <c r="BF11" s="156" t="e">
        <f t="shared" ca="1" si="83"/>
        <v>#NAME?</v>
      </c>
      <c r="BG11" s="156" t="e">
        <f t="shared" ca="1" si="83"/>
        <v>#NAME?</v>
      </c>
      <c r="BH11" s="156" t="e">
        <f t="shared" ca="1" si="83"/>
        <v>#NAME?</v>
      </c>
      <c r="BI11" s="156" t="e">
        <f t="shared" ca="1" si="83"/>
        <v>#NAME?</v>
      </c>
      <c r="BJ11" s="156" t="e">
        <f t="shared" ca="1" si="83"/>
        <v>#NAME?</v>
      </c>
      <c r="BK11" s="156" t="e">
        <f t="shared" ca="1" si="83"/>
        <v>#NAME?</v>
      </c>
      <c r="BL11" s="156" t="e">
        <f t="shared" ca="1" si="83"/>
        <v>#NAME?</v>
      </c>
      <c r="BM11" s="156" t="e">
        <f t="shared" ca="1" si="83"/>
        <v>#NAME?</v>
      </c>
      <c r="BN11" s="156" t="e">
        <f t="shared" ca="1" si="83"/>
        <v>#NAME?</v>
      </c>
      <c r="BO11" s="156" t="e">
        <f t="shared" ca="1" si="83"/>
        <v>#NAME?</v>
      </c>
      <c r="BP11" s="156" t="e">
        <f t="shared" ca="1" si="83"/>
        <v>#NAME?</v>
      </c>
      <c r="BQ11" s="156" t="e">
        <f t="shared" ca="1" si="83"/>
        <v>#NAME?</v>
      </c>
      <c r="BR11" s="156" t="e">
        <f t="shared" ca="1" si="83"/>
        <v>#NAME?</v>
      </c>
      <c r="BS11" s="156" t="e">
        <f t="shared" ca="1" si="83"/>
        <v>#NAME?</v>
      </c>
      <c r="BT11" s="156" t="e">
        <f t="shared" ca="1" si="83"/>
        <v>#NAME?</v>
      </c>
      <c r="BU11" s="156" t="e">
        <f t="shared" ca="1" si="83"/>
        <v>#NAME?</v>
      </c>
      <c r="BV11" s="156" t="e">
        <f t="shared" ca="1" si="83"/>
        <v>#NAME?</v>
      </c>
      <c r="BW11" s="156" t="e">
        <f t="shared" ca="1" si="83"/>
        <v>#NAME?</v>
      </c>
      <c r="BX11" s="156" t="e">
        <f t="shared" ca="1" si="83"/>
        <v>#NAME?</v>
      </c>
      <c r="BY11" s="156" t="e">
        <f t="shared" ca="1" si="83"/>
        <v>#NAME?</v>
      </c>
      <c r="BZ11" s="156" t="e">
        <f t="shared" ca="1" si="83"/>
        <v>#NAME?</v>
      </c>
      <c r="CA11" s="156" t="e">
        <f t="shared" ca="1" si="83"/>
        <v>#NAME?</v>
      </c>
      <c r="CB11" s="156" t="e">
        <f t="shared" ca="1" si="83"/>
        <v>#NAME?</v>
      </c>
      <c r="CC11" s="156" t="e">
        <f t="shared" ca="1" si="83"/>
        <v>#NAME?</v>
      </c>
      <c r="CD11" s="156" t="e">
        <f t="shared" ca="1" si="83"/>
        <v>#NAME?</v>
      </c>
      <c r="CE11" s="156" t="e">
        <f t="shared" ca="1" si="83"/>
        <v>#NAME?</v>
      </c>
      <c r="CF11" s="156" t="e">
        <f t="shared" ca="1" si="83"/>
        <v>#NAME?</v>
      </c>
      <c r="CG11" s="156" t="e">
        <f t="shared" ca="1" si="83"/>
        <v>#NAME?</v>
      </c>
      <c r="CH11" s="156" t="e">
        <f t="shared" ca="1" si="83"/>
        <v>#NAME?</v>
      </c>
      <c r="CI11" s="156" t="e">
        <f t="shared" ca="1" si="83"/>
        <v>#NAME?</v>
      </c>
      <c r="CJ11" s="156" t="e">
        <f ca="1">+CJ9-CJ10-CJ12</f>
        <v>#NAME?</v>
      </c>
      <c r="CK11" s="156" t="e">
        <f ca="1">+CK9-CK10-CK12</f>
        <v>#NAME?</v>
      </c>
      <c r="CL11" s="156" t="e">
        <f t="shared" ref="CL11" ca="1" si="84">+CL9-CL10-CL12</f>
        <v>#NAME?</v>
      </c>
      <c r="CM11" s="157" t="e">
        <f t="shared" ref="CM11:DB11" ca="1" si="85">+CM9-CM10-CM12</f>
        <v>#NAME?</v>
      </c>
      <c r="CN11" s="157" t="e">
        <f t="shared" ca="1" si="85"/>
        <v>#NAME?</v>
      </c>
      <c r="CO11" s="157" t="e">
        <f t="shared" ca="1" si="85"/>
        <v>#NAME?</v>
      </c>
      <c r="CP11" s="157" t="e">
        <f t="shared" ca="1" si="85"/>
        <v>#NAME?</v>
      </c>
      <c r="CQ11" s="157" t="e">
        <f t="shared" ca="1" si="85"/>
        <v>#NAME?</v>
      </c>
      <c r="CR11" s="157" t="e">
        <f t="shared" ca="1" si="85"/>
        <v>#NAME?</v>
      </c>
      <c r="CS11" s="157" t="e">
        <f t="shared" ca="1" si="85"/>
        <v>#NAME?</v>
      </c>
      <c r="CT11" s="157" t="e">
        <f t="shared" ca="1" si="85"/>
        <v>#NAME?</v>
      </c>
      <c r="CU11" s="157" t="e">
        <f t="shared" ca="1" si="85"/>
        <v>#NAME?</v>
      </c>
      <c r="CV11" s="157" t="e">
        <f t="shared" ca="1" si="85"/>
        <v>#NAME?</v>
      </c>
      <c r="CW11" s="157" t="e">
        <f t="shared" ca="1" si="85"/>
        <v>#NAME?</v>
      </c>
      <c r="CX11" s="157" t="e">
        <f t="shared" ca="1" si="85"/>
        <v>#NAME?</v>
      </c>
      <c r="CY11" s="157" t="e">
        <f t="shared" ca="1" si="85"/>
        <v>#NAME?</v>
      </c>
      <c r="CZ11" s="157" t="e">
        <f t="shared" ca="1" si="85"/>
        <v>#NAME?</v>
      </c>
      <c r="DA11" s="157" t="e">
        <f t="shared" ca="1" si="85"/>
        <v>#NAME?</v>
      </c>
      <c r="DB11" s="157" t="e">
        <f t="shared" ca="1" si="85"/>
        <v>#NAME?</v>
      </c>
      <c r="DE11" s="159"/>
    </row>
    <row r="12" spans="1:110" s="109" customFormat="1" x14ac:dyDescent="0.2">
      <c r="A12" s="190" t="s">
        <v>527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 t="e">
        <f t="shared" ref="R12:AE12" ca="1" si="86">+R36/R4*10</f>
        <v>#NAME?</v>
      </c>
      <c r="S12" s="107" t="e">
        <f t="shared" ca="1" si="86"/>
        <v>#NAME?</v>
      </c>
      <c r="T12" s="107" t="e">
        <f t="shared" ca="1" si="86"/>
        <v>#NAME?</v>
      </c>
      <c r="U12" s="107" t="e">
        <f t="shared" ca="1" si="86"/>
        <v>#NAME?</v>
      </c>
      <c r="V12" s="107" t="e">
        <f t="shared" ca="1" si="86"/>
        <v>#NAME?</v>
      </c>
      <c r="W12" s="107" t="e">
        <f t="shared" ca="1" si="86"/>
        <v>#NAME?</v>
      </c>
      <c r="X12" s="107" t="e">
        <f t="shared" ca="1" si="86"/>
        <v>#NAME?</v>
      </c>
      <c r="Y12" s="107" t="e">
        <f t="shared" ca="1" si="86"/>
        <v>#NAME?</v>
      </c>
      <c r="Z12" s="107" t="e">
        <f t="shared" ca="1" si="86"/>
        <v>#NAME?</v>
      </c>
      <c r="AA12" s="108" t="e">
        <f t="shared" ca="1" si="86"/>
        <v>#NAME?</v>
      </c>
      <c r="AB12" s="108" t="e">
        <f t="shared" ca="1" si="86"/>
        <v>#NAME?</v>
      </c>
      <c r="AC12" s="108" t="e">
        <f t="shared" ca="1" si="86"/>
        <v>#NAME?</v>
      </c>
      <c r="AD12" s="108" t="e">
        <f t="shared" ca="1" si="86"/>
        <v>#NAME?</v>
      </c>
      <c r="AE12" s="108" t="e">
        <f t="shared" ca="1" si="86"/>
        <v>#NAME?</v>
      </c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 t="e">
        <f t="shared" ref="AX12:CC12" ca="1" si="87">+AX36/AX4*10</f>
        <v>#NAME?</v>
      </c>
      <c r="AY12" s="107" t="e">
        <f t="shared" ca="1" si="87"/>
        <v>#NAME?</v>
      </c>
      <c r="AZ12" s="107" t="e">
        <f t="shared" ca="1" si="87"/>
        <v>#NAME?</v>
      </c>
      <c r="BA12" s="107" t="e">
        <f t="shared" ca="1" si="87"/>
        <v>#NAME?</v>
      </c>
      <c r="BB12" s="107" t="e">
        <f t="shared" ca="1" si="87"/>
        <v>#NAME?</v>
      </c>
      <c r="BC12" s="107" t="e">
        <f t="shared" ca="1" si="87"/>
        <v>#NAME?</v>
      </c>
      <c r="BD12" s="107" t="e">
        <f t="shared" ca="1" si="87"/>
        <v>#NAME?</v>
      </c>
      <c r="BE12" s="107" t="e">
        <f t="shared" ca="1" si="87"/>
        <v>#NAME?</v>
      </c>
      <c r="BF12" s="107" t="e">
        <f t="shared" ca="1" si="87"/>
        <v>#NAME?</v>
      </c>
      <c r="BG12" s="107" t="e">
        <f t="shared" ca="1" si="87"/>
        <v>#NAME?</v>
      </c>
      <c r="BH12" s="107" t="e">
        <f t="shared" ca="1" si="87"/>
        <v>#NAME?</v>
      </c>
      <c r="BI12" s="107" t="e">
        <f t="shared" ca="1" si="87"/>
        <v>#NAME?</v>
      </c>
      <c r="BJ12" s="107" t="e">
        <f t="shared" ca="1" si="87"/>
        <v>#NAME?</v>
      </c>
      <c r="BK12" s="107" t="e">
        <f t="shared" ca="1" si="87"/>
        <v>#NAME?</v>
      </c>
      <c r="BL12" s="107" t="e">
        <f t="shared" ca="1" si="87"/>
        <v>#NAME?</v>
      </c>
      <c r="BM12" s="107" t="e">
        <f t="shared" ca="1" si="87"/>
        <v>#NAME?</v>
      </c>
      <c r="BN12" s="107" t="e">
        <f t="shared" ca="1" si="87"/>
        <v>#NAME?</v>
      </c>
      <c r="BO12" s="107" t="e">
        <f t="shared" ca="1" si="87"/>
        <v>#NAME?</v>
      </c>
      <c r="BP12" s="107" t="e">
        <f t="shared" ca="1" si="87"/>
        <v>#NAME?</v>
      </c>
      <c r="BQ12" s="107" t="e">
        <f t="shared" ca="1" si="87"/>
        <v>#NAME?</v>
      </c>
      <c r="BR12" s="107" t="e">
        <f t="shared" ca="1" si="87"/>
        <v>#NAME?</v>
      </c>
      <c r="BS12" s="107" t="e">
        <f t="shared" ca="1" si="87"/>
        <v>#NAME?</v>
      </c>
      <c r="BT12" s="107" t="e">
        <f t="shared" ca="1" si="87"/>
        <v>#NAME?</v>
      </c>
      <c r="BU12" s="107" t="e">
        <f t="shared" ca="1" si="87"/>
        <v>#NAME?</v>
      </c>
      <c r="BV12" s="107" t="e">
        <f t="shared" ca="1" si="87"/>
        <v>#NAME?</v>
      </c>
      <c r="BW12" s="107" t="e">
        <f t="shared" ca="1" si="87"/>
        <v>#NAME?</v>
      </c>
      <c r="BX12" s="107" t="e">
        <f t="shared" ca="1" si="87"/>
        <v>#NAME?</v>
      </c>
      <c r="BY12" s="107" t="e">
        <f t="shared" ca="1" si="87"/>
        <v>#NAME?</v>
      </c>
      <c r="BZ12" s="107" t="e">
        <f t="shared" ca="1" si="87"/>
        <v>#NAME?</v>
      </c>
      <c r="CA12" s="107" t="e">
        <f t="shared" ca="1" si="87"/>
        <v>#NAME?</v>
      </c>
      <c r="CB12" s="107" t="e">
        <f t="shared" ca="1" si="87"/>
        <v>#NAME?</v>
      </c>
      <c r="CC12" s="107" t="e">
        <f t="shared" ca="1" si="87"/>
        <v>#NAME?</v>
      </c>
      <c r="CD12" s="107" t="e">
        <f t="shared" ref="CD12:DB12" ca="1" si="88">+CD36/CD4*10</f>
        <v>#NAME?</v>
      </c>
      <c r="CE12" s="107" t="e">
        <f t="shared" ca="1" si="88"/>
        <v>#NAME?</v>
      </c>
      <c r="CF12" s="107" t="e">
        <f t="shared" ca="1" si="88"/>
        <v>#NAME?</v>
      </c>
      <c r="CG12" s="107" t="e">
        <f t="shared" ca="1" si="88"/>
        <v>#NAME?</v>
      </c>
      <c r="CH12" s="107" t="e">
        <f t="shared" ca="1" si="88"/>
        <v>#NAME?</v>
      </c>
      <c r="CI12" s="107" t="e">
        <f t="shared" ca="1" si="88"/>
        <v>#NAME?</v>
      </c>
      <c r="CJ12" s="107" t="e">
        <f t="shared" ca="1" si="88"/>
        <v>#NAME?</v>
      </c>
      <c r="CK12" s="107" t="e">
        <f t="shared" ca="1" si="88"/>
        <v>#NAME?</v>
      </c>
      <c r="CL12" s="107" t="e">
        <f t="shared" ref="CL12" ca="1" si="89">+CL36/CL4*10</f>
        <v>#NAME?</v>
      </c>
      <c r="CM12" s="108" t="e">
        <f t="shared" ca="1" si="88"/>
        <v>#NAME?</v>
      </c>
      <c r="CN12" s="108" t="e">
        <f t="shared" ca="1" si="88"/>
        <v>#NAME?</v>
      </c>
      <c r="CO12" s="108" t="e">
        <f t="shared" ca="1" si="88"/>
        <v>#NAME?</v>
      </c>
      <c r="CP12" s="108" t="e">
        <f t="shared" ca="1" si="88"/>
        <v>#NAME?</v>
      </c>
      <c r="CQ12" s="108" t="e">
        <f t="shared" ca="1" si="88"/>
        <v>#NAME?</v>
      </c>
      <c r="CR12" s="108" t="e">
        <f t="shared" ca="1" si="88"/>
        <v>#NAME?</v>
      </c>
      <c r="CS12" s="108" t="e">
        <f t="shared" ca="1" si="88"/>
        <v>#NAME?</v>
      </c>
      <c r="CT12" s="108" t="e">
        <f t="shared" ca="1" si="88"/>
        <v>#NAME?</v>
      </c>
      <c r="CU12" s="108" t="e">
        <f t="shared" ca="1" si="88"/>
        <v>#NAME?</v>
      </c>
      <c r="CV12" s="108" t="e">
        <f t="shared" ca="1" si="88"/>
        <v>#NAME?</v>
      </c>
      <c r="CW12" s="108" t="e">
        <f t="shared" ca="1" si="88"/>
        <v>#NAME?</v>
      </c>
      <c r="CX12" s="108" t="e">
        <f t="shared" ca="1" si="88"/>
        <v>#NAME?</v>
      </c>
      <c r="CY12" s="108" t="e">
        <f t="shared" ca="1" si="88"/>
        <v>#NAME?</v>
      </c>
      <c r="CZ12" s="108" t="e">
        <f t="shared" ca="1" si="88"/>
        <v>#NAME?</v>
      </c>
      <c r="DA12" s="108" t="e">
        <f t="shared" ca="1" si="88"/>
        <v>#NAME?</v>
      </c>
      <c r="DB12" s="108" t="e">
        <f t="shared" ca="1" si="88"/>
        <v>#NAME?</v>
      </c>
      <c r="DE12" s="117"/>
    </row>
    <row r="13" spans="1:110" s="158" customFormat="1" x14ac:dyDescent="0.2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7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06" customFormat="1" x14ac:dyDescent="0.2">
      <c r="A14" s="151" t="s">
        <v>500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5"/>
      <c r="AB14" s="105"/>
      <c r="AC14" s="105"/>
      <c r="AD14" s="105"/>
      <c r="AE14" s="105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A14" s="105"/>
      <c r="DB14" s="105"/>
      <c r="DE14" s="118"/>
    </row>
    <row r="15" spans="1:110" s="106" customFormat="1" x14ac:dyDescent="0.2">
      <c r="A15" s="151" t="s">
        <v>485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05"/>
      <c r="AC15" s="105"/>
      <c r="AD15" s="105"/>
      <c r="AE15" s="105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60"/>
      <c r="CK15" s="160"/>
      <c r="CL15" s="160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E15" s="118"/>
    </row>
    <row r="16" spans="1:110" s="25" customFormat="1" outlineLevel="1" x14ac:dyDescent="0.2">
      <c r="A16" s="25" t="s">
        <v>430</v>
      </c>
      <c r="B16" s="25" t="e">
        <f ca="1">'Annual Raw'!C6</f>
        <v>#NAME?</v>
      </c>
      <c r="C16" s="25" t="e">
        <f ca="1">'Annual Raw'!D6</f>
        <v>#NAME?</v>
      </c>
      <c r="D16" s="25" t="e">
        <f ca="1">'Annual Raw'!E6</f>
        <v>#NAME?</v>
      </c>
      <c r="E16" s="25" t="e">
        <f ca="1">'Annual Raw'!F6</f>
        <v>#NAME?</v>
      </c>
      <c r="F16" s="25" t="e">
        <f ca="1">'Annual Raw'!G6</f>
        <v>#NAME?</v>
      </c>
      <c r="G16" s="25" t="e">
        <f ca="1">'Annual Raw'!H6</f>
        <v>#NAME?</v>
      </c>
      <c r="H16" s="25" t="e">
        <f ca="1">'Annual Raw'!I6</f>
        <v>#NAME?</v>
      </c>
      <c r="I16" s="25" t="e">
        <f ca="1">'Annual Raw'!J6</f>
        <v>#NAME?</v>
      </c>
      <c r="J16" s="25" t="e">
        <f ca="1">'Annual Raw'!K6</f>
        <v>#NAME?</v>
      </c>
      <c r="K16" s="25" t="e">
        <f ca="1">'Annual Raw'!L6</f>
        <v>#NAME?</v>
      </c>
      <c r="L16" s="25" t="e">
        <f ca="1">'Annual Raw'!M6</f>
        <v>#NAME?</v>
      </c>
      <c r="M16" s="25" t="e">
        <f ca="1">'Annual Raw'!N6</f>
        <v>#NAME?</v>
      </c>
      <c r="N16" s="25" t="e">
        <f ca="1">'Annual Raw'!O6</f>
        <v>#NAME?</v>
      </c>
      <c r="O16" s="25" t="e">
        <f ca="1">'Annual Raw'!P6</f>
        <v>#NAME?</v>
      </c>
      <c r="P16" s="25" t="e">
        <f ca="1">'Annual Raw'!Q6</f>
        <v>#NAME?</v>
      </c>
      <c r="Q16" s="25" t="e">
        <f ca="1">'Annual Raw'!R6</f>
        <v>#NAME?</v>
      </c>
      <c r="R16" s="25" t="e">
        <f ca="1">'Annual Raw'!S6</f>
        <v>#NAME?</v>
      </c>
      <c r="S16" s="25" t="e">
        <f ca="1">'Annual Raw'!T6</f>
        <v>#NAME?</v>
      </c>
      <c r="T16" s="25" t="e">
        <f ca="1">'Annual Raw'!U6</f>
        <v>#NAME?</v>
      </c>
      <c r="U16" s="25" t="e">
        <f ca="1">'Annual Raw'!V6</f>
        <v>#NAME?</v>
      </c>
      <c r="V16" s="25" t="e">
        <f ca="1">'Annual Raw'!W6</f>
        <v>#NAME?</v>
      </c>
      <c r="W16" s="25" t="e">
        <f ca="1">'Annual Raw'!X6</f>
        <v>#NAME?</v>
      </c>
      <c r="X16" s="25" t="e">
        <f ca="1">'Annual Raw'!Y6</f>
        <v>#NAME?</v>
      </c>
      <c r="Y16" s="25" t="e">
        <f ca="1">'Annual Raw'!Z6</f>
        <v>#NAME?</v>
      </c>
      <c r="Z16" s="25" t="e">
        <f ca="1">'Annual Raw'!AA6</f>
        <v>#NAME?</v>
      </c>
      <c r="AA16" s="25" t="e">
        <f ca="1">'Annual Raw'!AB6</f>
        <v>#NAME?</v>
      </c>
      <c r="AB16" s="17" t="e">
        <f ca="1">+SUM(CM16:CP16)</f>
        <v>#NAME?</v>
      </c>
      <c r="AC16" s="17" t="e">
        <f ca="1">+SUM(CQ16:CT16)</f>
        <v>#NAME?</v>
      </c>
      <c r="AD16" s="17" t="e">
        <f ca="1">+SUM(CU16:CX16)</f>
        <v>#NAME?</v>
      </c>
      <c r="AE16" s="17" t="e">
        <f ca="1">+SUM(CY16:DB16)</f>
        <v>#NAME?</v>
      </c>
      <c r="AI16" s="25" t="e">
        <f ca="1">'QTR Raw'!C6+'QTR Raw'!C8</f>
        <v>#NAME?</v>
      </c>
      <c r="AJ16" s="25" t="e">
        <f ca="1">'QTR Raw'!D6+'QTR Raw'!D8</f>
        <v>#NAME?</v>
      </c>
      <c r="AK16" s="25" t="e">
        <f ca="1">'QTR Raw'!E6+'QTR Raw'!E8</f>
        <v>#NAME?</v>
      </c>
      <c r="AL16" s="25" t="e">
        <f ca="1">'QTR Raw'!F6+'QTR Raw'!F8</f>
        <v>#NAME?</v>
      </c>
      <c r="AM16" s="25" t="e">
        <f ca="1">'QTR Raw'!G6+'QTR Raw'!G8</f>
        <v>#NAME?</v>
      </c>
      <c r="AN16" s="25" t="e">
        <f ca="1">'QTR Raw'!H6+'QTR Raw'!H8</f>
        <v>#NAME?</v>
      </c>
      <c r="AO16" s="25" t="e">
        <f ca="1">'QTR Raw'!I6+'QTR Raw'!I8</f>
        <v>#NAME?</v>
      </c>
      <c r="AP16" s="25" t="e">
        <f ca="1">'QTR Raw'!J6+'QTR Raw'!J8</f>
        <v>#NAME?</v>
      </c>
      <c r="AQ16" s="25" t="e">
        <f ca="1">'QTR Raw'!K6+'QTR Raw'!K8</f>
        <v>#NAME?</v>
      </c>
      <c r="AR16" s="25" t="e">
        <f ca="1">'QTR Raw'!L6+'QTR Raw'!L8</f>
        <v>#NAME?</v>
      </c>
      <c r="AS16" s="25" t="e">
        <f ca="1">'QTR Raw'!M6+'QTR Raw'!M8</f>
        <v>#NAME?</v>
      </c>
      <c r="AT16" s="25" t="e">
        <f ca="1">'QTR Raw'!N6+'QTR Raw'!N8</f>
        <v>#NAME?</v>
      </c>
      <c r="AU16" s="25" t="e">
        <f ca="1">'QTR Raw'!O6+'QTR Raw'!O8</f>
        <v>#NAME?</v>
      </c>
      <c r="AV16" s="25" t="e">
        <f ca="1">'QTR Raw'!P6+'QTR Raw'!P8</f>
        <v>#NAME?</v>
      </c>
      <c r="AW16" s="25" t="e">
        <f ca="1">'QTR Raw'!Q6+'QTR Raw'!Q8</f>
        <v>#NAME?</v>
      </c>
      <c r="AX16" s="25" t="e">
        <f ca="1">'QTR Raw'!R6+'QTR Raw'!R8</f>
        <v>#NAME?</v>
      </c>
      <c r="AY16" s="25" t="e">
        <f ca="1">'QTR Raw'!S6+'QTR Raw'!S8</f>
        <v>#NAME?</v>
      </c>
      <c r="AZ16" s="25" t="e">
        <f ca="1">'QTR Raw'!T6+'QTR Raw'!T8</f>
        <v>#NAME?</v>
      </c>
      <c r="BA16" s="25" t="e">
        <f ca="1">'QTR Raw'!U6+'QTR Raw'!U8</f>
        <v>#NAME?</v>
      </c>
      <c r="BB16" s="25" t="e">
        <f ca="1">'QTR Raw'!V6+'QTR Raw'!V8</f>
        <v>#NAME?</v>
      </c>
      <c r="BC16" s="25" t="e">
        <f ca="1">'QTR Raw'!W6+'QTR Raw'!W8</f>
        <v>#NAME?</v>
      </c>
      <c r="BD16" s="25" t="e">
        <f ca="1">'QTR Raw'!X6+'QTR Raw'!X8</f>
        <v>#NAME?</v>
      </c>
      <c r="BE16" s="25" t="e">
        <f ca="1">'QTR Raw'!Y6+'QTR Raw'!Y8</f>
        <v>#NAME?</v>
      </c>
      <c r="BF16" s="25" t="e">
        <f ca="1">'QTR Raw'!Z6+'QTR Raw'!Z8</f>
        <v>#NAME?</v>
      </c>
      <c r="BG16" s="25" t="e">
        <f ca="1">'QTR Raw'!AA6+'QTR Raw'!AA8</f>
        <v>#NAME?</v>
      </c>
      <c r="BH16" s="25" t="e">
        <f ca="1">'QTR Raw'!AB6+'QTR Raw'!AB8</f>
        <v>#NAME?</v>
      </c>
      <c r="BI16" s="25" t="e">
        <f ca="1">'QTR Raw'!AC6+'QTR Raw'!AC8</f>
        <v>#NAME?</v>
      </c>
      <c r="BJ16" s="25" t="e">
        <f ca="1">'QTR Raw'!AD6+'QTR Raw'!AD8</f>
        <v>#NAME?</v>
      </c>
      <c r="BK16" s="25" t="e">
        <f ca="1">'QTR Raw'!AE6+'QTR Raw'!AE8</f>
        <v>#NAME?</v>
      </c>
      <c r="BL16" s="25" t="e">
        <f ca="1">'QTR Raw'!AF6+'QTR Raw'!AF8</f>
        <v>#NAME?</v>
      </c>
      <c r="BM16" s="25" t="e">
        <f ca="1">'QTR Raw'!AG6+'QTR Raw'!AG8</f>
        <v>#NAME?</v>
      </c>
      <c r="BN16" s="25" t="e">
        <f ca="1">'QTR Raw'!AH6+'QTR Raw'!AH8</f>
        <v>#NAME?</v>
      </c>
      <c r="BO16" s="25" t="e">
        <f ca="1">'QTR Raw'!AI6+'QTR Raw'!AI8</f>
        <v>#NAME?</v>
      </c>
      <c r="BP16" s="25" t="e">
        <f ca="1">'QTR Raw'!AJ6+'QTR Raw'!AJ8</f>
        <v>#NAME?</v>
      </c>
      <c r="BQ16" s="25" t="e">
        <f ca="1">'QTR Raw'!AK6+'QTR Raw'!AK8</f>
        <v>#NAME?</v>
      </c>
      <c r="BR16" s="25" t="e">
        <f ca="1">'QTR Raw'!AL6+'QTR Raw'!AL8</f>
        <v>#NAME?</v>
      </c>
      <c r="BS16" s="25" t="e">
        <f ca="1">'QTR Raw'!AM6+'QTR Raw'!AM8</f>
        <v>#NAME?</v>
      </c>
      <c r="BT16" s="25" t="e">
        <f ca="1">'QTR Raw'!AN6+'QTR Raw'!AN8</f>
        <v>#NAME?</v>
      </c>
      <c r="BU16" s="25" t="e">
        <f ca="1">'QTR Raw'!AO6+'QTR Raw'!AO8</f>
        <v>#NAME?</v>
      </c>
      <c r="BV16" s="25" t="e">
        <f ca="1">'QTR Raw'!AP6+'QTR Raw'!AP8</f>
        <v>#NAME?</v>
      </c>
      <c r="BW16" s="25" t="e">
        <f ca="1">'QTR Raw'!AQ6+'QTR Raw'!AQ8</f>
        <v>#NAME?</v>
      </c>
      <c r="BX16" s="25" t="e">
        <f ca="1">'QTR Raw'!AR6+'QTR Raw'!AR8</f>
        <v>#NAME?</v>
      </c>
      <c r="BY16" s="25" t="e">
        <f ca="1">'QTR Raw'!AS6+'QTR Raw'!AS8</f>
        <v>#NAME?</v>
      </c>
      <c r="BZ16" s="25" t="e">
        <f ca="1">'QTR Raw'!AT6+'QTR Raw'!AT8</f>
        <v>#NAME?</v>
      </c>
      <c r="CA16" s="25" t="e">
        <f ca="1">'QTR Raw'!AU6+'QTR Raw'!AU8</f>
        <v>#NAME?</v>
      </c>
      <c r="CB16" s="25" t="e">
        <f ca="1">'QTR Raw'!AV6+'QTR Raw'!AV8</f>
        <v>#NAME?</v>
      </c>
      <c r="CC16" s="25" t="e">
        <f ca="1">'QTR Raw'!AW6+'QTR Raw'!AW8</f>
        <v>#NAME?</v>
      </c>
      <c r="CD16" s="25" t="e">
        <f ca="1">'QTR Raw'!AX6+'QTR Raw'!AX8</f>
        <v>#NAME?</v>
      </c>
      <c r="CE16" s="25" t="e">
        <f ca="1">'QTR Raw'!AY6+'QTR Raw'!AY8</f>
        <v>#NAME?</v>
      </c>
      <c r="CF16" s="25" t="e">
        <f ca="1">'QTR Raw'!AZ6+'QTR Raw'!AZ8</f>
        <v>#NAME?</v>
      </c>
      <c r="CG16" s="25" t="e">
        <f ca="1">'QTR Raw'!BA6+'QTR Raw'!BA8</f>
        <v>#NAME?</v>
      </c>
      <c r="CH16" s="25" t="e">
        <f ca="1">'QTR Raw'!BB6+'QTR Raw'!BB8</f>
        <v>#NAME?</v>
      </c>
      <c r="CI16" s="25" t="e">
        <f ca="1">'QTR Raw'!BC6+'QTR Raw'!BC8</f>
        <v>#NAME?</v>
      </c>
      <c r="CJ16" s="25" t="e">
        <f ca="1">'QTR Raw'!BD6+'QTR Raw'!BD8</f>
        <v>#NAME?</v>
      </c>
      <c r="CK16" s="25" t="e">
        <f ca="1">'QTR Raw'!BE6+'QTR Raw'!BE8</f>
        <v>#NAME?</v>
      </c>
      <c r="CL16" s="25" t="e">
        <f ca="1">'QTR Raw'!BF6+'QTR Raw'!BF8</f>
        <v>#NAME?</v>
      </c>
      <c r="CM16" s="17" t="e">
        <f t="shared" ref="CM16:DB16" ca="1" si="90">+CM7*CM4/10</f>
        <v>#NAME?</v>
      </c>
      <c r="CN16" s="17" t="e">
        <f t="shared" ca="1" si="90"/>
        <v>#NAME?</v>
      </c>
      <c r="CO16" s="17" t="e">
        <f t="shared" ca="1" si="90"/>
        <v>#NAME?</v>
      </c>
      <c r="CP16" s="17" t="e">
        <f t="shared" ca="1" si="90"/>
        <v>#NAME?</v>
      </c>
      <c r="CQ16" s="17" t="e">
        <f t="shared" ca="1" si="90"/>
        <v>#NAME?</v>
      </c>
      <c r="CR16" s="17" t="e">
        <f t="shared" ca="1" si="90"/>
        <v>#NAME?</v>
      </c>
      <c r="CS16" s="17" t="e">
        <f t="shared" ca="1" si="90"/>
        <v>#NAME?</v>
      </c>
      <c r="CT16" s="17" t="e">
        <f t="shared" ca="1" si="90"/>
        <v>#NAME?</v>
      </c>
      <c r="CU16" s="17" t="e">
        <f t="shared" ca="1" si="90"/>
        <v>#NAME?</v>
      </c>
      <c r="CV16" s="17" t="e">
        <f t="shared" ca="1" si="90"/>
        <v>#NAME?</v>
      </c>
      <c r="CW16" s="17" t="e">
        <f t="shared" ca="1" si="90"/>
        <v>#NAME?</v>
      </c>
      <c r="CX16" s="17" t="e">
        <f t="shared" ca="1" si="90"/>
        <v>#NAME?</v>
      </c>
      <c r="CY16" s="17" t="e">
        <f t="shared" ca="1" si="90"/>
        <v>#NAME?</v>
      </c>
      <c r="CZ16" s="17" t="e">
        <f t="shared" ca="1" si="90"/>
        <v>#NAME?</v>
      </c>
      <c r="DA16" s="17" t="e">
        <f t="shared" ca="1" si="90"/>
        <v>#NAME?</v>
      </c>
      <c r="DB16" s="17" t="e">
        <f t="shared" ca="1" si="90"/>
        <v>#NAME?</v>
      </c>
      <c r="DE16" s="119"/>
      <c r="DF16" s="25">
        <v>40655.68</v>
      </c>
    </row>
    <row r="17" spans="1:110" s="92" customFormat="1" outlineLevel="1" x14ac:dyDescent="0.2">
      <c r="A17" s="92" t="s">
        <v>109</v>
      </c>
      <c r="B17" s="92" t="e">
        <f ca="1">'Annual Raw'!C7+'Annual Raw'!C8+'Annual Raw'!C9</f>
        <v>#NAME?</v>
      </c>
      <c r="C17" s="92" t="e">
        <f ca="1">'Annual Raw'!D7+'Annual Raw'!D8+'Annual Raw'!D9</f>
        <v>#NAME?</v>
      </c>
      <c r="D17" s="92" t="e">
        <f ca="1">'Annual Raw'!E7+'Annual Raw'!E8+'Annual Raw'!E9</f>
        <v>#NAME?</v>
      </c>
      <c r="E17" s="92" t="e">
        <f ca="1">'Annual Raw'!F7+'Annual Raw'!F8+'Annual Raw'!F9</f>
        <v>#NAME?</v>
      </c>
      <c r="F17" s="92" t="e">
        <f ca="1">'Annual Raw'!G7+'Annual Raw'!G8+'Annual Raw'!G9</f>
        <v>#NAME?</v>
      </c>
      <c r="G17" s="92" t="e">
        <f ca="1">'Annual Raw'!H7+'Annual Raw'!H8+'Annual Raw'!H9</f>
        <v>#NAME?</v>
      </c>
      <c r="H17" s="92" t="e">
        <f ca="1">'Annual Raw'!I7+'Annual Raw'!I8+'Annual Raw'!I9</f>
        <v>#NAME?</v>
      </c>
      <c r="I17" s="92" t="e">
        <f ca="1">'Annual Raw'!J7+'Annual Raw'!J8+'Annual Raw'!J9</f>
        <v>#NAME?</v>
      </c>
      <c r="J17" s="92" t="e">
        <f ca="1">'Annual Raw'!K7+'Annual Raw'!K8+'Annual Raw'!K9</f>
        <v>#NAME?</v>
      </c>
      <c r="K17" s="92" t="e">
        <f ca="1">'Annual Raw'!L7+'Annual Raw'!L8+'Annual Raw'!L9</f>
        <v>#NAME?</v>
      </c>
      <c r="L17" s="92" t="e">
        <f ca="1">'Annual Raw'!M7+'Annual Raw'!M8+'Annual Raw'!M9</f>
        <v>#NAME?</v>
      </c>
      <c r="M17" s="92" t="e">
        <f ca="1">'Annual Raw'!N7+'Annual Raw'!N8+'Annual Raw'!N9</f>
        <v>#NAME?</v>
      </c>
      <c r="N17" s="92" t="e">
        <f ca="1">'Annual Raw'!O7+'Annual Raw'!O8+'Annual Raw'!O9</f>
        <v>#NAME?</v>
      </c>
      <c r="O17" s="92" t="e">
        <f ca="1">'Annual Raw'!P7+'Annual Raw'!P8+'Annual Raw'!P9</f>
        <v>#NAME?</v>
      </c>
      <c r="P17" s="92" t="e">
        <f ca="1">'Annual Raw'!Q7+'Annual Raw'!Q8+'Annual Raw'!Q9</f>
        <v>#NAME?</v>
      </c>
      <c r="Q17" s="92" t="e">
        <f ca="1">'Annual Raw'!R7+'Annual Raw'!R8+'Annual Raw'!R9</f>
        <v>#NAME?</v>
      </c>
      <c r="R17" s="92" t="e">
        <f ca="1">'Annual Raw'!S7+'Annual Raw'!S8+'Annual Raw'!S9</f>
        <v>#NAME?</v>
      </c>
      <c r="S17" s="92" t="e">
        <f ca="1">'Annual Raw'!T7+'Annual Raw'!T8+'Annual Raw'!T9</f>
        <v>#NAME?</v>
      </c>
      <c r="T17" s="92" t="e">
        <f ca="1">'Annual Raw'!U7+'Annual Raw'!U8+'Annual Raw'!U9</f>
        <v>#NAME?</v>
      </c>
      <c r="U17" s="92" t="e">
        <f ca="1">'Annual Raw'!V7+'Annual Raw'!V8+'Annual Raw'!V9</f>
        <v>#NAME?</v>
      </c>
      <c r="V17" s="92" t="e">
        <f ca="1">'Annual Raw'!W7+'Annual Raw'!W8+'Annual Raw'!W9</f>
        <v>#NAME?</v>
      </c>
      <c r="W17" s="92" t="e">
        <f ca="1">'Annual Raw'!X7+'Annual Raw'!X8+'Annual Raw'!X9</f>
        <v>#NAME?</v>
      </c>
      <c r="X17" s="92" t="e">
        <f ca="1">'Annual Raw'!Y7+'Annual Raw'!Y8+'Annual Raw'!Y9</f>
        <v>#NAME?</v>
      </c>
      <c r="Y17" s="92" t="e">
        <f ca="1">'Annual Raw'!Z7+'Annual Raw'!Z8+'Annual Raw'!Z9</f>
        <v>#NAME?</v>
      </c>
      <c r="Z17" s="92" t="e">
        <f ca="1">'Annual Raw'!AA7+'Annual Raw'!AA8+'Annual Raw'!AA9</f>
        <v>#NAME?</v>
      </c>
      <c r="AA17" s="92" t="e">
        <f ca="1">'Annual Raw'!AB7+'Annual Raw'!AB8+'Annual Raw'!AB9</f>
        <v>#NAME?</v>
      </c>
      <c r="AB17" s="76">
        <f>+SUM(CM17:CP17)</f>
        <v>0</v>
      </c>
      <c r="AC17" s="76">
        <f>+SUM(CQ17:CT17)</f>
        <v>0</v>
      </c>
      <c r="AD17" s="76">
        <f>+SUM(CU17:CX17)</f>
        <v>0</v>
      </c>
      <c r="AE17" s="76">
        <f>+SUM(CY17:DB17)</f>
        <v>0</v>
      </c>
      <c r="AI17" s="92" t="e">
        <f ca="1">+'QTR Raw'!C20+'QTR Raw'!C19+'QTR Raw'!C13+'QTR Raw'!C7</f>
        <v>#NAME?</v>
      </c>
      <c r="AJ17" s="92" t="e">
        <f ca="1">+'QTR Raw'!D20+'QTR Raw'!D19+'QTR Raw'!D13+'QTR Raw'!D7</f>
        <v>#NAME?</v>
      </c>
      <c r="AK17" s="92" t="e">
        <f ca="1">+'QTR Raw'!E20+'QTR Raw'!E19+'QTR Raw'!E13+'QTR Raw'!E7</f>
        <v>#NAME?</v>
      </c>
      <c r="AL17" s="92" t="e">
        <f ca="1">+'QTR Raw'!F20+'QTR Raw'!F19+'QTR Raw'!F13+'QTR Raw'!F7</f>
        <v>#NAME?</v>
      </c>
      <c r="AM17" s="92" t="e">
        <f ca="1">+'QTR Raw'!G20+'QTR Raw'!G19+'QTR Raw'!G13+'QTR Raw'!G7</f>
        <v>#NAME?</v>
      </c>
      <c r="AN17" s="92" t="e">
        <f ca="1">+'QTR Raw'!H20+'QTR Raw'!H19+'QTR Raw'!H13+'QTR Raw'!H7</f>
        <v>#NAME?</v>
      </c>
      <c r="AO17" s="92" t="e">
        <f ca="1">+'QTR Raw'!I20+'QTR Raw'!I19+'QTR Raw'!I13+'QTR Raw'!I7</f>
        <v>#NAME?</v>
      </c>
      <c r="AP17" s="92" t="e">
        <f ca="1">+'QTR Raw'!J20+'QTR Raw'!J19+'QTR Raw'!J13+'QTR Raw'!J7</f>
        <v>#NAME?</v>
      </c>
      <c r="AQ17" s="92" t="e">
        <f ca="1">+'QTR Raw'!K20+'QTR Raw'!K19+'QTR Raw'!K13+'QTR Raw'!K7</f>
        <v>#NAME?</v>
      </c>
      <c r="AR17" s="92" t="e">
        <f ca="1">+'QTR Raw'!L20+'QTR Raw'!L19+'QTR Raw'!L13+'QTR Raw'!L7</f>
        <v>#NAME?</v>
      </c>
      <c r="AS17" s="92" t="e">
        <f ca="1">+'QTR Raw'!M20+'QTR Raw'!M19+'QTR Raw'!M13+'QTR Raw'!M7</f>
        <v>#NAME?</v>
      </c>
      <c r="AT17" s="92" t="e">
        <f ca="1">+'QTR Raw'!N20+'QTR Raw'!N19+'QTR Raw'!N13+'QTR Raw'!N7</f>
        <v>#NAME?</v>
      </c>
      <c r="AU17" s="92" t="e">
        <f ca="1">+'QTR Raw'!O20+'QTR Raw'!O19+'QTR Raw'!O13+'QTR Raw'!O7</f>
        <v>#NAME?</v>
      </c>
      <c r="AV17" s="92" t="e">
        <f ca="1">+'QTR Raw'!P20+'QTR Raw'!P19+'QTR Raw'!P13+'QTR Raw'!P7</f>
        <v>#NAME?</v>
      </c>
      <c r="AW17" s="92" t="e">
        <f ca="1">+'QTR Raw'!Q20+'QTR Raw'!Q19+'QTR Raw'!Q13+'QTR Raw'!Q7</f>
        <v>#NAME?</v>
      </c>
      <c r="AX17" s="92" t="e">
        <f ca="1">+'QTR Raw'!R20+'QTR Raw'!R19+'QTR Raw'!R13+'QTR Raw'!R7</f>
        <v>#NAME?</v>
      </c>
      <c r="AY17" s="92" t="e">
        <f ca="1">+'QTR Raw'!S20+'QTR Raw'!S19+'QTR Raw'!S13+'QTR Raw'!S7</f>
        <v>#NAME?</v>
      </c>
      <c r="AZ17" s="92" t="e">
        <f ca="1">+'QTR Raw'!T20+'QTR Raw'!T19+'QTR Raw'!T13+'QTR Raw'!T7</f>
        <v>#NAME?</v>
      </c>
      <c r="BA17" s="92" t="e">
        <f ca="1">+'QTR Raw'!U20+'QTR Raw'!U19+'QTR Raw'!U13+'QTR Raw'!U7</f>
        <v>#NAME?</v>
      </c>
      <c r="BB17" s="92" t="e">
        <f ca="1">+'QTR Raw'!V20+'QTR Raw'!V19+'QTR Raw'!V13+'QTR Raw'!V7</f>
        <v>#NAME?</v>
      </c>
      <c r="BC17" s="92" t="e">
        <f ca="1">+'QTR Raw'!W20+'QTR Raw'!W19+'QTR Raw'!W13+'QTR Raw'!W7</f>
        <v>#NAME?</v>
      </c>
      <c r="BD17" s="92" t="e">
        <f ca="1">+'QTR Raw'!X20+'QTR Raw'!X19+'QTR Raw'!X13+'QTR Raw'!X7</f>
        <v>#NAME?</v>
      </c>
      <c r="BE17" s="92" t="e">
        <f ca="1">+'QTR Raw'!Y20+'QTR Raw'!Y19+'QTR Raw'!Y13+'QTR Raw'!Y7</f>
        <v>#NAME?</v>
      </c>
      <c r="BF17" s="92" t="e">
        <f ca="1">+'QTR Raw'!Z20+'QTR Raw'!Z19+'QTR Raw'!Z13+'QTR Raw'!Z7</f>
        <v>#NAME?</v>
      </c>
      <c r="BG17" s="92" t="e">
        <f ca="1">+'QTR Raw'!AA20+'QTR Raw'!AA19+'QTR Raw'!AA13+'QTR Raw'!AA7</f>
        <v>#NAME?</v>
      </c>
      <c r="BH17" s="92" t="e">
        <f ca="1">+'QTR Raw'!AB20+'QTR Raw'!AB19+'QTR Raw'!AB13+'QTR Raw'!AB7</f>
        <v>#NAME?</v>
      </c>
      <c r="BI17" s="92" t="e">
        <f ca="1">+'QTR Raw'!AC20+'QTR Raw'!AC19+'QTR Raw'!AC13+'QTR Raw'!AC7</f>
        <v>#NAME?</v>
      </c>
      <c r="BJ17" s="92" t="e">
        <f ca="1">+'QTR Raw'!AD20+'QTR Raw'!AD19+'QTR Raw'!AD13+'QTR Raw'!AD7</f>
        <v>#NAME?</v>
      </c>
      <c r="BK17" s="92" t="e">
        <f ca="1">+'QTR Raw'!AE20+'QTR Raw'!AE19+'QTR Raw'!AE13+'QTR Raw'!AE7</f>
        <v>#NAME?</v>
      </c>
      <c r="BL17" s="92" t="e">
        <f ca="1">+'QTR Raw'!AF20+'QTR Raw'!AF19+'QTR Raw'!AF13+'QTR Raw'!AF7</f>
        <v>#NAME?</v>
      </c>
      <c r="BM17" s="92" t="e">
        <f ca="1">+'QTR Raw'!AG20+'QTR Raw'!AG19+'QTR Raw'!AG13+'QTR Raw'!AG7</f>
        <v>#NAME?</v>
      </c>
      <c r="BN17" s="92" t="e">
        <f ca="1">+'QTR Raw'!AH20+'QTR Raw'!AH19+'QTR Raw'!AH13+'QTR Raw'!AH7</f>
        <v>#NAME?</v>
      </c>
      <c r="BO17" s="92" t="e">
        <f ca="1">+'QTR Raw'!AI20+'QTR Raw'!AI19+'QTR Raw'!AI13+'QTR Raw'!AI7</f>
        <v>#NAME?</v>
      </c>
      <c r="BP17" s="92" t="e">
        <f ca="1">+'QTR Raw'!AJ20+'QTR Raw'!AJ19+'QTR Raw'!AJ13+'QTR Raw'!AJ7</f>
        <v>#NAME?</v>
      </c>
      <c r="BQ17" s="92" t="e">
        <f ca="1">+'QTR Raw'!AK20+'QTR Raw'!AK19+'QTR Raw'!AK13+'QTR Raw'!AK7</f>
        <v>#NAME?</v>
      </c>
      <c r="BR17" s="92" t="e">
        <f ca="1">+'QTR Raw'!AL20+'QTR Raw'!AL19+'QTR Raw'!AL13+'QTR Raw'!AL7</f>
        <v>#NAME?</v>
      </c>
      <c r="BS17" s="92" t="e">
        <f ca="1">+'QTR Raw'!AM20+'QTR Raw'!AM19+'QTR Raw'!AM13+'QTR Raw'!AM7</f>
        <v>#NAME?</v>
      </c>
      <c r="BT17" s="92" t="e">
        <f ca="1">+'QTR Raw'!AN20+'QTR Raw'!AN19+'QTR Raw'!AN13+'QTR Raw'!AN7</f>
        <v>#NAME?</v>
      </c>
      <c r="BU17" s="92" t="e">
        <f ca="1">+'QTR Raw'!AO20+'QTR Raw'!AO19+'QTR Raw'!AO13+'QTR Raw'!AO7</f>
        <v>#NAME?</v>
      </c>
      <c r="BV17" s="92" t="e">
        <f ca="1">+'QTR Raw'!AP20+'QTR Raw'!AP19+'QTR Raw'!AP13+'QTR Raw'!AP7</f>
        <v>#NAME?</v>
      </c>
      <c r="BW17" s="92" t="e">
        <f ca="1">+'QTR Raw'!AQ20+'QTR Raw'!AQ19+'QTR Raw'!AQ13+'QTR Raw'!AQ7</f>
        <v>#NAME?</v>
      </c>
      <c r="BX17" s="92" t="e">
        <f ca="1">+'QTR Raw'!AR20+'QTR Raw'!AR19+'QTR Raw'!AR13+'QTR Raw'!AR7</f>
        <v>#NAME?</v>
      </c>
      <c r="BY17" s="92" t="e">
        <f ca="1">+'QTR Raw'!AS20+'QTR Raw'!AS19+'QTR Raw'!AS13+'QTR Raw'!AS7</f>
        <v>#NAME?</v>
      </c>
      <c r="BZ17" s="92" t="e">
        <f ca="1">+'QTR Raw'!AT20+'QTR Raw'!AT19+'QTR Raw'!AT13+'QTR Raw'!AT7</f>
        <v>#NAME?</v>
      </c>
      <c r="CA17" s="92" t="e">
        <f ca="1">+'QTR Raw'!AU20+'QTR Raw'!AU19+'QTR Raw'!AU13+'QTR Raw'!AU7</f>
        <v>#NAME?</v>
      </c>
      <c r="CB17" s="92" t="e">
        <f ca="1">+'QTR Raw'!AV20+'QTR Raw'!AV19+'QTR Raw'!AV13+'QTR Raw'!AV7</f>
        <v>#NAME?</v>
      </c>
      <c r="CC17" s="92" t="e">
        <f ca="1">+'QTR Raw'!AW20+'QTR Raw'!AW19+'QTR Raw'!AW13+'QTR Raw'!AW7</f>
        <v>#NAME?</v>
      </c>
      <c r="CD17" s="92" t="e">
        <f ca="1">+'QTR Raw'!AX20+'QTR Raw'!AX19+'QTR Raw'!AX13+'QTR Raw'!AX7</f>
        <v>#NAME?</v>
      </c>
      <c r="CE17" s="92" t="e">
        <f ca="1">+'QTR Raw'!AY20+'QTR Raw'!AY19+'QTR Raw'!AY13+'QTR Raw'!AY7</f>
        <v>#NAME?</v>
      </c>
      <c r="CF17" s="92" t="e">
        <f ca="1">+'QTR Raw'!AZ20+'QTR Raw'!AZ19+'QTR Raw'!AZ13+'QTR Raw'!AZ7</f>
        <v>#NAME?</v>
      </c>
      <c r="CG17" s="92" t="e">
        <f ca="1">+'QTR Raw'!BA20+'QTR Raw'!BA19+'QTR Raw'!BA13+'QTR Raw'!BA7</f>
        <v>#NAME?</v>
      </c>
      <c r="CH17" s="92" t="e">
        <f ca="1">+'QTR Raw'!BB20+'QTR Raw'!BB19+'QTR Raw'!BB13+'QTR Raw'!BB7</f>
        <v>#NAME?</v>
      </c>
      <c r="CI17" s="92" t="e">
        <f ca="1">+'QTR Raw'!BC20+'QTR Raw'!BC19+'QTR Raw'!BC13+'QTR Raw'!BC7</f>
        <v>#NAME?</v>
      </c>
      <c r="CJ17" s="92" t="e">
        <f ca="1">+'QTR Raw'!BD20+'QTR Raw'!BD19+'QTR Raw'!BD13+'QTR Raw'!BD7</f>
        <v>#NAME?</v>
      </c>
      <c r="CK17" s="92" t="e">
        <f ca="1">+'QTR Raw'!BE20+'QTR Raw'!BE19+'QTR Raw'!BE13+'QTR Raw'!BE7</f>
        <v>#NAME?</v>
      </c>
      <c r="CL17" s="92" t="e">
        <f ca="1">+'QTR Raw'!BF20+'QTR Raw'!BF19+'QTR Raw'!BF13+'QTR Raw'!BF7</f>
        <v>#NAME?</v>
      </c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A17" s="74"/>
      <c r="DB17" s="74"/>
      <c r="DE17" s="120"/>
      <c r="DF17" s="92">
        <v>0</v>
      </c>
    </row>
    <row r="18" spans="1:110" s="26" customFormat="1" x14ac:dyDescent="0.2">
      <c r="A18" s="26" t="s">
        <v>431</v>
      </c>
      <c r="B18" s="26" t="e">
        <f ca="1">+B16-B17</f>
        <v>#NAME?</v>
      </c>
      <c r="C18" s="26" t="e">
        <f ca="1">+C16-C17</f>
        <v>#NAME?</v>
      </c>
      <c r="D18" s="26" t="e">
        <f t="shared" ref="D18:U18" ca="1" si="91">+D16-D17</f>
        <v>#NAME?</v>
      </c>
      <c r="E18" s="26" t="e">
        <f t="shared" ca="1" si="91"/>
        <v>#NAME?</v>
      </c>
      <c r="F18" s="26" t="e">
        <f t="shared" ca="1" si="91"/>
        <v>#NAME?</v>
      </c>
      <c r="G18" s="26" t="e">
        <f t="shared" ca="1" si="91"/>
        <v>#NAME?</v>
      </c>
      <c r="H18" s="26" t="e">
        <f t="shared" ca="1" si="91"/>
        <v>#NAME?</v>
      </c>
      <c r="I18" s="26" t="e">
        <f t="shared" ca="1" si="91"/>
        <v>#NAME?</v>
      </c>
      <c r="J18" s="26" t="e">
        <f t="shared" ca="1" si="91"/>
        <v>#NAME?</v>
      </c>
      <c r="K18" s="26" t="e">
        <f t="shared" ca="1" si="91"/>
        <v>#NAME?</v>
      </c>
      <c r="L18" s="26" t="e">
        <f t="shared" ca="1" si="91"/>
        <v>#NAME?</v>
      </c>
      <c r="M18" s="26" t="e">
        <f t="shared" ca="1" si="91"/>
        <v>#NAME?</v>
      </c>
      <c r="N18" s="26" t="e">
        <f t="shared" ca="1" si="91"/>
        <v>#NAME?</v>
      </c>
      <c r="O18" s="26" t="e">
        <f t="shared" ca="1" si="91"/>
        <v>#NAME?</v>
      </c>
      <c r="P18" s="26" t="e">
        <f t="shared" ca="1" si="91"/>
        <v>#NAME?</v>
      </c>
      <c r="Q18" s="26" t="e">
        <f t="shared" ca="1" si="91"/>
        <v>#NAME?</v>
      </c>
      <c r="R18" s="26" t="e">
        <f t="shared" ca="1" si="91"/>
        <v>#NAME?</v>
      </c>
      <c r="S18" s="26" t="e">
        <f t="shared" ca="1" si="91"/>
        <v>#NAME?</v>
      </c>
      <c r="T18" s="26" t="e">
        <f t="shared" ca="1" si="91"/>
        <v>#NAME?</v>
      </c>
      <c r="U18" s="26" t="e">
        <f t="shared" ca="1" si="91"/>
        <v>#NAME?</v>
      </c>
      <c r="V18" s="26" t="e">
        <f ca="1">+V16-V17</f>
        <v>#NAME?</v>
      </c>
      <c r="W18" s="26" t="e">
        <f ca="1">+W16-W17</f>
        <v>#NAME?</v>
      </c>
      <c r="X18" s="26" t="e">
        <f ca="1">+X16-X17</f>
        <v>#NAME?</v>
      </c>
      <c r="Y18" s="26" t="e">
        <f ca="1">+Y16-Y17</f>
        <v>#NAME?</v>
      </c>
      <c r="Z18" s="26" t="e">
        <f ca="1">+Z16-Z17</f>
        <v>#NAME?</v>
      </c>
      <c r="AA18" s="26" t="e">
        <f ca="1">+AA16-AA17</f>
        <v>#NAME?</v>
      </c>
      <c r="AB18" s="27" t="e">
        <f t="shared" ref="AB18:AD18" ca="1" si="92">+AB16-AB17</f>
        <v>#NAME?</v>
      </c>
      <c r="AC18" s="27" t="e">
        <f t="shared" ca="1" si="92"/>
        <v>#NAME?</v>
      </c>
      <c r="AD18" s="27" t="e">
        <f t="shared" ca="1" si="92"/>
        <v>#NAME?</v>
      </c>
      <c r="AE18" s="27" t="e">
        <f t="shared" ref="AE18" ca="1" si="93">+AE16-AE17</f>
        <v>#NAME?</v>
      </c>
      <c r="AI18" s="26" t="e">
        <f t="shared" ref="AI18" ca="1" si="94">+AI16-AI17</f>
        <v>#NAME?</v>
      </c>
      <c r="AJ18" s="26" t="e">
        <f t="shared" ref="AJ18" ca="1" si="95">+AJ16-AJ17</f>
        <v>#NAME?</v>
      </c>
      <c r="AK18" s="26" t="e">
        <f t="shared" ref="AK18:AM18" ca="1" si="96">+AK16-AK17</f>
        <v>#NAME?</v>
      </c>
      <c r="AL18" s="26" t="e">
        <f t="shared" ca="1" si="96"/>
        <v>#NAME?</v>
      </c>
      <c r="AM18" s="26" t="e">
        <f t="shared" ca="1" si="96"/>
        <v>#NAME?</v>
      </c>
      <c r="AN18" s="26" t="e">
        <f t="shared" ref="AN18:AO18" ca="1" si="97">+AN16-AN17</f>
        <v>#NAME?</v>
      </c>
      <c r="AO18" s="26" t="e">
        <f t="shared" ca="1" si="97"/>
        <v>#NAME?</v>
      </c>
      <c r="AP18" s="26" t="e">
        <f t="shared" ref="AP18:AW18" ca="1" si="98">+AP16-AP17</f>
        <v>#NAME?</v>
      </c>
      <c r="AQ18" s="26" t="e">
        <f t="shared" ca="1" si="98"/>
        <v>#NAME?</v>
      </c>
      <c r="AR18" s="26" t="e">
        <f t="shared" ca="1" si="98"/>
        <v>#NAME?</v>
      </c>
      <c r="AS18" s="26" t="e">
        <f t="shared" ca="1" si="98"/>
        <v>#NAME?</v>
      </c>
      <c r="AT18" s="26" t="e">
        <f t="shared" ca="1" si="98"/>
        <v>#NAME?</v>
      </c>
      <c r="AU18" s="26" t="e">
        <f t="shared" ca="1" si="98"/>
        <v>#NAME?</v>
      </c>
      <c r="AV18" s="26" t="e">
        <f t="shared" ca="1" si="98"/>
        <v>#NAME?</v>
      </c>
      <c r="AW18" s="26" t="e">
        <f t="shared" ca="1" si="98"/>
        <v>#NAME?</v>
      </c>
      <c r="AX18" s="26" t="e">
        <f t="shared" ref="AX18:CF18" ca="1" si="99">+AX16-AX17</f>
        <v>#NAME?</v>
      </c>
      <c r="AY18" s="26" t="e">
        <f t="shared" ca="1" si="99"/>
        <v>#NAME?</v>
      </c>
      <c r="AZ18" s="26" t="e">
        <f t="shared" ca="1" si="99"/>
        <v>#NAME?</v>
      </c>
      <c r="BA18" s="26" t="e">
        <f t="shared" ca="1" si="99"/>
        <v>#NAME?</v>
      </c>
      <c r="BB18" s="26" t="e">
        <f t="shared" ca="1" si="99"/>
        <v>#NAME?</v>
      </c>
      <c r="BC18" s="26" t="e">
        <f t="shared" ca="1" si="99"/>
        <v>#NAME?</v>
      </c>
      <c r="BD18" s="26" t="e">
        <f t="shared" ca="1" si="99"/>
        <v>#NAME?</v>
      </c>
      <c r="BE18" s="26" t="e">
        <f t="shared" ca="1" si="99"/>
        <v>#NAME?</v>
      </c>
      <c r="BF18" s="26" t="e">
        <f t="shared" ca="1" si="99"/>
        <v>#NAME?</v>
      </c>
      <c r="BG18" s="26" t="e">
        <f t="shared" ca="1" si="99"/>
        <v>#NAME?</v>
      </c>
      <c r="BH18" s="26" t="e">
        <f t="shared" ca="1" si="99"/>
        <v>#NAME?</v>
      </c>
      <c r="BI18" s="26" t="e">
        <f t="shared" ca="1" si="99"/>
        <v>#NAME?</v>
      </c>
      <c r="BJ18" s="26" t="e">
        <f t="shared" ca="1" si="99"/>
        <v>#NAME?</v>
      </c>
      <c r="BK18" s="26" t="e">
        <f t="shared" ca="1" si="99"/>
        <v>#NAME?</v>
      </c>
      <c r="BL18" s="26" t="e">
        <f t="shared" ca="1" si="99"/>
        <v>#NAME?</v>
      </c>
      <c r="BM18" s="26" t="e">
        <f t="shared" ca="1" si="99"/>
        <v>#NAME?</v>
      </c>
      <c r="BN18" s="26" t="e">
        <f t="shared" ca="1" si="99"/>
        <v>#NAME?</v>
      </c>
      <c r="BO18" s="26" t="e">
        <f t="shared" ca="1" si="99"/>
        <v>#NAME?</v>
      </c>
      <c r="BP18" s="26" t="e">
        <f t="shared" ca="1" si="99"/>
        <v>#NAME?</v>
      </c>
      <c r="BQ18" s="26" t="e">
        <f t="shared" ca="1" si="99"/>
        <v>#NAME?</v>
      </c>
      <c r="BR18" s="26" t="e">
        <f t="shared" ca="1" si="99"/>
        <v>#NAME?</v>
      </c>
      <c r="BS18" s="26" t="e">
        <f t="shared" ca="1" si="99"/>
        <v>#NAME?</v>
      </c>
      <c r="BT18" s="26" t="e">
        <f t="shared" ca="1" si="99"/>
        <v>#NAME?</v>
      </c>
      <c r="BU18" s="26" t="e">
        <f t="shared" ca="1" si="99"/>
        <v>#NAME?</v>
      </c>
      <c r="BV18" s="26" t="e">
        <f t="shared" ca="1" si="99"/>
        <v>#NAME?</v>
      </c>
      <c r="BW18" s="26" t="e">
        <f t="shared" ca="1" si="99"/>
        <v>#NAME?</v>
      </c>
      <c r="BX18" s="26" t="e">
        <f t="shared" ca="1" si="99"/>
        <v>#NAME?</v>
      </c>
      <c r="BY18" s="26" t="e">
        <f t="shared" ca="1" si="99"/>
        <v>#NAME?</v>
      </c>
      <c r="BZ18" s="26" t="e">
        <f t="shared" ca="1" si="99"/>
        <v>#NAME?</v>
      </c>
      <c r="CA18" s="26" t="e">
        <f t="shared" ca="1" si="99"/>
        <v>#NAME?</v>
      </c>
      <c r="CB18" s="26" t="e">
        <f t="shared" ca="1" si="99"/>
        <v>#NAME?</v>
      </c>
      <c r="CC18" s="26" t="e">
        <f t="shared" ca="1" si="99"/>
        <v>#NAME?</v>
      </c>
      <c r="CD18" s="26" t="e">
        <f t="shared" ca="1" si="99"/>
        <v>#NAME?</v>
      </c>
      <c r="CE18" s="26" t="e">
        <f t="shared" ca="1" si="99"/>
        <v>#NAME?</v>
      </c>
      <c r="CF18" s="26" t="e">
        <f t="shared" ca="1" si="99"/>
        <v>#NAME?</v>
      </c>
      <c r="CG18" s="26" t="e">
        <f t="shared" ref="CG18:CH18" ca="1" si="100">+CG16-CG17</f>
        <v>#NAME?</v>
      </c>
      <c r="CH18" s="26" t="e">
        <f t="shared" ca="1" si="100"/>
        <v>#NAME?</v>
      </c>
      <c r="CI18" s="26" t="e">
        <f t="shared" ref="CI18:CJ18" ca="1" si="101">+CI16-CI17</f>
        <v>#NAME?</v>
      </c>
      <c r="CJ18" s="26" t="e">
        <f t="shared" ca="1" si="101"/>
        <v>#NAME?</v>
      </c>
      <c r="CK18" s="26" t="e">
        <f t="shared" ref="CK18:CL18" ca="1" si="102">+CK16-CK17</f>
        <v>#NAME?</v>
      </c>
      <c r="CL18" s="26" t="e">
        <f t="shared" ca="1" si="102"/>
        <v>#NAME?</v>
      </c>
      <c r="CM18" s="27" t="e">
        <f t="shared" ref="CM18:DB18" ca="1" si="103">+CM16-CM17</f>
        <v>#NAME?</v>
      </c>
      <c r="CN18" s="27" t="e">
        <f t="shared" ca="1" si="103"/>
        <v>#NAME?</v>
      </c>
      <c r="CO18" s="27" t="e">
        <f t="shared" ca="1" si="103"/>
        <v>#NAME?</v>
      </c>
      <c r="CP18" s="27" t="e">
        <f t="shared" ca="1" si="103"/>
        <v>#NAME?</v>
      </c>
      <c r="CQ18" s="27" t="e">
        <f t="shared" ca="1" si="103"/>
        <v>#NAME?</v>
      </c>
      <c r="CR18" s="27" t="e">
        <f t="shared" ca="1" si="103"/>
        <v>#NAME?</v>
      </c>
      <c r="CS18" s="27" t="e">
        <f t="shared" ca="1" si="103"/>
        <v>#NAME?</v>
      </c>
      <c r="CT18" s="27" t="e">
        <f t="shared" ca="1" si="103"/>
        <v>#NAME?</v>
      </c>
      <c r="CU18" s="27" t="e">
        <f t="shared" ca="1" si="103"/>
        <v>#NAME?</v>
      </c>
      <c r="CV18" s="27" t="e">
        <f t="shared" ca="1" si="103"/>
        <v>#NAME?</v>
      </c>
      <c r="CW18" s="27" t="e">
        <f t="shared" ca="1" si="103"/>
        <v>#NAME?</v>
      </c>
      <c r="CX18" s="27" t="e">
        <f t="shared" ca="1" si="103"/>
        <v>#NAME?</v>
      </c>
      <c r="CY18" s="27" t="e">
        <f t="shared" ca="1" si="103"/>
        <v>#NAME?</v>
      </c>
      <c r="CZ18" s="27" t="e">
        <f t="shared" ca="1" si="103"/>
        <v>#NAME?</v>
      </c>
      <c r="DA18" s="27" t="e">
        <f t="shared" ca="1" si="103"/>
        <v>#NAME?</v>
      </c>
      <c r="DB18" s="27" t="e">
        <f t="shared" ca="1" si="103"/>
        <v>#NAME?</v>
      </c>
      <c r="DE18" s="121"/>
      <c r="DF18" s="26">
        <v>40655.68</v>
      </c>
    </row>
    <row r="19" spans="1:110" s="39" customFormat="1" x14ac:dyDescent="0.2">
      <c r="A19" s="39" t="s">
        <v>484</v>
      </c>
      <c r="C19" s="39" t="e">
        <f t="shared" ref="C19" ca="1" si="104">C18/B18-1</f>
        <v>#NAME?</v>
      </c>
      <c r="D19" s="39" t="e">
        <f t="shared" ref="D19" ca="1" si="105">D18/C18-1</f>
        <v>#NAME?</v>
      </c>
      <c r="E19" s="39" t="e">
        <f t="shared" ref="E19" ca="1" si="106">E18/D18-1</f>
        <v>#NAME?</v>
      </c>
      <c r="F19" s="39" t="e">
        <f t="shared" ref="F19:R19" ca="1" si="107">F18/E18-1</f>
        <v>#NAME?</v>
      </c>
      <c r="G19" s="39" t="e">
        <f t="shared" ca="1" si="107"/>
        <v>#NAME?</v>
      </c>
      <c r="H19" s="39" t="e">
        <f t="shared" ca="1" si="107"/>
        <v>#NAME?</v>
      </c>
      <c r="I19" s="39" t="e">
        <f t="shared" ca="1" si="107"/>
        <v>#NAME?</v>
      </c>
      <c r="J19" s="39" t="e">
        <f t="shared" ca="1" si="107"/>
        <v>#NAME?</v>
      </c>
      <c r="K19" s="39" t="e">
        <f ca="1">K18/J18-1</f>
        <v>#NAME?</v>
      </c>
      <c r="L19" s="39" t="e">
        <f t="shared" ca="1" si="107"/>
        <v>#NAME?</v>
      </c>
      <c r="M19" s="39" t="e">
        <f t="shared" ca="1" si="107"/>
        <v>#NAME?</v>
      </c>
      <c r="N19" s="39" t="e">
        <f t="shared" ca="1" si="107"/>
        <v>#NAME?</v>
      </c>
      <c r="O19" s="39" t="e">
        <f t="shared" ca="1" si="107"/>
        <v>#NAME?</v>
      </c>
      <c r="P19" s="39" t="e">
        <f t="shared" ca="1" si="107"/>
        <v>#NAME?</v>
      </c>
      <c r="Q19" s="39" t="e">
        <f t="shared" ca="1" si="107"/>
        <v>#NAME?</v>
      </c>
      <c r="R19" s="39" t="e">
        <f t="shared" ca="1" si="107"/>
        <v>#NAME?</v>
      </c>
      <c r="S19" s="39" t="e">
        <f t="shared" ref="S19:AA19" ca="1" si="108">S18/R18-1</f>
        <v>#NAME?</v>
      </c>
      <c r="T19" s="39" t="e">
        <f t="shared" ca="1" si="108"/>
        <v>#NAME?</v>
      </c>
      <c r="U19" s="39" t="e">
        <f t="shared" ca="1" si="108"/>
        <v>#NAME?</v>
      </c>
      <c r="V19" s="39" t="e">
        <f t="shared" ca="1" si="108"/>
        <v>#NAME?</v>
      </c>
      <c r="W19" s="39" t="e">
        <f t="shared" ca="1" si="108"/>
        <v>#NAME?</v>
      </c>
      <c r="X19" s="39" t="e">
        <f t="shared" ca="1" si="108"/>
        <v>#NAME?</v>
      </c>
      <c r="Y19" s="39" t="e">
        <f t="shared" ca="1" si="108"/>
        <v>#NAME?</v>
      </c>
      <c r="Z19" s="39" t="e">
        <f t="shared" ca="1" si="108"/>
        <v>#NAME?</v>
      </c>
      <c r="AA19" s="39" t="e">
        <f t="shared" ca="1" si="108"/>
        <v>#NAME?</v>
      </c>
      <c r="AB19" s="40" t="e">
        <f t="shared" ref="AB19" ca="1" si="109">AB18/AA18-1</f>
        <v>#NAME?</v>
      </c>
      <c r="AC19" s="40" t="e">
        <f t="shared" ref="AC19" ca="1" si="110">AC18/AB18-1</f>
        <v>#NAME?</v>
      </c>
      <c r="AD19" s="40" t="e">
        <f t="shared" ref="AD19" ca="1" si="111">AD18/AC18-1</f>
        <v>#NAME?</v>
      </c>
      <c r="AE19" s="40" t="e">
        <f t="shared" ref="AE19" ca="1" si="112">AE18/AD18-1</f>
        <v>#NAME?</v>
      </c>
      <c r="AM19" s="39" t="e">
        <f t="shared" ref="AM19:CI19" ca="1" si="113">+IF(AI18&lt;0,1-AM18/AI18,AM18/AI18-1)</f>
        <v>#NAME?</v>
      </c>
      <c r="AN19" s="39" t="e">
        <f t="shared" ca="1" si="113"/>
        <v>#NAME?</v>
      </c>
      <c r="AO19" s="39" t="e">
        <f t="shared" ca="1" si="113"/>
        <v>#NAME?</v>
      </c>
      <c r="AP19" s="39" t="e">
        <f t="shared" ca="1" si="113"/>
        <v>#NAME?</v>
      </c>
      <c r="AQ19" s="39" t="e">
        <f t="shared" ca="1" si="113"/>
        <v>#NAME?</v>
      </c>
      <c r="AR19" s="39" t="e">
        <f t="shared" ca="1" si="113"/>
        <v>#NAME?</v>
      </c>
      <c r="AS19" s="39" t="e">
        <f t="shared" ca="1" si="113"/>
        <v>#NAME?</v>
      </c>
      <c r="AT19" s="39" t="e">
        <f t="shared" ca="1" si="113"/>
        <v>#NAME?</v>
      </c>
      <c r="AU19" s="39" t="e">
        <f t="shared" ca="1" si="113"/>
        <v>#NAME?</v>
      </c>
      <c r="AV19" s="39" t="e">
        <f t="shared" ca="1" si="113"/>
        <v>#NAME?</v>
      </c>
      <c r="AW19" s="39" t="e">
        <f t="shared" ca="1" si="113"/>
        <v>#NAME?</v>
      </c>
      <c r="AX19" s="39" t="e">
        <f t="shared" ca="1" si="113"/>
        <v>#NAME?</v>
      </c>
      <c r="AY19" s="39" t="e">
        <f t="shared" ca="1" si="113"/>
        <v>#NAME?</v>
      </c>
      <c r="AZ19" s="39" t="e">
        <f t="shared" ca="1" si="113"/>
        <v>#NAME?</v>
      </c>
      <c r="BA19" s="39" t="e">
        <f t="shared" ca="1" si="113"/>
        <v>#NAME?</v>
      </c>
      <c r="BB19" s="39" t="e">
        <f t="shared" ca="1" si="113"/>
        <v>#NAME?</v>
      </c>
      <c r="BC19" s="39" t="e">
        <f t="shared" ca="1" si="113"/>
        <v>#NAME?</v>
      </c>
      <c r="BD19" s="39" t="e">
        <f t="shared" ca="1" si="113"/>
        <v>#NAME?</v>
      </c>
      <c r="BE19" s="39" t="e">
        <f t="shared" ca="1" si="113"/>
        <v>#NAME?</v>
      </c>
      <c r="BF19" s="39" t="e">
        <f t="shared" ca="1" si="113"/>
        <v>#NAME?</v>
      </c>
      <c r="BG19" s="39" t="e">
        <f t="shared" ca="1" si="113"/>
        <v>#NAME?</v>
      </c>
      <c r="BH19" s="39" t="e">
        <f t="shared" ca="1" si="113"/>
        <v>#NAME?</v>
      </c>
      <c r="BI19" s="39" t="e">
        <f t="shared" ca="1" si="113"/>
        <v>#NAME?</v>
      </c>
      <c r="BJ19" s="39" t="e">
        <f t="shared" ca="1" si="113"/>
        <v>#NAME?</v>
      </c>
      <c r="BK19" s="39" t="e">
        <f t="shared" ca="1" si="113"/>
        <v>#NAME?</v>
      </c>
      <c r="BL19" s="39" t="e">
        <f t="shared" ca="1" si="113"/>
        <v>#NAME?</v>
      </c>
      <c r="BM19" s="39" t="e">
        <f t="shared" ca="1" si="113"/>
        <v>#NAME?</v>
      </c>
      <c r="BN19" s="39" t="e">
        <f t="shared" ca="1" si="113"/>
        <v>#NAME?</v>
      </c>
      <c r="BO19" s="39" t="e">
        <f t="shared" ca="1" si="113"/>
        <v>#NAME?</v>
      </c>
      <c r="BP19" s="39" t="e">
        <f t="shared" ca="1" si="113"/>
        <v>#NAME?</v>
      </c>
      <c r="BQ19" s="39" t="e">
        <f t="shared" ca="1" si="113"/>
        <v>#NAME?</v>
      </c>
      <c r="BR19" s="39" t="e">
        <f t="shared" ca="1" si="113"/>
        <v>#NAME?</v>
      </c>
      <c r="BS19" s="39" t="e">
        <f t="shared" ca="1" si="113"/>
        <v>#NAME?</v>
      </c>
      <c r="BT19" s="39" t="e">
        <f t="shared" ca="1" si="113"/>
        <v>#NAME?</v>
      </c>
      <c r="BU19" s="39" t="e">
        <f t="shared" ca="1" si="113"/>
        <v>#NAME?</v>
      </c>
      <c r="BV19" s="39" t="e">
        <f t="shared" ca="1" si="113"/>
        <v>#NAME?</v>
      </c>
      <c r="BW19" s="39" t="e">
        <f t="shared" ca="1" si="113"/>
        <v>#NAME?</v>
      </c>
      <c r="BX19" s="39" t="e">
        <f t="shared" ca="1" si="113"/>
        <v>#NAME?</v>
      </c>
      <c r="BY19" s="39" t="e">
        <f t="shared" ca="1" si="113"/>
        <v>#NAME?</v>
      </c>
      <c r="BZ19" s="39" t="e">
        <f t="shared" ca="1" si="113"/>
        <v>#NAME?</v>
      </c>
      <c r="CA19" s="39" t="e">
        <f t="shared" ca="1" si="113"/>
        <v>#NAME?</v>
      </c>
      <c r="CB19" s="39" t="e">
        <f t="shared" ca="1" si="113"/>
        <v>#NAME?</v>
      </c>
      <c r="CC19" s="39" t="e">
        <f t="shared" ca="1" si="113"/>
        <v>#NAME?</v>
      </c>
      <c r="CD19" s="39" t="e">
        <f t="shared" ca="1" si="113"/>
        <v>#NAME?</v>
      </c>
      <c r="CE19" s="39" t="e">
        <f t="shared" ca="1" si="113"/>
        <v>#NAME?</v>
      </c>
      <c r="CF19" s="39" t="e">
        <f t="shared" ca="1" si="113"/>
        <v>#NAME?</v>
      </c>
      <c r="CG19" s="39" t="e">
        <f t="shared" ca="1" si="113"/>
        <v>#NAME?</v>
      </c>
      <c r="CH19" s="39" t="e">
        <f t="shared" ca="1" si="113"/>
        <v>#NAME?</v>
      </c>
      <c r="CI19" s="39" t="e">
        <f t="shared" ca="1" si="113"/>
        <v>#NAME?</v>
      </c>
      <c r="CJ19" s="39" t="e">
        <f ca="1">+IF(CF18&lt;0,1-CJ18/CF18,CJ18/CF18-1)</f>
        <v>#NAME?</v>
      </c>
      <c r="CK19" s="39" t="e">
        <f ca="1">+IF(CG18&lt;0,1-CK18/CG18,CK18/CG18-1)</f>
        <v>#NAME?</v>
      </c>
      <c r="CL19" s="39" t="e">
        <f ca="1">+IF(CH18&lt;0,1-CL18/CH18,CL18/CH18-1)</f>
        <v>#NAME?</v>
      </c>
      <c r="CM19" s="40" t="e">
        <f t="shared" ref="CM19:DB19" ca="1" si="114">+IF(CI18&lt;0,1-CM18/CI18,CM18/CI18-1)</f>
        <v>#NAME?</v>
      </c>
      <c r="CN19" s="40" t="e">
        <f t="shared" ca="1" si="114"/>
        <v>#NAME?</v>
      </c>
      <c r="CO19" s="40" t="e">
        <f t="shared" ca="1" si="114"/>
        <v>#NAME?</v>
      </c>
      <c r="CP19" s="40" t="e">
        <f t="shared" ca="1" si="114"/>
        <v>#NAME?</v>
      </c>
      <c r="CQ19" s="40" t="e">
        <f t="shared" ca="1" si="114"/>
        <v>#NAME?</v>
      </c>
      <c r="CR19" s="40" t="e">
        <f t="shared" ca="1" si="114"/>
        <v>#NAME?</v>
      </c>
      <c r="CS19" s="40" t="e">
        <f t="shared" ca="1" si="114"/>
        <v>#NAME?</v>
      </c>
      <c r="CT19" s="40" t="e">
        <f t="shared" ca="1" si="114"/>
        <v>#NAME?</v>
      </c>
      <c r="CU19" s="40" t="e">
        <f t="shared" ca="1" si="114"/>
        <v>#NAME?</v>
      </c>
      <c r="CV19" s="40" t="e">
        <f t="shared" ca="1" si="114"/>
        <v>#NAME?</v>
      </c>
      <c r="CW19" s="40" t="e">
        <f t="shared" ca="1" si="114"/>
        <v>#NAME?</v>
      </c>
      <c r="CX19" s="40" t="e">
        <f t="shared" ca="1" si="114"/>
        <v>#NAME?</v>
      </c>
      <c r="CY19" s="40" t="e">
        <f t="shared" ca="1" si="114"/>
        <v>#NAME?</v>
      </c>
      <c r="CZ19" s="40" t="e">
        <f t="shared" ca="1" si="114"/>
        <v>#NAME?</v>
      </c>
      <c r="DA19" s="40" t="e">
        <f t="shared" ca="1" si="114"/>
        <v>#NAME?</v>
      </c>
      <c r="DB19" s="40" t="e">
        <f t="shared" ca="1" si="114"/>
        <v>#NAME?</v>
      </c>
      <c r="DE19" s="122"/>
      <c r="DF19" s="39">
        <v>0.16010724570520685</v>
      </c>
    </row>
    <row r="20" spans="1:110" s="39" customFormat="1" x14ac:dyDescent="0.2">
      <c r="A20" s="39" t="s">
        <v>446</v>
      </c>
      <c r="AB20" s="40"/>
      <c r="AC20" s="40"/>
      <c r="AD20" s="40"/>
      <c r="AE20" s="40"/>
      <c r="AJ20" s="39" t="e">
        <f t="shared" ref="AJ20:AL20" ca="1" si="115">+IF(AI18&lt;0,1-AJ18/AI18,AJ18/AI18-1)</f>
        <v>#NAME?</v>
      </c>
      <c r="AK20" s="39" t="e">
        <f t="shared" ca="1" si="115"/>
        <v>#NAME?</v>
      </c>
      <c r="AL20" s="39" t="e">
        <f t="shared" ca="1" si="115"/>
        <v>#NAME?</v>
      </c>
      <c r="AM20" s="39" t="e">
        <f t="shared" ref="AM20:CI20" ca="1" si="116">+IF(AL18&lt;0,1-AM18/AL18,AM18/AL18-1)</f>
        <v>#NAME?</v>
      </c>
      <c r="AN20" s="39" t="e">
        <f t="shared" ca="1" si="116"/>
        <v>#NAME?</v>
      </c>
      <c r="AO20" s="39" t="e">
        <f t="shared" ca="1" si="116"/>
        <v>#NAME?</v>
      </c>
      <c r="AP20" s="39" t="e">
        <f t="shared" ca="1" si="116"/>
        <v>#NAME?</v>
      </c>
      <c r="AQ20" s="39" t="e">
        <f t="shared" ca="1" si="116"/>
        <v>#NAME?</v>
      </c>
      <c r="AR20" s="39" t="e">
        <f t="shared" ca="1" si="116"/>
        <v>#NAME?</v>
      </c>
      <c r="AS20" s="39" t="e">
        <f t="shared" ca="1" si="116"/>
        <v>#NAME?</v>
      </c>
      <c r="AT20" s="39" t="e">
        <f t="shared" ca="1" si="116"/>
        <v>#NAME?</v>
      </c>
      <c r="AU20" s="39" t="e">
        <f t="shared" ca="1" si="116"/>
        <v>#NAME?</v>
      </c>
      <c r="AV20" s="39" t="e">
        <f t="shared" ca="1" si="116"/>
        <v>#NAME?</v>
      </c>
      <c r="AW20" s="39" t="e">
        <f t="shared" ca="1" si="116"/>
        <v>#NAME?</v>
      </c>
      <c r="AX20" s="39" t="e">
        <f t="shared" ca="1" si="116"/>
        <v>#NAME?</v>
      </c>
      <c r="AY20" s="39" t="e">
        <f t="shared" ca="1" si="116"/>
        <v>#NAME?</v>
      </c>
      <c r="AZ20" s="39" t="e">
        <f t="shared" ca="1" si="116"/>
        <v>#NAME?</v>
      </c>
      <c r="BA20" s="39" t="e">
        <f t="shared" ca="1" si="116"/>
        <v>#NAME?</v>
      </c>
      <c r="BB20" s="39" t="e">
        <f t="shared" ca="1" si="116"/>
        <v>#NAME?</v>
      </c>
      <c r="BC20" s="39" t="e">
        <f t="shared" ca="1" si="116"/>
        <v>#NAME?</v>
      </c>
      <c r="BD20" s="39" t="e">
        <f t="shared" ca="1" si="116"/>
        <v>#NAME?</v>
      </c>
      <c r="BE20" s="39" t="e">
        <f t="shared" ca="1" si="116"/>
        <v>#NAME?</v>
      </c>
      <c r="BF20" s="39" t="e">
        <f t="shared" ca="1" si="116"/>
        <v>#NAME?</v>
      </c>
      <c r="BG20" s="39" t="e">
        <f t="shared" ca="1" si="116"/>
        <v>#NAME?</v>
      </c>
      <c r="BH20" s="39" t="e">
        <f t="shared" ca="1" si="116"/>
        <v>#NAME?</v>
      </c>
      <c r="BI20" s="39" t="e">
        <f t="shared" ca="1" si="116"/>
        <v>#NAME?</v>
      </c>
      <c r="BJ20" s="39" t="e">
        <f t="shared" ca="1" si="116"/>
        <v>#NAME?</v>
      </c>
      <c r="BK20" s="39" t="e">
        <f t="shared" ca="1" si="116"/>
        <v>#NAME?</v>
      </c>
      <c r="BL20" s="39" t="e">
        <f t="shared" ca="1" si="116"/>
        <v>#NAME?</v>
      </c>
      <c r="BM20" s="39" t="e">
        <f t="shared" ca="1" si="116"/>
        <v>#NAME?</v>
      </c>
      <c r="BN20" s="39" t="e">
        <f t="shared" ca="1" si="116"/>
        <v>#NAME?</v>
      </c>
      <c r="BO20" s="39" t="e">
        <f t="shared" ca="1" si="116"/>
        <v>#NAME?</v>
      </c>
      <c r="BP20" s="39" t="e">
        <f t="shared" ca="1" si="116"/>
        <v>#NAME?</v>
      </c>
      <c r="BQ20" s="39" t="e">
        <f t="shared" ca="1" si="116"/>
        <v>#NAME?</v>
      </c>
      <c r="BR20" s="39" t="e">
        <f t="shared" ca="1" si="116"/>
        <v>#NAME?</v>
      </c>
      <c r="BS20" s="39" t="e">
        <f t="shared" ca="1" si="116"/>
        <v>#NAME?</v>
      </c>
      <c r="BT20" s="39" t="e">
        <f t="shared" ca="1" si="116"/>
        <v>#NAME?</v>
      </c>
      <c r="BU20" s="39" t="e">
        <f t="shared" ca="1" si="116"/>
        <v>#NAME?</v>
      </c>
      <c r="BV20" s="39" t="e">
        <f t="shared" ca="1" si="116"/>
        <v>#NAME?</v>
      </c>
      <c r="BW20" s="39" t="e">
        <f t="shared" ca="1" si="116"/>
        <v>#NAME?</v>
      </c>
      <c r="BX20" s="39" t="e">
        <f t="shared" ca="1" si="116"/>
        <v>#NAME?</v>
      </c>
      <c r="BY20" s="39" t="e">
        <f t="shared" ca="1" si="116"/>
        <v>#NAME?</v>
      </c>
      <c r="BZ20" s="39" t="e">
        <f t="shared" ca="1" si="116"/>
        <v>#NAME?</v>
      </c>
      <c r="CA20" s="39" t="e">
        <f t="shared" ca="1" si="116"/>
        <v>#NAME?</v>
      </c>
      <c r="CB20" s="39" t="e">
        <f t="shared" ca="1" si="116"/>
        <v>#NAME?</v>
      </c>
      <c r="CC20" s="39" t="e">
        <f t="shared" ca="1" si="116"/>
        <v>#NAME?</v>
      </c>
      <c r="CD20" s="39" t="e">
        <f t="shared" ca="1" si="116"/>
        <v>#NAME?</v>
      </c>
      <c r="CE20" s="39" t="e">
        <f t="shared" ca="1" si="116"/>
        <v>#NAME?</v>
      </c>
      <c r="CF20" s="39" t="e">
        <f t="shared" ca="1" si="116"/>
        <v>#NAME?</v>
      </c>
      <c r="CG20" s="39" t="e">
        <f t="shared" ca="1" si="116"/>
        <v>#NAME?</v>
      </c>
      <c r="CH20" s="39" t="e">
        <f t="shared" ca="1" si="116"/>
        <v>#NAME?</v>
      </c>
      <c r="CI20" s="39" t="e">
        <f t="shared" ca="1" si="116"/>
        <v>#NAME?</v>
      </c>
      <c r="CJ20" s="39" t="e">
        <f ca="1">+IF(CI18&lt;0,1-CJ18/CI18,CJ18/CI18-1)</f>
        <v>#NAME?</v>
      </c>
      <c r="CK20" s="39" t="e">
        <f ca="1">+IF(CJ18&lt;0,1-CK18/CJ18,CK18/CJ18-1)</f>
        <v>#NAME?</v>
      </c>
      <c r="CL20" s="39" t="e">
        <f ca="1">+IF(CK18&lt;0,1-CL18/CK18,CL18/CK18-1)</f>
        <v>#NAME?</v>
      </c>
      <c r="CM20" s="40" t="e">
        <f t="shared" ref="CM20" ca="1" si="117">+CM18/CL18-1</f>
        <v>#NAME?</v>
      </c>
      <c r="CN20" s="40" t="e">
        <f t="shared" ref="CN20" ca="1" si="118">+CN18/CM18-1</f>
        <v>#NAME?</v>
      </c>
      <c r="CO20" s="40" t="e">
        <f t="shared" ref="CO20" ca="1" si="119">+CO18/CN18-1</f>
        <v>#NAME?</v>
      </c>
      <c r="CP20" s="40" t="e">
        <f t="shared" ref="CP20" ca="1" si="120">+CP18/CO18-1</f>
        <v>#NAME?</v>
      </c>
      <c r="CQ20" s="40" t="e">
        <f t="shared" ref="CQ20" ca="1" si="121">+CQ18/CP18-1</f>
        <v>#NAME?</v>
      </c>
      <c r="CR20" s="40" t="e">
        <f t="shared" ref="CR20" ca="1" si="122">+CR18/CQ18-1</f>
        <v>#NAME?</v>
      </c>
      <c r="CS20" s="40" t="e">
        <f t="shared" ref="CS20" ca="1" si="123">+CS18/CR18-1</f>
        <v>#NAME?</v>
      </c>
      <c r="CT20" s="40" t="e">
        <f t="shared" ref="CT20" ca="1" si="124">+CT18/CS18-1</f>
        <v>#NAME?</v>
      </c>
      <c r="CU20" s="40" t="e">
        <f t="shared" ref="CU20" ca="1" si="125">+CU18/CT18-1</f>
        <v>#NAME?</v>
      </c>
      <c r="CV20" s="40" t="e">
        <f t="shared" ref="CV20" ca="1" si="126">+CV18/CU18-1</f>
        <v>#NAME?</v>
      </c>
      <c r="CW20" s="40" t="e">
        <f t="shared" ref="CW20" ca="1" si="127">+CW18/CV18-1</f>
        <v>#NAME?</v>
      </c>
      <c r="CX20" s="40" t="e">
        <f t="shared" ref="CX20" ca="1" si="128">+CX18/CW18-1</f>
        <v>#NAME?</v>
      </c>
      <c r="CY20" s="40" t="e">
        <f t="shared" ref="CY20" ca="1" si="129">+CY18/CX18-1</f>
        <v>#NAME?</v>
      </c>
      <c r="CZ20" s="40" t="e">
        <f t="shared" ref="CZ20" ca="1" si="130">+CZ18/CY18-1</f>
        <v>#NAME?</v>
      </c>
      <c r="DA20" s="40" t="e">
        <f t="shared" ref="DA20" ca="1" si="131">+DA18/CZ18-1</f>
        <v>#NAME?</v>
      </c>
      <c r="DB20" s="40" t="e">
        <f t="shared" ref="DB20" ca="1" si="132">+DB18/DA18-1</f>
        <v>#NAME?</v>
      </c>
      <c r="DE20" s="122"/>
    </row>
    <row r="21" spans="1:110" s="23" customFormat="1" outlineLevel="1" x14ac:dyDescent="0.2">
      <c r="A21" s="23" t="s">
        <v>2</v>
      </c>
      <c r="B21" s="23" t="e">
        <f ca="1">'Annual Raw'!C11</f>
        <v>#NAME?</v>
      </c>
      <c r="C21" s="23" t="e">
        <f ca="1">'Annual Raw'!D11</f>
        <v>#NAME?</v>
      </c>
      <c r="D21" s="23" t="e">
        <f ca="1">'Annual Raw'!E11</f>
        <v>#NAME?</v>
      </c>
      <c r="E21" s="23" t="e">
        <f ca="1">'Annual Raw'!F11</f>
        <v>#NAME?</v>
      </c>
      <c r="F21" s="23" t="e">
        <f ca="1">'Annual Raw'!G11</f>
        <v>#NAME?</v>
      </c>
      <c r="G21" s="23" t="e">
        <f ca="1">'Annual Raw'!H11</f>
        <v>#NAME?</v>
      </c>
      <c r="H21" s="23" t="e">
        <f ca="1">'Annual Raw'!I11</f>
        <v>#NAME?</v>
      </c>
      <c r="I21" s="23" t="e">
        <f ca="1">'Annual Raw'!J11</f>
        <v>#NAME?</v>
      </c>
      <c r="J21" s="23" t="e">
        <f ca="1">'Annual Raw'!K11</f>
        <v>#NAME?</v>
      </c>
      <c r="K21" s="23" t="e">
        <f ca="1">'Annual Raw'!L11</f>
        <v>#NAME?</v>
      </c>
      <c r="L21" s="23" t="e">
        <f ca="1">'Annual Raw'!M11</f>
        <v>#NAME?</v>
      </c>
      <c r="M21" s="23" t="e">
        <f ca="1">'Annual Raw'!N11</f>
        <v>#NAME?</v>
      </c>
      <c r="N21" s="23" t="e">
        <f ca="1">'Annual Raw'!O11</f>
        <v>#NAME?</v>
      </c>
      <c r="O21" s="23" t="e">
        <f ca="1">'Annual Raw'!P11</f>
        <v>#NAME?</v>
      </c>
      <c r="P21" s="23" t="e">
        <f ca="1">'Annual Raw'!Q11</f>
        <v>#NAME?</v>
      </c>
      <c r="Q21" s="23" t="e">
        <f ca="1">'Annual Raw'!R11</f>
        <v>#NAME?</v>
      </c>
      <c r="R21" s="23" t="e">
        <f ca="1">'Annual Raw'!S11</f>
        <v>#NAME?</v>
      </c>
      <c r="S21" s="23" t="e">
        <f ca="1">'Annual Raw'!T11</f>
        <v>#NAME?</v>
      </c>
      <c r="T21" s="23" t="e">
        <f ca="1">'Annual Raw'!U11</f>
        <v>#NAME?</v>
      </c>
      <c r="U21" s="23" t="e">
        <f ca="1">'Annual Raw'!V11</f>
        <v>#NAME?</v>
      </c>
      <c r="V21" s="23" t="e">
        <f ca="1">'Annual Raw'!W11</f>
        <v>#NAME?</v>
      </c>
      <c r="W21" s="23" t="e">
        <f ca="1">'Annual Raw'!X11</f>
        <v>#NAME?</v>
      </c>
      <c r="X21" s="23" t="e">
        <f ca="1">'Annual Raw'!Y11</f>
        <v>#NAME?</v>
      </c>
      <c r="Y21" s="23" t="e">
        <f ca="1">'Annual Raw'!Z11</f>
        <v>#NAME?</v>
      </c>
      <c r="Z21" s="23" t="e">
        <f ca="1">'Annual Raw'!AA11</f>
        <v>#NAME?</v>
      </c>
      <c r="AA21" s="23" t="e">
        <f ca="1">'Annual Raw'!AB11</f>
        <v>#NAME?</v>
      </c>
      <c r="AB21" s="76">
        <f>+SUM(CM21:CP21)</f>
        <v>0</v>
      </c>
      <c r="AC21" s="76">
        <f>+SUM(CQ21:CT21)</f>
        <v>0</v>
      </c>
      <c r="AD21" s="76">
        <f>+SUM(CU21:CX21)</f>
        <v>0</v>
      </c>
      <c r="AE21" s="76">
        <f>+SUM(CY21:DB21)</f>
        <v>0</v>
      </c>
      <c r="AI21" s="23" t="e">
        <f ca="1">'QTR Raw'!C10</f>
        <v>#NAME?</v>
      </c>
      <c r="AJ21" s="23" t="e">
        <f ca="1">'QTR Raw'!D10</f>
        <v>#NAME?</v>
      </c>
      <c r="AK21" s="23" t="e">
        <f ca="1">'QTR Raw'!E10</f>
        <v>#NAME?</v>
      </c>
      <c r="AL21" s="23" t="e">
        <f ca="1">'QTR Raw'!F10</f>
        <v>#NAME?</v>
      </c>
      <c r="AM21" s="23" t="e">
        <f ca="1">'QTR Raw'!G10</f>
        <v>#NAME?</v>
      </c>
      <c r="AN21" s="23" t="e">
        <f ca="1">'QTR Raw'!H10</f>
        <v>#NAME?</v>
      </c>
      <c r="AO21" s="23" t="e">
        <f ca="1">'QTR Raw'!I10</f>
        <v>#NAME?</v>
      </c>
      <c r="AP21" s="23" t="e">
        <f ca="1">'QTR Raw'!J10</f>
        <v>#NAME?</v>
      </c>
      <c r="AQ21" s="23" t="e">
        <f ca="1">'QTR Raw'!K10</f>
        <v>#NAME?</v>
      </c>
      <c r="AR21" s="23" t="e">
        <f ca="1">'QTR Raw'!L10</f>
        <v>#NAME?</v>
      </c>
      <c r="AS21" s="23" t="e">
        <f ca="1">'QTR Raw'!M10</f>
        <v>#NAME?</v>
      </c>
      <c r="AT21" s="23" t="e">
        <f ca="1">'QTR Raw'!N10</f>
        <v>#NAME?</v>
      </c>
      <c r="AU21" s="23" t="e">
        <f ca="1">'QTR Raw'!O10</f>
        <v>#NAME?</v>
      </c>
      <c r="AV21" s="23" t="e">
        <f ca="1">'QTR Raw'!P10</f>
        <v>#NAME?</v>
      </c>
      <c r="AW21" s="23" t="e">
        <f ca="1">'QTR Raw'!Q10</f>
        <v>#NAME?</v>
      </c>
      <c r="AX21" s="23" t="e">
        <f ca="1">'QTR Raw'!R10</f>
        <v>#NAME?</v>
      </c>
      <c r="AY21" s="23" t="e">
        <f ca="1">'QTR Raw'!S10</f>
        <v>#NAME?</v>
      </c>
      <c r="AZ21" s="23" t="e">
        <f ca="1">'QTR Raw'!T10</f>
        <v>#NAME?</v>
      </c>
      <c r="BA21" s="23" t="e">
        <f ca="1">'QTR Raw'!U10</f>
        <v>#NAME?</v>
      </c>
      <c r="BB21" s="23" t="e">
        <f ca="1">'QTR Raw'!V10</f>
        <v>#NAME?</v>
      </c>
      <c r="BC21" s="23" t="e">
        <f ca="1">'QTR Raw'!W10</f>
        <v>#NAME?</v>
      </c>
      <c r="BD21" s="23" t="e">
        <f ca="1">'QTR Raw'!X10</f>
        <v>#NAME?</v>
      </c>
      <c r="BE21" s="23" t="e">
        <f ca="1">'QTR Raw'!Y10</f>
        <v>#NAME?</v>
      </c>
      <c r="BF21" s="23" t="e">
        <f ca="1">'QTR Raw'!Z10</f>
        <v>#NAME?</v>
      </c>
      <c r="BG21" s="23" t="e">
        <f ca="1">'QTR Raw'!AA10</f>
        <v>#NAME?</v>
      </c>
      <c r="BH21" s="23" t="e">
        <f ca="1">'QTR Raw'!AB10</f>
        <v>#NAME?</v>
      </c>
      <c r="BI21" s="23" t="e">
        <f ca="1">'QTR Raw'!AC10</f>
        <v>#NAME?</v>
      </c>
      <c r="BJ21" s="23" t="e">
        <f ca="1">'QTR Raw'!AD10</f>
        <v>#NAME?</v>
      </c>
      <c r="BK21" s="23" t="e">
        <f ca="1">'QTR Raw'!AE10</f>
        <v>#NAME?</v>
      </c>
      <c r="BL21" s="23" t="e">
        <f ca="1">'QTR Raw'!AF10</f>
        <v>#NAME?</v>
      </c>
      <c r="BM21" s="23" t="e">
        <f ca="1">'QTR Raw'!AG10</f>
        <v>#NAME?</v>
      </c>
      <c r="BN21" s="23" t="e">
        <f ca="1">'QTR Raw'!AH10</f>
        <v>#NAME?</v>
      </c>
      <c r="BO21" s="23" t="e">
        <f ca="1">'QTR Raw'!AI10</f>
        <v>#NAME?</v>
      </c>
      <c r="BP21" s="23" t="e">
        <f ca="1">'QTR Raw'!AJ10</f>
        <v>#NAME?</v>
      </c>
      <c r="BQ21" s="23" t="e">
        <f ca="1">'QTR Raw'!AK10</f>
        <v>#NAME?</v>
      </c>
      <c r="BR21" s="23" t="e">
        <f ca="1">'QTR Raw'!AL10</f>
        <v>#NAME?</v>
      </c>
      <c r="BS21" s="23" t="e">
        <f ca="1">'QTR Raw'!AM10</f>
        <v>#NAME?</v>
      </c>
      <c r="BT21" s="23" t="e">
        <f ca="1">'QTR Raw'!AN10</f>
        <v>#NAME?</v>
      </c>
      <c r="BU21" s="23" t="e">
        <f ca="1">'QTR Raw'!AO10</f>
        <v>#NAME?</v>
      </c>
      <c r="BV21" s="23" t="e">
        <f ca="1">'QTR Raw'!AP10</f>
        <v>#NAME?</v>
      </c>
      <c r="BW21" s="23" t="e">
        <f ca="1">'QTR Raw'!AQ10</f>
        <v>#NAME?</v>
      </c>
      <c r="BX21" s="23" t="e">
        <f ca="1">'QTR Raw'!AR10</f>
        <v>#NAME?</v>
      </c>
      <c r="BY21" s="23" t="e">
        <f ca="1">'QTR Raw'!AS10</f>
        <v>#NAME?</v>
      </c>
      <c r="BZ21" s="23" t="e">
        <f ca="1">'QTR Raw'!AT10</f>
        <v>#NAME?</v>
      </c>
      <c r="CA21" s="23" t="e">
        <f ca="1">'QTR Raw'!AU10</f>
        <v>#NAME?</v>
      </c>
      <c r="CB21" s="23" t="e">
        <f ca="1">'QTR Raw'!AV10</f>
        <v>#NAME?</v>
      </c>
      <c r="CC21" s="23" t="e">
        <f ca="1">'QTR Raw'!AW10</f>
        <v>#NAME?</v>
      </c>
      <c r="CD21" s="23" t="e">
        <f ca="1">'QTR Raw'!AX10</f>
        <v>#NAME?</v>
      </c>
      <c r="CE21" s="23" t="e">
        <f ca="1">'QTR Raw'!AY10</f>
        <v>#NAME?</v>
      </c>
      <c r="CF21" s="23" t="e">
        <f ca="1">'QTR Raw'!AZ10</f>
        <v>#NAME?</v>
      </c>
      <c r="CG21" s="23" t="e">
        <f ca="1">'QTR Raw'!BA10</f>
        <v>#NAME?</v>
      </c>
      <c r="CH21" s="23" t="e">
        <f ca="1">'QTR Raw'!BB10</f>
        <v>#NAME?</v>
      </c>
      <c r="CI21" s="23" t="e">
        <f ca="1">'QTR Raw'!BC10</f>
        <v>#NAME?</v>
      </c>
      <c r="CJ21" s="23" t="e">
        <f ca="1">'QTR Raw'!BD10</f>
        <v>#NAME?</v>
      </c>
      <c r="CK21" s="23" t="e">
        <f ca="1">'QTR Raw'!BE10</f>
        <v>#NAME?</v>
      </c>
      <c r="CL21" s="23" t="e">
        <f ca="1">'QTR Raw'!BF10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-378.28999999999996</v>
      </c>
    </row>
    <row r="22" spans="1:110" s="23" customFormat="1" outlineLevel="1" x14ac:dyDescent="0.2">
      <c r="A22" s="23" t="s">
        <v>3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76">
        <f>+SUM(CM22:CP22)</f>
        <v>0</v>
      </c>
      <c r="AC22" s="76">
        <f>+SUM(CQ22:CT22)</f>
        <v>0</v>
      </c>
      <c r="AD22" s="76">
        <f>+SUM(CU22:CX22)</f>
        <v>0</v>
      </c>
      <c r="AE22" s="76">
        <f>+SUM(CY22:DB22)</f>
        <v>0</v>
      </c>
      <c r="AI22" s="23" t="e">
        <f ca="1">'QTR Raw'!C12</f>
        <v>#NAME?</v>
      </c>
      <c r="AJ22" s="23" t="e">
        <f ca="1">'QTR Raw'!D12</f>
        <v>#NAME?</v>
      </c>
      <c r="AK22" s="23" t="e">
        <f ca="1">'QTR Raw'!E12</f>
        <v>#NAME?</v>
      </c>
      <c r="AL22" s="23" t="e">
        <f ca="1">'QTR Raw'!F12</f>
        <v>#NAME?</v>
      </c>
      <c r="AM22" s="23" t="e">
        <f ca="1">'QTR Raw'!G12</f>
        <v>#NAME?</v>
      </c>
      <c r="AN22" s="23" t="e">
        <f ca="1">'QTR Raw'!H12</f>
        <v>#NAME?</v>
      </c>
      <c r="AO22" s="23" t="e">
        <f ca="1">'QTR Raw'!I12</f>
        <v>#NAME?</v>
      </c>
      <c r="AP22" s="23" t="e">
        <f ca="1">'QTR Raw'!J12</f>
        <v>#NAME?</v>
      </c>
      <c r="AQ22" s="23" t="e">
        <f ca="1">'QTR Raw'!K12</f>
        <v>#NAME?</v>
      </c>
      <c r="AR22" s="23" t="e">
        <f ca="1">'QTR Raw'!L12</f>
        <v>#NAME?</v>
      </c>
      <c r="AS22" s="23" t="e">
        <f ca="1">'QTR Raw'!M12</f>
        <v>#NAME?</v>
      </c>
      <c r="AT22" s="23" t="e">
        <f ca="1">'QTR Raw'!N12</f>
        <v>#NAME?</v>
      </c>
      <c r="AU22" s="23" t="e">
        <f ca="1">'QTR Raw'!O12</f>
        <v>#NAME?</v>
      </c>
      <c r="AV22" s="23" t="e">
        <f ca="1">'QTR Raw'!P12</f>
        <v>#NAME?</v>
      </c>
      <c r="AW22" s="23" t="e">
        <f ca="1">'QTR Raw'!Q12</f>
        <v>#NAME?</v>
      </c>
      <c r="AX22" s="23" t="e">
        <f ca="1">'QTR Raw'!R12</f>
        <v>#NAME?</v>
      </c>
      <c r="AY22" s="23" t="e">
        <f ca="1">'QTR Raw'!S12</f>
        <v>#NAME?</v>
      </c>
      <c r="AZ22" s="23" t="e">
        <f ca="1">'QTR Raw'!T12</f>
        <v>#NAME?</v>
      </c>
      <c r="BA22" s="23" t="e">
        <f ca="1">'QTR Raw'!U12</f>
        <v>#NAME?</v>
      </c>
      <c r="BB22" s="23" t="e">
        <f ca="1">'QTR Raw'!V12</f>
        <v>#NAME?</v>
      </c>
      <c r="BC22" s="23" t="e">
        <f ca="1">'QTR Raw'!W12</f>
        <v>#NAME?</v>
      </c>
      <c r="BD22" s="23" t="e">
        <f ca="1">'QTR Raw'!X12</f>
        <v>#NAME?</v>
      </c>
      <c r="BE22" s="23" t="e">
        <f ca="1">'QTR Raw'!Y12</f>
        <v>#NAME?</v>
      </c>
      <c r="BF22" s="23" t="e">
        <f ca="1">'QTR Raw'!Z12</f>
        <v>#NAME?</v>
      </c>
      <c r="BG22" s="23" t="e">
        <f ca="1">'QTR Raw'!AA12</f>
        <v>#NAME?</v>
      </c>
      <c r="BH22" s="23" t="e">
        <f ca="1">'QTR Raw'!AB12</f>
        <v>#NAME?</v>
      </c>
      <c r="BI22" s="23" t="e">
        <f ca="1">'QTR Raw'!AC12</f>
        <v>#NAME?</v>
      </c>
      <c r="BJ22" s="23" t="e">
        <f ca="1">'QTR Raw'!AD12</f>
        <v>#NAME?</v>
      </c>
      <c r="BK22" s="23" t="e">
        <f ca="1">'QTR Raw'!AE12</f>
        <v>#NAME?</v>
      </c>
      <c r="BL22" s="23" t="e">
        <f ca="1">'QTR Raw'!AF12</f>
        <v>#NAME?</v>
      </c>
      <c r="BM22" s="23" t="e">
        <f ca="1">'QTR Raw'!AG12</f>
        <v>#NAME?</v>
      </c>
      <c r="BN22" s="23" t="e">
        <f ca="1">'QTR Raw'!AH12</f>
        <v>#NAME?</v>
      </c>
      <c r="BO22" s="23" t="e">
        <f ca="1">'QTR Raw'!AI12</f>
        <v>#NAME?</v>
      </c>
      <c r="BP22" s="23" t="e">
        <f ca="1">'QTR Raw'!AJ12</f>
        <v>#NAME?</v>
      </c>
      <c r="BQ22" s="23" t="e">
        <f ca="1">'QTR Raw'!AK12</f>
        <v>#NAME?</v>
      </c>
      <c r="BR22" s="23" t="e">
        <f ca="1">'QTR Raw'!AL12</f>
        <v>#NAME?</v>
      </c>
      <c r="BS22" s="23" t="e">
        <f ca="1">'QTR Raw'!AM12</f>
        <v>#NAME?</v>
      </c>
      <c r="BT22" s="23" t="e">
        <f ca="1">'QTR Raw'!AN12</f>
        <v>#NAME?</v>
      </c>
      <c r="BU22" s="23" t="e">
        <f ca="1">'QTR Raw'!AO12</f>
        <v>#NAME?</v>
      </c>
      <c r="BV22" s="23" t="e">
        <f ca="1">'QTR Raw'!AP12</f>
        <v>#NAME?</v>
      </c>
      <c r="BW22" s="23" t="e">
        <f ca="1">'QTR Raw'!AQ12</f>
        <v>#NAME?</v>
      </c>
      <c r="BX22" s="23" t="e">
        <f ca="1">'QTR Raw'!AR12</f>
        <v>#NAME?</v>
      </c>
      <c r="BY22" s="23" t="e">
        <f ca="1">'QTR Raw'!AS12</f>
        <v>#NAME?</v>
      </c>
      <c r="BZ22" s="23" t="e">
        <f ca="1">'QTR Raw'!AT12</f>
        <v>#NAME?</v>
      </c>
      <c r="CA22" s="23" t="e">
        <f ca="1">'QTR Raw'!AU12</f>
        <v>#NAME?</v>
      </c>
      <c r="CB22" s="23" t="e">
        <f ca="1">'QTR Raw'!AV12</f>
        <v>#NAME?</v>
      </c>
      <c r="CC22" s="23" t="e">
        <f ca="1">'QTR Raw'!AW12</f>
        <v>#NAME?</v>
      </c>
      <c r="CD22" s="23" t="e">
        <f ca="1">'QTR Raw'!AX12</f>
        <v>#NAME?</v>
      </c>
      <c r="CE22" s="23" t="e">
        <f ca="1">'QTR Raw'!AY12</f>
        <v>#NAME?</v>
      </c>
      <c r="CF22" s="23" t="e">
        <f ca="1">'QTR Raw'!AZ12</f>
        <v>#NAME?</v>
      </c>
      <c r="CG22" s="23" t="e">
        <f ca="1">'QTR Raw'!BA12</f>
        <v>#NAME?</v>
      </c>
      <c r="CH22" s="23" t="e">
        <f ca="1">'QTR Raw'!BB12</f>
        <v>#NAME?</v>
      </c>
      <c r="CI22" s="23" t="e">
        <f ca="1">'QTR Raw'!BC12</f>
        <v>#NAME?</v>
      </c>
      <c r="CJ22" s="23" t="e">
        <f ca="1">'QTR Raw'!BD12</f>
        <v>#NAME?</v>
      </c>
      <c r="CK22" s="23" t="e">
        <f ca="1">'QTR Raw'!BE12</f>
        <v>#NAME?</v>
      </c>
      <c r="CL22" s="23" t="e">
        <f ca="1">'QTR Raw'!BF12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609.25</v>
      </c>
    </row>
    <row r="23" spans="1:110" s="23" customFormat="1" outlineLevel="1" x14ac:dyDescent="0.2">
      <c r="A23" s="23" t="s">
        <v>4</v>
      </c>
      <c r="B23" s="23" t="e">
        <f ca="1">'Annual Raw'!C12</f>
        <v>#NAME?</v>
      </c>
      <c r="C23" s="23" t="e">
        <f ca="1">'Annual Raw'!D12</f>
        <v>#NAME?</v>
      </c>
      <c r="D23" s="23" t="e">
        <f ca="1">'Annual Raw'!E12</f>
        <v>#NAME?</v>
      </c>
      <c r="E23" s="23" t="e">
        <f ca="1">'Annual Raw'!F12</f>
        <v>#NAME?</v>
      </c>
      <c r="F23" s="23" t="e">
        <f ca="1">'Annual Raw'!G12</f>
        <v>#NAME?</v>
      </c>
      <c r="G23" s="23" t="e">
        <f ca="1">'Annual Raw'!H12</f>
        <v>#NAME?</v>
      </c>
      <c r="H23" s="23" t="e">
        <f ca="1">'Annual Raw'!I12</f>
        <v>#NAME?</v>
      </c>
      <c r="I23" s="23" t="e">
        <f ca="1">'Annual Raw'!J12</f>
        <v>#NAME?</v>
      </c>
      <c r="J23" s="23" t="e">
        <f ca="1">'Annual Raw'!K12</f>
        <v>#NAME?</v>
      </c>
      <c r="K23" s="23" t="e">
        <f ca="1">'Annual Raw'!L12</f>
        <v>#NAME?</v>
      </c>
      <c r="L23" s="23" t="e">
        <f ca="1">'Annual Raw'!M12</f>
        <v>#NAME?</v>
      </c>
      <c r="M23" s="23" t="e">
        <f ca="1">'Annual Raw'!N12</f>
        <v>#NAME?</v>
      </c>
      <c r="N23" s="23" t="e">
        <f ca="1">'Annual Raw'!O12</f>
        <v>#NAME?</v>
      </c>
      <c r="O23" s="23" t="e">
        <f ca="1">'Annual Raw'!P12</f>
        <v>#NAME?</v>
      </c>
      <c r="P23" s="23" t="e">
        <f ca="1">'Annual Raw'!Q12</f>
        <v>#NAME?</v>
      </c>
      <c r="Q23" s="23" t="e">
        <f ca="1">'Annual Raw'!R12</f>
        <v>#NAME?</v>
      </c>
      <c r="R23" s="23" t="e">
        <f ca="1">'Annual Raw'!S12</f>
        <v>#NAME?</v>
      </c>
      <c r="S23" s="23" t="e">
        <f ca="1">'Annual Raw'!T12</f>
        <v>#NAME?</v>
      </c>
      <c r="T23" s="23" t="e">
        <f ca="1">'Annual Raw'!U12</f>
        <v>#NAME?</v>
      </c>
      <c r="U23" s="23" t="e">
        <f ca="1">'Annual Raw'!V12</f>
        <v>#NAME?</v>
      </c>
      <c r="V23" s="23" t="e">
        <f ca="1">'Annual Raw'!W12</f>
        <v>#NAME?</v>
      </c>
      <c r="W23" s="23" t="e">
        <f ca="1">'Annual Raw'!X12</f>
        <v>#NAME?</v>
      </c>
      <c r="X23" s="23" t="e">
        <f ca="1">'Annual Raw'!Y12</f>
        <v>#NAME?</v>
      </c>
      <c r="Y23" s="23" t="e">
        <f ca="1">'Annual Raw'!Z12</f>
        <v>#NAME?</v>
      </c>
      <c r="Z23" s="23" t="e">
        <f ca="1">'Annual Raw'!AA12</f>
        <v>#NAME?</v>
      </c>
      <c r="AA23" s="23" t="e">
        <f ca="1">'Annual Raw'!AB12</f>
        <v>#NAME?</v>
      </c>
      <c r="AB23" s="24" t="e">
        <f ca="1">+SUM(CM23:CP23)</f>
        <v>#NAME?</v>
      </c>
      <c r="AC23" s="24" t="e">
        <f ca="1">+SUM(CQ23:CT23)</f>
        <v>#NAME?</v>
      </c>
      <c r="AD23" s="24" t="e">
        <f ca="1">+SUM(CU23:CX23)</f>
        <v>#NAME?</v>
      </c>
      <c r="AE23" s="24" t="e">
        <f ca="1">+SUM(CY23:DB23)</f>
        <v>#NAME?</v>
      </c>
      <c r="AI23" s="23" t="e">
        <f ca="1">'QTR Raw'!C11</f>
        <v>#NAME?</v>
      </c>
      <c r="AJ23" s="23" t="e">
        <f ca="1">'QTR Raw'!D11</f>
        <v>#NAME?</v>
      </c>
      <c r="AK23" s="23" t="e">
        <f ca="1">'QTR Raw'!E11</f>
        <v>#NAME?</v>
      </c>
      <c r="AL23" s="23" t="e">
        <f ca="1">'QTR Raw'!F11</f>
        <v>#NAME?</v>
      </c>
      <c r="AM23" s="23" t="e">
        <f ca="1">'QTR Raw'!G11</f>
        <v>#NAME?</v>
      </c>
      <c r="AN23" s="23" t="e">
        <f ca="1">'QTR Raw'!H11</f>
        <v>#NAME?</v>
      </c>
      <c r="AO23" s="23" t="e">
        <f ca="1">'QTR Raw'!I11</f>
        <v>#NAME?</v>
      </c>
      <c r="AP23" s="23" t="e">
        <f ca="1">'QTR Raw'!J11</f>
        <v>#NAME?</v>
      </c>
      <c r="AQ23" s="23" t="e">
        <f ca="1">'QTR Raw'!K11</f>
        <v>#NAME?</v>
      </c>
      <c r="AR23" s="23" t="e">
        <f ca="1">'QTR Raw'!L11</f>
        <v>#NAME?</v>
      </c>
      <c r="AS23" s="23" t="e">
        <f ca="1">'QTR Raw'!M11</f>
        <v>#NAME?</v>
      </c>
      <c r="AT23" s="23" t="e">
        <f ca="1">'QTR Raw'!N11</f>
        <v>#NAME?</v>
      </c>
      <c r="AU23" s="23" t="e">
        <f ca="1">'QTR Raw'!O11</f>
        <v>#NAME?</v>
      </c>
      <c r="AV23" s="23" t="e">
        <f ca="1">'QTR Raw'!P11</f>
        <v>#NAME?</v>
      </c>
      <c r="AW23" s="23" t="e">
        <f ca="1">'QTR Raw'!Q11</f>
        <v>#NAME?</v>
      </c>
      <c r="AX23" s="23" t="e">
        <f ca="1">'QTR Raw'!R11</f>
        <v>#NAME?</v>
      </c>
      <c r="AY23" s="23" t="e">
        <f ca="1">'QTR Raw'!S11</f>
        <v>#NAME?</v>
      </c>
      <c r="AZ23" s="23" t="e">
        <f ca="1">'QTR Raw'!T11</f>
        <v>#NAME?</v>
      </c>
      <c r="BA23" s="23" t="e">
        <f ca="1">'QTR Raw'!U11</f>
        <v>#NAME?</v>
      </c>
      <c r="BB23" s="23" t="e">
        <f ca="1">'QTR Raw'!V11</f>
        <v>#NAME?</v>
      </c>
      <c r="BC23" s="23" t="e">
        <f ca="1">'QTR Raw'!W11</f>
        <v>#NAME?</v>
      </c>
      <c r="BD23" s="23" t="e">
        <f ca="1">'QTR Raw'!X11</f>
        <v>#NAME?</v>
      </c>
      <c r="BE23" s="23" t="e">
        <f ca="1">'QTR Raw'!Y11</f>
        <v>#NAME?</v>
      </c>
      <c r="BF23" s="23" t="e">
        <f ca="1">'QTR Raw'!Z11</f>
        <v>#NAME?</v>
      </c>
      <c r="BG23" s="23" t="e">
        <f ca="1">'QTR Raw'!AA11</f>
        <v>#NAME?</v>
      </c>
      <c r="BH23" s="23" t="e">
        <f ca="1">'QTR Raw'!AB11</f>
        <v>#NAME?</v>
      </c>
      <c r="BI23" s="23" t="e">
        <f ca="1">'QTR Raw'!AC11</f>
        <v>#NAME?</v>
      </c>
      <c r="BJ23" s="23" t="e">
        <f ca="1">'QTR Raw'!AD11</f>
        <v>#NAME?</v>
      </c>
      <c r="BK23" s="23" t="e">
        <f ca="1">'QTR Raw'!AE11</f>
        <v>#NAME?</v>
      </c>
      <c r="BL23" s="23" t="e">
        <f ca="1">'QTR Raw'!AF11</f>
        <v>#NAME?</v>
      </c>
      <c r="BM23" s="23" t="e">
        <f ca="1">'QTR Raw'!AG11</f>
        <v>#NAME?</v>
      </c>
      <c r="BN23" s="23" t="e">
        <f ca="1">'QTR Raw'!AH11</f>
        <v>#NAME?</v>
      </c>
      <c r="BO23" s="23" t="e">
        <f ca="1">'QTR Raw'!AI11</f>
        <v>#NAME?</v>
      </c>
      <c r="BP23" s="23" t="e">
        <f ca="1">'QTR Raw'!AJ11</f>
        <v>#NAME?</v>
      </c>
      <c r="BQ23" s="23" t="e">
        <f ca="1">'QTR Raw'!AK11</f>
        <v>#NAME?</v>
      </c>
      <c r="BR23" s="23" t="e">
        <f ca="1">'QTR Raw'!AL11</f>
        <v>#NAME?</v>
      </c>
      <c r="BS23" s="23" t="e">
        <f ca="1">'QTR Raw'!AM11</f>
        <v>#NAME?</v>
      </c>
      <c r="BT23" s="23" t="e">
        <f ca="1">'QTR Raw'!AN11</f>
        <v>#NAME?</v>
      </c>
      <c r="BU23" s="23" t="e">
        <f ca="1">'QTR Raw'!AO11</f>
        <v>#NAME?</v>
      </c>
      <c r="BV23" s="23" t="e">
        <f ca="1">'QTR Raw'!AP11</f>
        <v>#NAME?</v>
      </c>
      <c r="BW23" s="23" t="e">
        <f ca="1">'QTR Raw'!AQ11</f>
        <v>#NAME?</v>
      </c>
      <c r="BX23" s="23" t="e">
        <f ca="1">'QTR Raw'!AR11</f>
        <v>#NAME?</v>
      </c>
      <c r="BY23" s="23" t="e">
        <f ca="1">'QTR Raw'!AS11</f>
        <v>#NAME?</v>
      </c>
      <c r="BZ23" s="23" t="e">
        <f ca="1">'QTR Raw'!AT11</f>
        <v>#NAME?</v>
      </c>
      <c r="CA23" s="23" t="e">
        <f ca="1">'QTR Raw'!AU11</f>
        <v>#NAME?</v>
      </c>
      <c r="CB23" s="23" t="e">
        <f ca="1">'QTR Raw'!AV11</f>
        <v>#NAME?</v>
      </c>
      <c r="CC23" s="23" t="e">
        <f ca="1">'QTR Raw'!AW11</f>
        <v>#NAME?</v>
      </c>
      <c r="CD23" s="23" t="e">
        <f ca="1">'QTR Raw'!AX11</f>
        <v>#NAME?</v>
      </c>
      <c r="CE23" s="23" t="e">
        <f ca="1">'QTR Raw'!AY11</f>
        <v>#NAME?</v>
      </c>
      <c r="CF23" s="23" t="e">
        <f ca="1">'QTR Raw'!AZ11</f>
        <v>#NAME?</v>
      </c>
      <c r="CG23" s="23" t="e">
        <f ca="1">'QTR Raw'!BA11</f>
        <v>#NAME?</v>
      </c>
      <c r="CH23" s="23" t="e">
        <f ca="1">'QTR Raw'!BB11</f>
        <v>#NAME?</v>
      </c>
      <c r="CI23" s="23" t="e">
        <f ca="1">'QTR Raw'!BC11</f>
        <v>#NAME?</v>
      </c>
      <c r="CJ23" s="23" t="e">
        <f ca="1">'QTR Raw'!BD11</f>
        <v>#NAME?</v>
      </c>
      <c r="CK23" s="23" t="e">
        <f ca="1">'QTR Raw'!BE11</f>
        <v>#NAME?</v>
      </c>
      <c r="CL23" s="23" t="e">
        <f ca="1">'QTR Raw'!BF11</f>
        <v>#NAME?</v>
      </c>
      <c r="CM23" s="24" t="e">
        <f t="shared" ref="CM23:DB23" ca="1" si="133">+CM18-CM24</f>
        <v>#NAME?</v>
      </c>
      <c r="CN23" s="24" t="e">
        <f t="shared" ca="1" si="133"/>
        <v>#NAME?</v>
      </c>
      <c r="CO23" s="24" t="e">
        <f t="shared" ca="1" si="133"/>
        <v>#NAME?</v>
      </c>
      <c r="CP23" s="24" t="e">
        <f t="shared" ca="1" si="133"/>
        <v>#NAME?</v>
      </c>
      <c r="CQ23" s="24" t="e">
        <f t="shared" ca="1" si="133"/>
        <v>#NAME?</v>
      </c>
      <c r="CR23" s="24" t="e">
        <f t="shared" ca="1" si="133"/>
        <v>#NAME?</v>
      </c>
      <c r="CS23" s="24" t="e">
        <f t="shared" ca="1" si="133"/>
        <v>#NAME?</v>
      </c>
      <c r="CT23" s="24" t="e">
        <f t="shared" ca="1" si="133"/>
        <v>#NAME?</v>
      </c>
      <c r="CU23" s="24" t="e">
        <f t="shared" ca="1" si="133"/>
        <v>#NAME?</v>
      </c>
      <c r="CV23" s="24" t="e">
        <f t="shared" ca="1" si="133"/>
        <v>#NAME?</v>
      </c>
      <c r="CW23" s="24" t="e">
        <f t="shared" ca="1" si="133"/>
        <v>#NAME?</v>
      </c>
      <c r="CX23" s="24" t="e">
        <f t="shared" ca="1" si="133"/>
        <v>#NAME?</v>
      </c>
      <c r="CY23" s="24" t="e">
        <f t="shared" ca="1" si="133"/>
        <v>#NAME?</v>
      </c>
      <c r="CZ23" s="24" t="e">
        <f t="shared" ca="1" si="133"/>
        <v>#NAME?</v>
      </c>
      <c r="DA23" s="24" t="e">
        <f t="shared" ca="1" si="133"/>
        <v>#NAME?</v>
      </c>
      <c r="DB23" s="24" t="e">
        <f t="shared" ca="1" si="133"/>
        <v>#NAME?</v>
      </c>
      <c r="DE23" s="123"/>
      <c r="DF23" s="23">
        <v>6511.54</v>
      </c>
    </row>
    <row r="24" spans="1:110" s="31" customFormat="1" x14ac:dyDescent="0.2">
      <c r="A24" s="31" t="s">
        <v>5</v>
      </c>
      <c r="B24" s="31" t="e">
        <f t="shared" ref="B24:T24" ca="1" si="134">B18-B21-B23-B22</f>
        <v>#NAME?</v>
      </c>
      <c r="C24" s="31" t="e">
        <f t="shared" ca="1" si="134"/>
        <v>#NAME?</v>
      </c>
      <c r="D24" s="31" t="e">
        <f t="shared" ca="1" si="134"/>
        <v>#NAME?</v>
      </c>
      <c r="E24" s="31" t="e">
        <f t="shared" ca="1" si="134"/>
        <v>#NAME?</v>
      </c>
      <c r="F24" s="31" t="e">
        <f t="shared" ca="1" si="134"/>
        <v>#NAME?</v>
      </c>
      <c r="G24" s="31" t="e">
        <f t="shared" ca="1" si="134"/>
        <v>#NAME?</v>
      </c>
      <c r="H24" s="31" t="e">
        <f t="shared" ca="1" si="134"/>
        <v>#NAME?</v>
      </c>
      <c r="I24" s="31" t="e">
        <f t="shared" ca="1" si="134"/>
        <v>#NAME?</v>
      </c>
      <c r="J24" s="31" t="e">
        <f t="shared" ca="1" si="134"/>
        <v>#NAME?</v>
      </c>
      <c r="K24" s="31" t="e">
        <f t="shared" ca="1" si="134"/>
        <v>#NAME?</v>
      </c>
      <c r="L24" s="31" t="e">
        <f t="shared" ca="1" si="134"/>
        <v>#NAME?</v>
      </c>
      <c r="M24" s="31" t="e">
        <f t="shared" ca="1" si="134"/>
        <v>#NAME?</v>
      </c>
      <c r="N24" s="31" t="e">
        <f t="shared" ca="1" si="134"/>
        <v>#NAME?</v>
      </c>
      <c r="O24" s="31" t="e">
        <f t="shared" ca="1" si="134"/>
        <v>#NAME?</v>
      </c>
      <c r="P24" s="31" t="e">
        <f t="shared" ca="1" si="134"/>
        <v>#NAME?</v>
      </c>
      <c r="Q24" s="31" t="e">
        <f t="shared" ca="1" si="134"/>
        <v>#NAME?</v>
      </c>
      <c r="R24" s="31" t="e">
        <f t="shared" ca="1" si="134"/>
        <v>#NAME?</v>
      </c>
      <c r="S24" s="31" t="e">
        <f t="shared" ca="1" si="134"/>
        <v>#NAME?</v>
      </c>
      <c r="T24" s="31" t="e">
        <f t="shared" ca="1" si="134"/>
        <v>#NAME?</v>
      </c>
      <c r="U24" s="31" t="e">
        <f t="shared" ref="U24:Z24" ca="1" si="135">U18-U21-U23-U22</f>
        <v>#NAME?</v>
      </c>
      <c r="V24" s="31" t="e">
        <f t="shared" ca="1" si="135"/>
        <v>#NAME?</v>
      </c>
      <c r="W24" s="31" t="e">
        <f t="shared" ca="1" si="135"/>
        <v>#NAME?</v>
      </c>
      <c r="X24" s="31" t="e">
        <f t="shared" ca="1" si="135"/>
        <v>#NAME?</v>
      </c>
      <c r="Y24" s="31" t="e">
        <f t="shared" ca="1" si="135"/>
        <v>#NAME?</v>
      </c>
      <c r="Z24" s="31" t="e">
        <f t="shared" ca="1" si="135"/>
        <v>#NAME?</v>
      </c>
      <c r="AA24" s="31" t="e">
        <f t="shared" ref="AA24" ca="1" si="136">AA18-AA21-AA23-AA22</f>
        <v>#NAME?</v>
      </c>
      <c r="AB24" s="32" t="e">
        <f t="shared" ref="AA24:AD24" ca="1" si="137">AB18-AB21-AB23-AB22</f>
        <v>#NAME?</v>
      </c>
      <c r="AC24" s="32" t="e">
        <f t="shared" ca="1" si="137"/>
        <v>#NAME?</v>
      </c>
      <c r="AD24" s="32" t="e">
        <f t="shared" ca="1" si="137"/>
        <v>#NAME?</v>
      </c>
      <c r="AE24" s="32" t="e">
        <f t="shared" ref="AE24" ca="1" si="138">AE18-AE21-AE23-AE22</f>
        <v>#NAME?</v>
      </c>
      <c r="AI24" s="31" t="e">
        <f t="shared" ref="AI24" ca="1" si="139">AI18-AI21-AI23-AI22</f>
        <v>#NAME?</v>
      </c>
      <c r="AJ24" s="31" t="e">
        <f t="shared" ref="AJ24" ca="1" si="140">AJ18-AJ21-AJ23-AJ22</f>
        <v>#NAME?</v>
      </c>
      <c r="AK24" s="31" t="e">
        <f t="shared" ref="AK24:AM24" ca="1" si="141">AK18-AK21-AK23-AK22</f>
        <v>#NAME?</v>
      </c>
      <c r="AL24" s="31" t="e">
        <f t="shared" ca="1" si="141"/>
        <v>#NAME?</v>
      </c>
      <c r="AM24" s="31" t="e">
        <f t="shared" ca="1" si="141"/>
        <v>#NAME?</v>
      </c>
      <c r="AN24" s="31" t="e">
        <f t="shared" ref="AN24:AO24" ca="1" si="142">AN18-AN21-AN23-AN22</f>
        <v>#NAME?</v>
      </c>
      <c r="AO24" s="31" t="e">
        <f t="shared" ca="1" si="142"/>
        <v>#NAME?</v>
      </c>
      <c r="AP24" s="31" t="e">
        <f t="shared" ref="AP24:CD24" ca="1" si="143">AP18-AP21-AP23-AP22</f>
        <v>#NAME?</v>
      </c>
      <c r="AQ24" s="31" t="e">
        <f t="shared" ca="1" si="143"/>
        <v>#NAME?</v>
      </c>
      <c r="AR24" s="31" t="e">
        <f t="shared" ca="1" si="143"/>
        <v>#NAME?</v>
      </c>
      <c r="AS24" s="31" t="e">
        <f t="shared" ca="1" si="143"/>
        <v>#NAME?</v>
      </c>
      <c r="AT24" s="31" t="e">
        <f t="shared" ca="1" si="143"/>
        <v>#NAME?</v>
      </c>
      <c r="AU24" s="31" t="e">
        <f t="shared" ca="1" si="143"/>
        <v>#NAME?</v>
      </c>
      <c r="AV24" s="31" t="e">
        <f t="shared" ca="1" si="143"/>
        <v>#NAME?</v>
      </c>
      <c r="AW24" s="31" t="e">
        <f t="shared" ca="1" si="143"/>
        <v>#NAME?</v>
      </c>
      <c r="AX24" s="31" t="e">
        <f t="shared" ca="1" si="143"/>
        <v>#NAME?</v>
      </c>
      <c r="AY24" s="31" t="e">
        <f t="shared" ca="1" si="143"/>
        <v>#NAME?</v>
      </c>
      <c r="AZ24" s="31" t="e">
        <f t="shared" ca="1" si="143"/>
        <v>#NAME?</v>
      </c>
      <c r="BA24" s="31" t="e">
        <f t="shared" ca="1" si="143"/>
        <v>#NAME?</v>
      </c>
      <c r="BB24" s="31" t="e">
        <f t="shared" ca="1" si="143"/>
        <v>#NAME?</v>
      </c>
      <c r="BC24" s="31" t="e">
        <f t="shared" ca="1" si="143"/>
        <v>#NAME?</v>
      </c>
      <c r="BD24" s="31" t="e">
        <f t="shared" ca="1" si="143"/>
        <v>#NAME?</v>
      </c>
      <c r="BE24" s="31" t="e">
        <f t="shared" ca="1" si="143"/>
        <v>#NAME?</v>
      </c>
      <c r="BF24" s="31" t="e">
        <f t="shared" ca="1" si="143"/>
        <v>#NAME?</v>
      </c>
      <c r="BG24" s="31" t="e">
        <f t="shared" ca="1" si="143"/>
        <v>#NAME?</v>
      </c>
      <c r="BH24" s="31" t="e">
        <f t="shared" ca="1" si="143"/>
        <v>#NAME?</v>
      </c>
      <c r="BI24" s="31" t="e">
        <f t="shared" ca="1" si="143"/>
        <v>#NAME?</v>
      </c>
      <c r="BJ24" s="31" t="e">
        <f t="shared" ca="1" si="143"/>
        <v>#NAME?</v>
      </c>
      <c r="BK24" s="31" t="e">
        <f t="shared" ca="1" si="143"/>
        <v>#NAME?</v>
      </c>
      <c r="BL24" s="31" t="e">
        <f t="shared" ca="1" si="143"/>
        <v>#NAME?</v>
      </c>
      <c r="BM24" s="31" t="e">
        <f t="shared" ca="1" si="143"/>
        <v>#NAME?</v>
      </c>
      <c r="BN24" s="31" t="e">
        <f t="shared" ca="1" si="143"/>
        <v>#NAME?</v>
      </c>
      <c r="BO24" s="31" t="e">
        <f t="shared" ca="1" si="143"/>
        <v>#NAME?</v>
      </c>
      <c r="BP24" s="31" t="e">
        <f t="shared" ca="1" si="143"/>
        <v>#NAME?</v>
      </c>
      <c r="BQ24" s="31" t="e">
        <f t="shared" ca="1" si="143"/>
        <v>#NAME?</v>
      </c>
      <c r="BR24" s="31" t="e">
        <f t="shared" ca="1" si="143"/>
        <v>#NAME?</v>
      </c>
      <c r="BS24" s="31" t="e">
        <f t="shared" ca="1" si="143"/>
        <v>#NAME?</v>
      </c>
      <c r="BT24" s="31" t="e">
        <f t="shared" ca="1" si="143"/>
        <v>#NAME?</v>
      </c>
      <c r="BU24" s="31" t="e">
        <f t="shared" ca="1" si="143"/>
        <v>#NAME?</v>
      </c>
      <c r="BV24" s="31" t="e">
        <f t="shared" ca="1" si="143"/>
        <v>#NAME?</v>
      </c>
      <c r="BW24" s="31" t="e">
        <f t="shared" ca="1" si="143"/>
        <v>#NAME?</v>
      </c>
      <c r="BX24" s="31" t="e">
        <f t="shared" ca="1" si="143"/>
        <v>#NAME?</v>
      </c>
      <c r="BY24" s="31" t="e">
        <f t="shared" ca="1" si="143"/>
        <v>#NAME?</v>
      </c>
      <c r="BZ24" s="31" t="e">
        <f t="shared" ca="1" si="143"/>
        <v>#NAME?</v>
      </c>
      <c r="CA24" s="31" t="e">
        <f t="shared" ca="1" si="143"/>
        <v>#NAME?</v>
      </c>
      <c r="CB24" s="31" t="e">
        <f t="shared" ca="1" si="143"/>
        <v>#NAME?</v>
      </c>
      <c r="CC24" s="31" t="e">
        <f t="shared" ca="1" si="143"/>
        <v>#NAME?</v>
      </c>
      <c r="CD24" s="31" t="e">
        <f t="shared" ca="1" si="143"/>
        <v>#NAME?</v>
      </c>
      <c r="CE24" s="31" t="e">
        <f t="shared" ref="CE24:CF24" ca="1" si="144">CE18-CE21-CE23-CE22</f>
        <v>#NAME?</v>
      </c>
      <c r="CF24" s="31" t="e">
        <f t="shared" ca="1" si="144"/>
        <v>#NAME?</v>
      </c>
      <c r="CG24" s="31" t="e">
        <f t="shared" ref="CG24:CH24" ca="1" si="145">CG18-CG21-CG23-CG22</f>
        <v>#NAME?</v>
      </c>
      <c r="CH24" s="31" t="e">
        <f t="shared" ca="1" si="145"/>
        <v>#NAME?</v>
      </c>
      <c r="CI24" s="31" t="e">
        <f t="shared" ref="CI24:CJ24" ca="1" si="146">CI18-CI21-CI23-CI22</f>
        <v>#NAME?</v>
      </c>
      <c r="CJ24" s="31" t="e">
        <f t="shared" ca="1" si="146"/>
        <v>#NAME?</v>
      </c>
      <c r="CK24" s="31" t="e">
        <f t="shared" ref="CK24:CL24" ca="1" si="147">CK18-CK21-CK23-CK22</f>
        <v>#NAME?</v>
      </c>
      <c r="CL24" s="31" t="e">
        <f t="shared" ca="1" si="147"/>
        <v>#NAME?</v>
      </c>
      <c r="CM24" s="32" t="e">
        <f t="shared" ref="CM24:DB24" ca="1" si="148">+CM25*CM18</f>
        <v>#NAME?</v>
      </c>
      <c r="CN24" s="32" t="e">
        <f t="shared" ca="1" si="148"/>
        <v>#NAME?</v>
      </c>
      <c r="CO24" s="32" t="e">
        <f t="shared" ca="1" si="148"/>
        <v>#NAME?</v>
      </c>
      <c r="CP24" s="32" t="e">
        <f t="shared" ca="1" si="148"/>
        <v>#NAME?</v>
      </c>
      <c r="CQ24" s="32" t="e">
        <f t="shared" ca="1" si="148"/>
        <v>#NAME?</v>
      </c>
      <c r="CR24" s="32" t="e">
        <f t="shared" ca="1" si="148"/>
        <v>#NAME?</v>
      </c>
      <c r="CS24" s="32" t="e">
        <f t="shared" ca="1" si="148"/>
        <v>#NAME?</v>
      </c>
      <c r="CT24" s="32" t="e">
        <f t="shared" ca="1" si="148"/>
        <v>#NAME?</v>
      </c>
      <c r="CU24" s="32" t="e">
        <f t="shared" ca="1" si="148"/>
        <v>#NAME?</v>
      </c>
      <c r="CV24" s="32" t="e">
        <f t="shared" ca="1" si="148"/>
        <v>#NAME?</v>
      </c>
      <c r="CW24" s="32" t="e">
        <f t="shared" ca="1" si="148"/>
        <v>#NAME?</v>
      </c>
      <c r="CX24" s="32" t="e">
        <f t="shared" ca="1" si="148"/>
        <v>#NAME?</v>
      </c>
      <c r="CY24" s="32" t="e">
        <f t="shared" ca="1" si="148"/>
        <v>#NAME?</v>
      </c>
      <c r="CZ24" s="32" t="e">
        <f t="shared" ca="1" si="148"/>
        <v>#NAME?</v>
      </c>
      <c r="DA24" s="32" t="e">
        <f t="shared" ca="1" si="148"/>
        <v>#NAME?</v>
      </c>
      <c r="DB24" s="32" t="e">
        <f t="shared" ca="1" si="148"/>
        <v>#NAME?</v>
      </c>
      <c r="DE24" s="124"/>
      <c r="DF24" s="31">
        <v>33913.18</v>
      </c>
    </row>
    <row r="25" spans="1:110" s="41" customFormat="1" x14ac:dyDescent="0.2">
      <c r="A25" s="41" t="s">
        <v>6</v>
      </c>
      <c r="B25" s="41" t="e">
        <f ca="1">B24/B18</f>
        <v>#NAME?</v>
      </c>
      <c r="C25" s="41" t="e">
        <f t="shared" ref="C25:U25" ca="1" si="149">C24/C18</f>
        <v>#NAME?</v>
      </c>
      <c r="D25" s="41" t="e">
        <f t="shared" ca="1" si="149"/>
        <v>#NAME?</v>
      </c>
      <c r="E25" s="41" t="e">
        <f t="shared" ca="1" si="149"/>
        <v>#NAME?</v>
      </c>
      <c r="F25" s="41" t="e">
        <f t="shared" ca="1" si="149"/>
        <v>#NAME?</v>
      </c>
      <c r="G25" s="41" t="e">
        <f t="shared" ca="1" si="149"/>
        <v>#NAME?</v>
      </c>
      <c r="H25" s="41" t="e">
        <f t="shared" ca="1" si="149"/>
        <v>#NAME?</v>
      </c>
      <c r="I25" s="41" t="e">
        <f t="shared" ca="1" si="149"/>
        <v>#NAME?</v>
      </c>
      <c r="J25" s="41" t="e">
        <f t="shared" ca="1" si="149"/>
        <v>#NAME?</v>
      </c>
      <c r="K25" s="41" t="e">
        <f t="shared" ca="1" si="149"/>
        <v>#NAME?</v>
      </c>
      <c r="L25" s="41" t="e">
        <f t="shared" ca="1" si="149"/>
        <v>#NAME?</v>
      </c>
      <c r="M25" s="41" t="e">
        <f t="shared" ca="1" si="149"/>
        <v>#NAME?</v>
      </c>
      <c r="N25" s="41" t="e">
        <f t="shared" ca="1" si="149"/>
        <v>#NAME?</v>
      </c>
      <c r="O25" s="41" t="e">
        <f t="shared" ca="1" si="149"/>
        <v>#NAME?</v>
      </c>
      <c r="P25" s="41" t="e">
        <f t="shared" ca="1" si="149"/>
        <v>#NAME?</v>
      </c>
      <c r="Q25" s="41" t="e">
        <f t="shared" ca="1" si="149"/>
        <v>#NAME?</v>
      </c>
      <c r="R25" s="41" t="e">
        <f t="shared" ca="1" si="149"/>
        <v>#NAME?</v>
      </c>
      <c r="S25" s="41" t="e">
        <f t="shared" ca="1" si="149"/>
        <v>#NAME?</v>
      </c>
      <c r="T25" s="41" t="e">
        <f t="shared" ca="1" si="149"/>
        <v>#NAME?</v>
      </c>
      <c r="U25" s="41" t="e">
        <f t="shared" ca="1" si="149"/>
        <v>#NAME?</v>
      </c>
      <c r="V25" s="41" t="e">
        <f ca="1">V24/V18</f>
        <v>#NAME?</v>
      </c>
      <c r="W25" s="41" t="e">
        <f ca="1">W24/W18</f>
        <v>#NAME?</v>
      </c>
      <c r="X25" s="41" t="e">
        <f ca="1">X24/X18</f>
        <v>#NAME?</v>
      </c>
      <c r="Y25" s="41" t="e">
        <f ca="1">Y24/Y18</f>
        <v>#NAME?</v>
      </c>
      <c r="Z25" s="41" t="e">
        <f ca="1">Z24/Z18</f>
        <v>#NAME?</v>
      </c>
      <c r="AA25" s="41" t="e">
        <f ca="1">AA24/AA18</f>
        <v>#NAME?</v>
      </c>
      <c r="AB25" s="42" t="e">
        <f t="shared" ref="AA25:AD25" ca="1" si="150">AB24/AB18</f>
        <v>#NAME?</v>
      </c>
      <c r="AC25" s="42" t="e">
        <f t="shared" ca="1" si="150"/>
        <v>#NAME?</v>
      </c>
      <c r="AD25" s="42" t="e">
        <f t="shared" ca="1" si="150"/>
        <v>#NAME?</v>
      </c>
      <c r="AE25" s="42" t="e">
        <f t="shared" ref="AE25" ca="1" si="151">AE24/AE18</f>
        <v>#NAME?</v>
      </c>
      <c r="AI25" s="41" t="e">
        <f t="shared" ref="AI25" ca="1" si="152">AI24/AI18</f>
        <v>#NAME?</v>
      </c>
      <c r="AJ25" s="41" t="e">
        <f t="shared" ref="AJ25" ca="1" si="153">AJ24/AJ18</f>
        <v>#NAME?</v>
      </c>
      <c r="AK25" s="41" t="e">
        <f t="shared" ref="AK25:AM25" ca="1" si="154">AK24/AK18</f>
        <v>#NAME?</v>
      </c>
      <c r="AL25" s="41" t="e">
        <f t="shared" ca="1" si="154"/>
        <v>#NAME?</v>
      </c>
      <c r="AM25" s="41" t="e">
        <f t="shared" ca="1" si="154"/>
        <v>#NAME?</v>
      </c>
      <c r="AN25" s="41" t="e">
        <f t="shared" ref="AN25:AO25" ca="1" si="155">AN24/AN18</f>
        <v>#NAME?</v>
      </c>
      <c r="AO25" s="41" t="e">
        <f t="shared" ca="1" si="155"/>
        <v>#NAME?</v>
      </c>
      <c r="AP25" s="41" t="e">
        <f t="shared" ref="AP25:CD25" ca="1" si="156">AP24/AP18</f>
        <v>#NAME?</v>
      </c>
      <c r="AQ25" s="41" t="e">
        <f t="shared" ca="1" si="156"/>
        <v>#NAME?</v>
      </c>
      <c r="AR25" s="41" t="e">
        <f t="shared" ca="1" si="156"/>
        <v>#NAME?</v>
      </c>
      <c r="AS25" s="41" t="e">
        <f t="shared" ca="1" si="156"/>
        <v>#NAME?</v>
      </c>
      <c r="AT25" s="41" t="e">
        <f t="shared" ca="1" si="156"/>
        <v>#NAME?</v>
      </c>
      <c r="AU25" s="41" t="e">
        <f t="shared" ca="1" si="156"/>
        <v>#NAME?</v>
      </c>
      <c r="AV25" s="41" t="e">
        <f t="shared" ca="1" si="156"/>
        <v>#NAME?</v>
      </c>
      <c r="AW25" s="41" t="e">
        <f t="shared" ca="1" si="156"/>
        <v>#NAME?</v>
      </c>
      <c r="AX25" s="41" t="e">
        <f t="shared" ca="1" si="156"/>
        <v>#NAME?</v>
      </c>
      <c r="AY25" s="41" t="e">
        <f t="shared" ca="1" si="156"/>
        <v>#NAME?</v>
      </c>
      <c r="AZ25" s="41" t="e">
        <f t="shared" ca="1" si="156"/>
        <v>#NAME?</v>
      </c>
      <c r="BA25" s="41" t="e">
        <f t="shared" ca="1" si="156"/>
        <v>#NAME?</v>
      </c>
      <c r="BB25" s="41" t="e">
        <f t="shared" ca="1" si="156"/>
        <v>#NAME?</v>
      </c>
      <c r="BC25" s="41" t="e">
        <f t="shared" ca="1" si="156"/>
        <v>#NAME?</v>
      </c>
      <c r="BD25" s="41" t="e">
        <f t="shared" ca="1" si="156"/>
        <v>#NAME?</v>
      </c>
      <c r="BE25" s="41" t="e">
        <f t="shared" ca="1" si="156"/>
        <v>#NAME?</v>
      </c>
      <c r="BF25" s="41" t="e">
        <f t="shared" ca="1" si="156"/>
        <v>#NAME?</v>
      </c>
      <c r="BG25" s="41" t="e">
        <f t="shared" ca="1" si="156"/>
        <v>#NAME?</v>
      </c>
      <c r="BH25" s="41" t="e">
        <f t="shared" ca="1" si="156"/>
        <v>#NAME?</v>
      </c>
      <c r="BI25" s="41" t="e">
        <f t="shared" ca="1" si="156"/>
        <v>#NAME?</v>
      </c>
      <c r="BJ25" s="41" t="e">
        <f t="shared" ca="1" si="156"/>
        <v>#NAME?</v>
      </c>
      <c r="BK25" s="41" t="e">
        <f t="shared" ca="1" si="156"/>
        <v>#NAME?</v>
      </c>
      <c r="BL25" s="41" t="e">
        <f t="shared" ca="1" si="156"/>
        <v>#NAME?</v>
      </c>
      <c r="BM25" s="41" t="e">
        <f t="shared" ca="1" si="156"/>
        <v>#NAME?</v>
      </c>
      <c r="BN25" s="41" t="e">
        <f t="shared" ca="1" si="156"/>
        <v>#NAME?</v>
      </c>
      <c r="BO25" s="41" t="e">
        <f t="shared" ca="1" si="156"/>
        <v>#NAME?</v>
      </c>
      <c r="BP25" s="41" t="e">
        <f t="shared" ca="1" si="156"/>
        <v>#NAME?</v>
      </c>
      <c r="BQ25" s="41" t="e">
        <f t="shared" ca="1" si="156"/>
        <v>#NAME?</v>
      </c>
      <c r="BR25" s="41" t="e">
        <f t="shared" ca="1" si="156"/>
        <v>#NAME?</v>
      </c>
      <c r="BS25" s="41" t="e">
        <f t="shared" ca="1" si="156"/>
        <v>#NAME?</v>
      </c>
      <c r="BT25" s="41" t="e">
        <f t="shared" ca="1" si="156"/>
        <v>#NAME?</v>
      </c>
      <c r="BU25" s="41" t="e">
        <f t="shared" ca="1" si="156"/>
        <v>#NAME?</v>
      </c>
      <c r="BV25" s="41" t="e">
        <f t="shared" ca="1" si="156"/>
        <v>#NAME?</v>
      </c>
      <c r="BW25" s="41" t="e">
        <f t="shared" ca="1" si="156"/>
        <v>#NAME?</v>
      </c>
      <c r="BX25" s="41" t="e">
        <f t="shared" ca="1" si="156"/>
        <v>#NAME?</v>
      </c>
      <c r="BY25" s="41" t="e">
        <f t="shared" ca="1" si="156"/>
        <v>#NAME?</v>
      </c>
      <c r="BZ25" s="41" t="e">
        <f t="shared" ca="1" si="156"/>
        <v>#NAME?</v>
      </c>
      <c r="CA25" s="41" t="e">
        <f t="shared" ca="1" si="156"/>
        <v>#NAME?</v>
      </c>
      <c r="CB25" s="41" t="e">
        <f t="shared" ca="1" si="156"/>
        <v>#NAME?</v>
      </c>
      <c r="CC25" s="41" t="e">
        <f t="shared" ca="1" si="156"/>
        <v>#NAME?</v>
      </c>
      <c r="CD25" s="41" t="e">
        <f t="shared" ca="1" si="156"/>
        <v>#NAME?</v>
      </c>
      <c r="CE25" s="41" t="e">
        <f t="shared" ref="CE25:CF25" ca="1" si="157">CE24/CE18</f>
        <v>#NAME?</v>
      </c>
      <c r="CF25" s="41" t="e">
        <f t="shared" ca="1" si="157"/>
        <v>#NAME?</v>
      </c>
      <c r="CG25" s="41" t="e">
        <f t="shared" ref="CG25:CH25" ca="1" si="158">CG24/CG18</f>
        <v>#NAME?</v>
      </c>
      <c r="CH25" s="41" t="e">
        <f t="shared" ca="1" si="158"/>
        <v>#NAME?</v>
      </c>
      <c r="CI25" s="41" t="e">
        <f t="shared" ref="CI25:CJ25" ca="1" si="159">CI24/CI18</f>
        <v>#NAME?</v>
      </c>
      <c r="CJ25" s="41" t="e">
        <f t="shared" ca="1" si="159"/>
        <v>#NAME?</v>
      </c>
      <c r="CK25" s="41" t="e">
        <f t="shared" ref="CK25:CL25" ca="1" si="160">CK24/CK18</f>
        <v>#NAME?</v>
      </c>
      <c r="CL25" s="41" t="e">
        <f t="shared" ca="1" si="160"/>
        <v>#NAME?</v>
      </c>
      <c r="CM25" s="42" t="e">
        <f t="shared" ref="CM25:CP25" ca="1" si="161">AVERAGE(CI25:CL25)*1.01</f>
        <v>#NAME?</v>
      </c>
      <c r="CN25" s="42" t="e">
        <f t="shared" ca="1" si="161"/>
        <v>#NAME?</v>
      </c>
      <c r="CO25" s="42" t="e">
        <f t="shared" ca="1" si="161"/>
        <v>#NAME?</v>
      </c>
      <c r="CP25" s="42" t="e">
        <f t="shared" ca="1" si="161"/>
        <v>#NAME?</v>
      </c>
      <c r="CQ25" s="42" t="e">
        <f ca="1">AVERAGE(CM25:CP25)*1.005</f>
        <v>#NAME?</v>
      </c>
      <c r="CR25" s="42" t="e">
        <f t="shared" ref="CR25:CT25" ca="1" si="162">AVERAGE(CN25:CQ25)*1.005</f>
        <v>#NAME?</v>
      </c>
      <c r="CS25" s="42" t="e">
        <f t="shared" ca="1" si="162"/>
        <v>#NAME?</v>
      </c>
      <c r="CT25" s="42" t="e">
        <f t="shared" ca="1" si="162"/>
        <v>#NAME?</v>
      </c>
      <c r="CU25" s="42" t="e">
        <f t="shared" ref="CU25:DB25" ca="1" si="163">AVERAGE(CQ25:CT25)</f>
        <v>#NAME?</v>
      </c>
      <c r="CV25" s="42" t="e">
        <f t="shared" ca="1" si="163"/>
        <v>#NAME?</v>
      </c>
      <c r="CW25" s="42" t="e">
        <f t="shared" ca="1" si="163"/>
        <v>#NAME?</v>
      </c>
      <c r="CX25" s="42" t="e">
        <f t="shared" ca="1" si="163"/>
        <v>#NAME?</v>
      </c>
      <c r="CY25" s="42" t="e">
        <f t="shared" ca="1" si="163"/>
        <v>#NAME?</v>
      </c>
      <c r="CZ25" s="42" t="e">
        <f t="shared" ca="1" si="163"/>
        <v>#NAME?</v>
      </c>
      <c r="DA25" s="42" t="e">
        <f t="shared" ca="1" si="163"/>
        <v>#NAME?</v>
      </c>
      <c r="DB25" s="42" t="e">
        <f t="shared" ca="1" si="163"/>
        <v>#NAME?</v>
      </c>
      <c r="DE25" s="125"/>
      <c r="DF25" s="41">
        <v>0.83415601460853683</v>
      </c>
    </row>
    <row r="26" spans="1:110" s="39" customFormat="1" x14ac:dyDescent="0.2">
      <c r="A26" s="39" t="s">
        <v>447</v>
      </c>
      <c r="C26" s="39" t="e">
        <f t="shared" ref="C26:AE26" ca="1" si="164">+IF(B24&lt;0,1-C24/B24,C24/B24-1)</f>
        <v>#NAME?</v>
      </c>
      <c r="D26" s="39" t="e">
        <f t="shared" ca="1" si="164"/>
        <v>#NAME?</v>
      </c>
      <c r="E26" s="39" t="e">
        <f t="shared" ca="1" si="164"/>
        <v>#NAME?</v>
      </c>
      <c r="F26" s="39" t="e">
        <f t="shared" ca="1" si="164"/>
        <v>#NAME?</v>
      </c>
      <c r="G26" s="39" t="e">
        <f t="shared" ca="1" si="164"/>
        <v>#NAME?</v>
      </c>
      <c r="H26" s="39" t="e">
        <f t="shared" ca="1" si="164"/>
        <v>#NAME?</v>
      </c>
      <c r="I26" s="39" t="e">
        <f t="shared" ca="1" si="164"/>
        <v>#NAME?</v>
      </c>
      <c r="J26" s="39" t="e">
        <f t="shared" ca="1" si="164"/>
        <v>#NAME?</v>
      </c>
      <c r="K26" s="39" t="e">
        <f t="shared" ca="1" si="164"/>
        <v>#NAME?</v>
      </c>
      <c r="L26" s="39" t="e">
        <f t="shared" ca="1" si="164"/>
        <v>#NAME?</v>
      </c>
      <c r="M26" s="39" t="e">
        <f t="shared" ca="1" si="164"/>
        <v>#NAME?</v>
      </c>
      <c r="N26" s="39" t="e">
        <f t="shared" ca="1" si="164"/>
        <v>#NAME?</v>
      </c>
      <c r="O26" s="39" t="e">
        <f t="shared" ca="1" si="164"/>
        <v>#NAME?</v>
      </c>
      <c r="P26" s="39" t="e">
        <f t="shared" ca="1" si="164"/>
        <v>#NAME?</v>
      </c>
      <c r="Q26" s="39" t="e">
        <f t="shared" ca="1" si="164"/>
        <v>#NAME?</v>
      </c>
      <c r="R26" s="39" t="e">
        <f t="shared" ca="1" si="164"/>
        <v>#NAME?</v>
      </c>
      <c r="S26" s="39" t="e">
        <f t="shared" ca="1" si="164"/>
        <v>#NAME?</v>
      </c>
      <c r="T26" s="39" t="e">
        <f t="shared" ca="1" si="164"/>
        <v>#NAME?</v>
      </c>
      <c r="U26" s="39" t="e">
        <f t="shared" ca="1" si="164"/>
        <v>#NAME?</v>
      </c>
      <c r="V26" s="39" t="e">
        <f t="shared" ca="1" si="164"/>
        <v>#NAME?</v>
      </c>
      <c r="W26" s="39" t="e">
        <f t="shared" ca="1" si="164"/>
        <v>#NAME?</v>
      </c>
      <c r="X26" s="39" t="e">
        <f t="shared" ca="1" si="164"/>
        <v>#NAME?</v>
      </c>
      <c r="Y26" s="39" t="e">
        <f t="shared" ca="1" si="164"/>
        <v>#NAME?</v>
      </c>
      <c r="Z26" s="39" t="e">
        <f t="shared" ca="1" si="164"/>
        <v>#NAME?</v>
      </c>
      <c r="AA26" s="39" t="e">
        <f t="shared" ca="1" si="164"/>
        <v>#NAME?</v>
      </c>
      <c r="AB26" s="40" t="e">
        <f t="shared" ca="1" si="164"/>
        <v>#NAME?</v>
      </c>
      <c r="AC26" s="40" t="e">
        <f t="shared" ca="1" si="164"/>
        <v>#NAME?</v>
      </c>
      <c r="AD26" s="40" t="e">
        <f t="shared" ca="1" si="164"/>
        <v>#NAME?</v>
      </c>
      <c r="AE26" s="40" t="e">
        <f t="shared" ca="1" si="164"/>
        <v>#NAME?</v>
      </c>
      <c r="AM26" s="39" t="e">
        <f ca="1">+IF(AI24&lt;0,1-AM24/AI24,AM24/AI24-1)</f>
        <v>#NAME?</v>
      </c>
      <c r="AN26" s="39" t="e">
        <f t="shared" ref="AN26" ca="1" si="165">+IF(AJ24&lt;0,1-AN24/AJ24,AN24/AJ24-1)</f>
        <v>#NAME?</v>
      </c>
      <c r="AO26" s="39" t="e">
        <f t="shared" ref="AO26" ca="1" si="166">+IF(AK24&lt;0,1-AO24/AK24,AO24/AK24-1)</f>
        <v>#NAME?</v>
      </c>
      <c r="AP26" s="39" t="e">
        <f t="shared" ref="AP26" ca="1" si="167">+IF(AL24&lt;0,1-AP24/AL24,AP24/AL24-1)</f>
        <v>#NAME?</v>
      </c>
      <c r="AQ26" s="39" t="e">
        <f t="shared" ref="AQ26" ca="1" si="168">+IF(AM24&lt;0,1-AQ24/AM24,AQ24/AM24-1)</f>
        <v>#NAME?</v>
      </c>
      <c r="AR26" s="39" t="e">
        <f t="shared" ref="AR26" ca="1" si="169">+IF(AN24&lt;0,1-AR24/AN24,AR24/AN24-1)</f>
        <v>#NAME?</v>
      </c>
      <c r="AS26" s="39" t="e">
        <f t="shared" ref="AS26" ca="1" si="170">+IF(AO24&lt;0,1-AS24/AO24,AS24/AO24-1)</f>
        <v>#NAME?</v>
      </c>
      <c r="AT26" s="39" t="e">
        <f t="shared" ref="AT26" ca="1" si="171">+IF(AP24&lt;0,1-AT24/AP24,AT24/AP24-1)</f>
        <v>#NAME?</v>
      </c>
      <c r="AU26" s="39" t="e">
        <f t="shared" ref="AU26" ca="1" si="172">+IF(AQ24&lt;0,1-AU24/AQ24,AU24/AQ24-1)</f>
        <v>#NAME?</v>
      </c>
      <c r="AV26" s="39" t="e">
        <f t="shared" ref="AV26" ca="1" si="173">+IF(AR24&lt;0,1-AV24/AR24,AV24/AR24-1)</f>
        <v>#NAME?</v>
      </c>
      <c r="AW26" s="39" t="e">
        <f t="shared" ref="AW26" ca="1" si="174">+IF(AS24&lt;0,1-AW24/AS24,AW24/AS24-1)</f>
        <v>#NAME?</v>
      </c>
      <c r="AX26" s="39" t="e">
        <f t="shared" ref="AX26" ca="1" si="175">+IF(AT24&lt;0,1-AX24/AT24,AX24/AT24-1)</f>
        <v>#NAME?</v>
      </c>
      <c r="AY26" s="39" t="e">
        <f t="shared" ref="AY26" ca="1" si="176">+IF(AU24&lt;0,1-AY24/AU24,AY24/AU24-1)</f>
        <v>#NAME?</v>
      </c>
      <c r="AZ26" s="39" t="e">
        <f t="shared" ref="AZ26" ca="1" si="177">+IF(AV24&lt;0,1-AZ24/AV24,AZ24/AV24-1)</f>
        <v>#NAME?</v>
      </c>
      <c r="BA26" s="39" t="e">
        <f t="shared" ref="BA26" ca="1" si="178">+IF(AW24&lt;0,1-BA24/AW24,BA24/AW24-1)</f>
        <v>#NAME?</v>
      </c>
      <c r="BB26" s="39" t="e">
        <f t="shared" ref="BB26" ca="1" si="179">+IF(AX24&lt;0,1-BB24/AX24,BB24/AX24-1)</f>
        <v>#NAME?</v>
      </c>
      <c r="BC26" s="39" t="e">
        <f t="shared" ref="BC26" ca="1" si="180">+IF(AY24&lt;0,1-BC24/AY24,BC24/AY24-1)</f>
        <v>#NAME?</v>
      </c>
      <c r="BD26" s="39" t="e">
        <f t="shared" ref="BD26" ca="1" si="181">+IF(AZ24&lt;0,1-BD24/AZ24,BD24/AZ24-1)</f>
        <v>#NAME?</v>
      </c>
      <c r="BE26" s="39" t="e">
        <f t="shared" ref="BE26" ca="1" si="182">+IF(BA24&lt;0,1-BE24/BA24,BE24/BA24-1)</f>
        <v>#NAME?</v>
      </c>
      <c r="BF26" s="39" t="e">
        <f t="shared" ref="BF26" ca="1" si="183">+IF(BB24&lt;0,1-BF24/BB24,BF24/BB24-1)</f>
        <v>#NAME?</v>
      </c>
      <c r="BG26" s="39" t="e">
        <f t="shared" ref="BG26" ca="1" si="184">+IF(BC24&lt;0,1-BG24/BC24,BG24/BC24-1)</f>
        <v>#NAME?</v>
      </c>
      <c r="BH26" s="39" t="e">
        <f t="shared" ref="BH26" ca="1" si="185">+IF(BD24&lt;0,1-BH24/BD24,BH24/BD24-1)</f>
        <v>#NAME?</v>
      </c>
      <c r="BI26" s="39" t="e">
        <f t="shared" ref="BI26" ca="1" si="186">+IF(BE24&lt;0,1-BI24/BE24,BI24/BE24-1)</f>
        <v>#NAME?</v>
      </c>
      <c r="BJ26" s="39" t="e">
        <f t="shared" ref="BJ26" ca="1" si="187">+IF(BF24&lt;0,1-BJ24/BF24,BJ24/BF24-1)</f>
        <v>#NAME?</v>
      </c>
      <c r="BK26" s="39" t="e">
        <f t="shared" ref="BK26" ca="1" si="188">+IF(BG24&lt;0,1-BK24/BG24,BK24/BG24-1)</f>
        <v>#NAME?</v>
      </c>
      <c r="BL26" s="39" t="e">
        <f t="shared" ref="BL26" ca="1" si="189">+IF(BH24&lt;0,1-BL24/BH24,BL24/BH24-1)</f>
        <v>#NAME?</v>
      </c>
      <c r="BM26" s="39" t="e">
        <f t="shared" ref="BM26" ca="1" si="190">+IF(BI24&lt;0,1-BM24/BI24,BM24/BI24-1)</f>
        <v>#NAME?</v>
      </c>
      <c r="BN26" s="39" t="e">
        <f t="shared" ref="BN26" ca="1" si="191">+IF(BJ24&lt;0,1-BN24/BJ24,BN24/BJ24-1)</f>
        <v>#NAME?</v>
      </c>
      <c r="BO26" s="39" t="e">
        <f t="shared" ref="BO26" ca="1" si="192">+IF(BK24&lt;0,1-BO24/BK24,BO24/BK24-1)</f>
        <v>#NAME?</v>
      </c>
      <c r="BP26" s="39" t="e">
        <f t="shared" ref="BP26" ca="1" si="193">+IF(BL24&lt;0,1-BP24/BL24,BP24/BL24-1)</f>
        <v>#NAME?</v>
      </c>
      <c r="BQ26" s="39" t="e">
        <f t="shared" ref="BQ26" ca="1" si="194">+IF(BM24&lt;0,1-BQ24/BM24,BQ24/BM24-1)</f>
        <v>#NAME?</v>
      </c>
      <c r="BR26" s="39" t="e">
        <f t="shared" ref="BR26" ca="1" si="195">+IF(BN24&lt;0,1-BR24/BN24,BR24/BN24-1)</f>
        <v>#NAME?</v>
      </c>
      <c r="BS26" s="39" t="e">
        <f t="shared" ref="BS26" ca="1" si="196">+IF(BO24&lt;0,1-BS24/BO24,BS24/BO24-1)</f>
        <v>#NAME?</v>
      </c>
      <c r="BT26" s="39" t="e">
        <f t="shared" ref="BT26" ca="1" si="197">+IF(BP24&lt;0,1-BT24/BP24,BT24/BP24-1)</f>
        <v>#NAME?</v>
      </c>
      <c r="BU26" s="39" t="e">
        <f t="shared" ref="BU26" ca="1" si="198">+IF(BQ24&lt;0,1-BU24/BQ24,BU24/BQ24-1)</f>
        <v>#NAME?</v>
      </c>
      <c r="BV26" s="39" t="e">
        <f t="shared" ref="BV26" ca="1" si="199">+IF(BR24&lt;0,1-BV24/BR24,BV24/BR24-1)</f>
        <v>#NAME?</v>
      </c>
      <c r="BW26" s="39" t="e">
        <f t="shared" ref="BW26" ca="1" si="200">+IF(BS24&lt;0,1-BW24/BS24,BW24/BS24-1)</f>
        <v>#NAME?</v>
      </c>
      <c r="BX26" s="39" t="e">
        <f t="shared" ref="BX26" ca="1" si="201">+IF(BT24&lt;0,1-BX24/BT24,BX24/BT24-1)</f>
        <v>#NAME?</v>
      </c>
      <c r="BY26" s="39" t="e">
        <f t="shared" ref="BY26" ca="1" si="202">+IF(BU24&lt;0,1-BY24/BU24,BY24/BU24-1)</f>
        <v>#NAME?</v>
      </c>
      <c r="BZ26" s="39" t="e">
        <f t="shared" ref="BZ26" ca="1" si="203">+IF(BV24&lt;0,1-BZ24/BV24,BZ24/BV24-1)</f>
        <v>#NAME?</v>
      </c>
      <c r="CA26" s="39" t="e">
        <f t="shared" ref="CA26" ca="1" si="204">+IF(BW24&lt;0,1-CA24/BW24,CA24/BW24-1)</f>
        <v>#NAME?</v>
      </c>
      <c r="CB26" s="39" t="e">
        <f t="shared" ref="CB26" ca="1" si="205">+IF(BX24&lt;0,1-CB24/BX24,CB24/BX24-1)</f>
        <v>#NAME?</v>
      </c>
      <c r="CC26" s="39" t="e">
        <f t="shared" ref="CC26" ca="1" si="206">+IF(BY24&lt;0,1-CC24/BY24,CC24/BY24-1)</f>
        <v>#NAME?</v>
      </c>
      <c r="CD26" s="39" t="e">
        <f t="shared" ref="CD26" ca="1" si="207">+IF(BZ24&lt;0,1-CD24/BZ24,CD24/BZ24-1)</f>
        <v>#NAME?</v>
      </c>
      <c r="CE26" s="39" t="e">
        <f t="shared" ref="CE26" ca="1" si="208">+IF(CA24&lt;0,1-CE24/CA24,CE24/CA24-1)</f>
        <v>#NAME?</v>
      </c>
      <c r="CF26" s="39" t="e">
        <f t="shared" ref="CF26" ca="1" si="209">+IF(CB24&lt;0,1-CF24/CB24,CF24/CB24-1)</f>
        <v>#NAME?</v>
      </c>
      <c r="CG26" s="39" t="e">
        <f t="shared" ref="CG26" ca="1" si="210">+IF(CC24&lt;0,1-CG24/CC24,CG24/CC24-1)</f>
        <v>#NAME?</v>
      </c>
      <c r="CH26" s="39" t="e">
        <f t="shared" ref="CH26:CL26" ca="1" si="211">+IF(CD24&lt;0,1-CH24/CD24,CH24/CD24-1)</f>
        <v>#NAME?</v>
      </c>
      <c r="CI26" s="39" t="e">
        <f t="shared" ca="1" si="211"/>
        <v>#NAME?</v>
      </c>
      <c r="CJ26" s="39" t="e">
        <f t="shared" ca="1" si="211"/>
        <v>#NAME?</v>
      </c>
      <c r="CK26" s="39" t="e">
        <f t="shared" ca="1" si="211"/>
        <v>#NAME?</v>
      </c>
      <c r="CL26" s="39" t="e">
        <f t="shared" ca="1" si="211"/>
        <v>#NAME?</v>
      </c>
      <c r="CM26" s="40" t="e">
        <f t="shared" ref="CM26" ca="1" si="212">+CM24/CI24-1</f>
        <v>#NAME?</v>
      </c>
      <c r="CN26" s="40" t="e">
        <f t="shared" ref="CN26" ca="1" si="213">+CN24/CJ24-1</f>
        <v>#NAME?</v>
      </c>
      <c r="CO26" s="40" t="e">
        <f t="shared" ref="CO26" ca="1" si="214">+CO24/CK24-1</f>
        <v>#NAME?</v>
      </c>
      <c r="CP26" s="40" t="e">
        <f t="shared" ref="CP26" ca="1" si="215">+CP24/CL24-1</f>
        <v>#NAME?</v>
      </c>
      <c r="CQ26" s="40" t="e">
        <f t="shared" ref="CQ26" ca="1" si="216">+CQ24/CM24-1</f>
        <v>#NAME?</v>
      </c>
      <c r="CR26" s="40" t="e">
        <f t="shared" ref="CR26" ca="1" si="217">+CR24/CN24-1</f>
        <v>#NAME?</v>
      </c>
      <c r="CS26" s="40" t="e">
        <f t="shared" ref="CS26" ca="1" si="218">+CS24/CO24-1</f>
        <v>#NAME?</v>
      </c>
      <c r="CT26" s="40" t="e">
        <f t="shared" ref="CT26" ca="1" si="219">+CT24/CP24-1</f>
        <v>#NAME?</v>
      </c>
      <c r="CU26" s="40" t="e">
        <f t="shared" ref="CU26" ca="1" si="220">+CU24/CQ24-1</f>
        <v>#NAME?</v>
      </c>
      <c r="CV26" s="40" t="e">
        <f t="shared" ref="CV26" ca="1" si="221">+CV24/CR24-1</f>
        <v>#NAME?</v>
      </c>
      <c r="CW26" s="40" t="e">
        <f t="shared" ref="CW26" ca="1" si="222">+CW24/CS24-1</f>
        <v>#NAME?</v>
      </c>
      <c r="CX26" s="40" t="e">
        <f t="shared" ref="CX26" ca="1" si="223">+CX24/CT24-1</f>
        <v>#NAME?</v>
      </c>
      <c r="CY26" s="40" t="e">
        <f t="shared" ref="CY26" ca="1" si="224">+CY24/CU24-1</f>
        <v>#NAME?</v>
      </c>
      <c r="CZ26" s="40" t="e">
        <f t="shared" ref="CZ26" ca="1" si="225">+CZ24/CV24-1</f>
        <v>#NAME?</v>
      </c>
      <c r="DA26" s="40" t="e">
        <f t="shared" ref="DA26" ca="1" si="226">+DA24/CW24-1</f>
        <v>#NAME?</v>
      </c>
      <c r="DB26" s="40" t="e">
        <f t="shared" ref="DB26" ca="1" si="227">+DB24/CX24-1</f>
        <v>#NAME?</v>
      </c>
      <c r="DE26" s="122"/>
      <c r="DF26" s="39">
        <v>0.18834251049995432</v>
      </c>
    </row>
    <row r="27" spans="1:110" s="39" customFormat="1" x14ac:dyDescent="0.2">
      <c r="A27" s="39" t="s">
        <v>448</v>
      </c>
      <c r="AB27" s="40"/>
      <c r="AC27" s="40"/>
      <c r="AD27" s="40"/>
      <c r="AE27" s="40"/>
      <c r="AJ27" s="39" t="e">
        <f ca="1">+IF(AI24&lt;0,1-AJ24/AI24,AJ24/AI24-1)</f>
        <v>#NAME?</v>
      </c>
      <c r="AK27" s="39" t="e">
        <f t="shared" ref="AK27" ca="1" si="228">+IF(AJ24&lt;0,1-AK24/AJ24,AK24/AJ24-1)</f>
        <v>#NAME?</v>
      </c>
      <c r="AL27" s="39" t="e">
        <f t="shared" ref="AL27" ca="1" si="229">+IF(AK24&lt;0,1-AL24/AK24,AL24/AK24-1)</f>
        <v>#NAME?</v>
      </c>
      <c r="AM27" s="39" t="e">
        <f t="shared" ref="AM27" ca="1" si="230">+IF(AL24&lt;0,1-AM24/AL24,AM24/AL24-1)</f>
        <v>#NAME?</v>
      </c>
      <c r="AN27" s="39" t="e">
        <f t="shared" ref="AN27" ca="1" si="231">+IF(AM24&lt;0,1-AN24/AM24,AN24/AM24-1)</f>
        <v>#NAME?</v>
      </c>
      <c r="AO27" s="39" t="e">
        <f t="shared" ref="AO27" ca="1" si="232">+IF(AN24&lt;0,1-AO24/AN24,AO24/AN24-1)</f>
        <v>#NAME?</v>
      </c>
      <c r="AP27" s="39" t="e">
        <f t="shared" ref="AP27" ca="1" si="233">+IF(AO24&lt;0,1-AP24/AO24,AP24/AO24-1)</f>
        <v>#NAME?</v>
      </c>
      <c r="AQ27" s="39" t="e">
        <f t="shared" ref="AQ27" ca="1" si="234">+IF(AP24&lt;0,1-AQ24/AP24,AQ24/AP24-1)</f>
        <v>#NAME?</v>
      </c>
      <c r="AR27" s="39" t="e">
        <f t="shared" ref="AR27" ca="1" si="235">+IF(AQ24&lt;0,1-AR24/AQ24,AR24/AQ24-1)</f>
        <v>#NAME?</v>
      </c>
      <c r="AS27" s="39" t="e">
        <f t="shared" ref="AS27" ca="1" si="236">+IF(AR24&lt;0,1-AS24/AR24,AS24/AR24-1)</f>
        <v>#NAME?</v>
      </c>
      <c r="AT27" s="39" t="e">
        <f t="shared" ref="AT27" ca="1" si="237">+IF(AS24&lt;0,1-AT24/AS24,AT24/AS24-1)</f>
        <v>#NAME?</v>
      </c>
      <c r="AU27" s="39" t="e">
        <f t="shared" ref="AU27" ca="1" si="238">+IF(AT24&lt;0,1-AU24/AT24,AU24/AT24-1)</f>
        <v>#NAME?</v>
      </c>
      <c r="AV27" s="39" t="e">
        <f t="shared" ref="AV27" ca="1" si="239">+IF(AU24&lt;0,1-AV24/AU24,AV24/AU24-1)</f>
        <v>#NAME?</v>
      </c>
      <c r="AW27" s="39" t="e">
        <f t="shared" ref="AW27" ca="1" si="240">+IF(AV24&lt;0,1-AW24/AV24,AW24/AV24-1)</f>
        <v>#NAME?</v>
      </c>
      <c r="AX27" s="39" t="e">
        <f t="shared" ref="AX27" ca="1" si="241">+IF(AW24&lt;0,1-AX24/AW24,AX24/AW24-1)</f>
        <v>#NAME?</v>
      </c>
      <c r="AY27" s="39" t="e">
        <f t="shared" ref="AY27" ca="1" si="242">+IF(AX24&lt;0,1-AY24/AX24,AY24/AX24-1)</f>
        <v>#NAME?</v>
      </c>
      <c r="AZ27" s="39" t="e">
        <f t="shared" ref="AZ27" ca="1" si="243">+IF(AY24&lt;0,1-AZ24/AY24,AZ24/AY24-1)</f>
        <v>#NAME?</v>
      </c>
      <c r="BA27" s="39" t="e">
        <f t="shared" ref="BA27" ca="1" si="244">+IF(AZ24&lt;0,1-BA24/AZ24,BA24/AZ24-1)</f>
        <v>#NAME?</v>
      </c>
      <c r="BB27" s="39" t="e">
        <f t="shared" ref="BB27" ca="1" si="245">+IF(BA24&lt;0,1-BB24/BA24,BB24/BA24-1)</f>
        <v>#NAME?</v>
      </c>
      <c r="BC27" s="39" t="e">
        <f t="shared" ref="BC27" ca="1" si="246">+IF(BB24&lt;0,1-BC24/BB24,BC24/BB24-1)</f>
        <v>#NAME?</v>
      </c>
      <c r="BD27" s="39" t="e">
        <f t="shared" ref="BD27" ca="1" si="247">+IF(BC24&lt;0,1-BD24/BC24,BD24/BC24-1)</f>
        <v>#NAME?</v>
      </c>
      <c r="BE27" s="39" t="e">
        <f t="shared" ref="BE27" ca="1" si="248">+IF(BD24&lt;0,1-BE24/BD24,BE24/BD24-1)</f>
        <v>#NAME?</v>
      </c>
      <c r="BF27" s="39" t="e">
        <f t="shared" ref="BF27" ca="1" si="249">+IF(BE24&lt;0,1-BF24/BE24,BF24/BE24-1)</f>
        <v>#NAME?</v>
      </c>
      <c r="BG27" s="39" t="e">
        <f t="shared" ref="BG27" ca="1" si="250">+IF(BF24&lt;0,1-BG24/BF24,BG24/BF24-1)</f>
        <v>#NAME?</v>
      </c>
      <c r="BH27" s="39" t="e">
        <f t="shared" ref="BH27" ca="1" si="251">+IF(BG24&lt;0,1-BH24/BG24,BH24/BG24-1)</f>
        <v>#NAME?</v>
      </c>
      <c r="BI27" s="39" t="e">
        <f t="shared" ref="BI27" ca="1" si="252">+IF(BH24&lt;0,1-BI24/BH24,BI24/BH24-1)</f>
        <v>#NAME?</v>
      </c>
      <c r="BJ27" s="39" t="e">
        <f t="shared" ref="BJ27" ca="1" si="253">+IF(BI24&lt;0,1-BJ24/BI24,BJ24/BI24-1)</f>
        <v>#NAME?</v>
      </c>
      <c r="BK27" s="39" t="e">
        <f t="shared" ref="BK27" ca="1" si="254">+IF(BJ24&lt;0,1-BK24/BJ24,BK24/BJ24-1)</f>
        <v>#NAME?</v>
      </c>
      <c r="BL27" s="39" t="e">
        <f t="shared" ref="BL27" ca="1" si="255">+IF(BK24&lt;0,1-BL24/BK24,BL24/BK24-1)</f>
        <v>#NAME?</v>
      </c>
      <c r="BM27" s="39" t="e">
        <f t="shared" ref="BM27" ca="1" si="256">+IF(BL24&lt;0,1-BM24/BL24,BM24/BL24-1)</f>
        <v>#NAME?</v>
      </c>
      <c r="BN27" s="39" t="e">
        <f t="shared" ref="BN27" ca="1" si="257">+IF(BM24&lt;0,1-BN24/BM24,BN24/BM24-1)</f>
        <v>#NAME?</v>
      </c>
      <c r="BO27" s="39" t="e">
        <f t="shared" ref="BO27" ca="1" si="258">+IF(BN24&lt;0,1-BO24/BN24,BO24/BN24-1)</f>
        <v>#NAME?</v>
      </c>
      <c r="BP27" s="39" t="e">
        <f t="shared" ref="BP27" ca="1" si="259">+IF(BO24&lt;0,1-BP24/BO24,BP24/BO24-1)</f>
        <v>#NAME?</v>
      </c>
      <c r="BQ27" s="39" t="e">
        <f t="shared" ref="BQ27" ca="1" si="260">+IF(BP24&lt;0,1-BQ24/BP24,BQ24/BP24-1)</f>
        <v>#NAME?</v>
      </c>
      <c r="BR27" s="39" t="e">
        <f t="shared" ref="BR27" ca="1" si="261">+IF(BQ24&lt;0,1-BR24/BQ24,BR24/BQ24-1)</f>
        <v>#NAME?</v>
      </c>
      <c r="BS27" s="39" t="e">
        <f t="shared" ref="BS27" ca="1" si="262">+IF(BR24&lt;0,1-BS24/BR24,BS24/BR24-1)</f>
        <v>#NAME?</v>
      </c>
      <c r="BT27" s="39" t="e">
        <f t="shared" ref="BT27" ca="1" si="263">+IF(BS24&lt;0,1-BT24/BS24,BT24/BS24-1)</f>
        <v>#NAME?</v>
      </c>
      <c r="BU27" s="39" t="e">
        <f t="shared" ref="BU27" ca="1" si="264">+IF(BT24&lt;0,1-BU24/BT24,BU24/BT24-1)</f>
        <v>#NAME?</v>
      </c>
      <c r="BV27" s="39" t="e">
        <f t="shared" ref="BV27" ca="1" si="265">+IF(BU24&lt;0,1-BV24/BU24,BV24/BU24-1)</f>
        <v>#NAME?</v>
      </c>
      <c r="BW27" s="39" t="e">
        <f t="shared" ref="BW27" ca="1" si="266">+IF(BV24&lt;0,1-BW24/BV24,BW24/BV24-1)</f>
        <v>#NAME?</v>
      </c>
      <c r="BX27" s="39" t="e">
        <f t="shared" ref="BX27" ca="1" si="267">+IF(BW24&lt;0,1-BX24/BW24,BX24/BW24-1)</f>
        <v>#NAME?</v>
      </c>
      <c r="BY27" s="39" t="e">
        <f t="shared" ref="BY27" ca="1" si="268">+IF(BX24&lt;0,1-BY24/BX24,BY24/BX24-1)</f>
        <v>#NAME?</v>
      </c>
      <c r="BZ27" s="39" t="e">
        <f t="shared" ref="BZ27" ca="1" si="269">+IF(BY24&lt;0,1-BZ24/BY24,BZ24/BY24-1)</f>
        <v>#NAME?</v>
      </c>
      <c r="CA27" s="39" t="e">
        <f t="shared" ref="CA27" ca="1" si="270">+IF(BZ24&lt;0,1-CA24/BZ24,CA24/BZ24-1)</f>
        <v>#NAME?</v>
      </c>
      <c r="CB27" s="39" t="e">
        <f t="shared" ref="CB27" ca="1" si="271">+IF(CA24&lt;0,1-CB24/CA24,CB24/CA24-1)</f>
        <v>#NAME?</v>
      </c>
      <c r="CC27" s="39" t="e">
        <f t="shared" ref="CC27" ca="1" si="272">+IF(CB24&lt;0,1-CC24/CB24,CC24/CB24-1)</f>
        <v>#NAME?</v>
      </c>
      <c r="CD27" s="39" t="e">
        <f t="shared" ref="CD27" ca="1" si="273">+IF(CC24&lt;0,1-CD24/CC24,CD24/CC24-1)</f>
        <v>#NAME?</v>
      </c>
      <c r="CE27" s="39" t="e">
        <f t="shared" ref="CE27" ca="1" si="274">+IF(CD24&lt;0,1-CE24/CD24,CE24/CD24-1)</f>
        <v>#NAME?</v>
      </c>
      <c r="CF27" s="39" t="e">
        <f t="shared" ref="CF27" ca="1" si="275">+IF(CE24&lt;0,1-CF24/CE24,CF24/CE24-1)</f>
        <v>#NAME?</v>
      </c>
      <c r="CG27" s="39" t="e">
        <f t="shared" ref="CG27" ca="1" si="276">+IF(CF24&lt;0,1-CG24/CF24,CG24/CF24-1)</f>
        <v>#NAME?</v>
      </c>
      <c r="CH27" s="39" t="e">
        <f t="shared" ref="CH27:CL27" ca="1" si="277">+IF(CG24&lt;0,1-CH24/CG24,CH24/CG24-1)</f>
        <v>#NAME?</v>
      </c>
      <c r="CI27" s="39" t="e">
        <f t="shared" ca="1" si="277"/>
        <v>#NAME?</v>
      </c>
      <c r="CJ27" s="39" t="e">
        <f t="shared" ca="1" si="277"/>
        <v>#NAME?</v>
      </c>
      <c r="CK27" s="39" t="e">
        <f t="shared" ca="1" si="277"/>
        <v>#NAME?</v>
      </c>
      <c r="CL27" s="39" t="e">
        <f t="shared" ca="1" si="277"/>
        <v>#NAME?</v>
      </c>
      <c r="CM27" s="40" t="e">
        <f t="shared" ref="CM27" ca="1" si="278">+CM24/CL24-1</f>
        <v>#NAME?</v>
      </c>
      <c r="CN27" s="40" t="e">
        <f t="shared" ref="CN27" ca="1" si="279">+CN24/CM24-1</f>
        <v>#NAME?</v>
      </c>
      <c r="CO27" s="40" t="e">
        <f t="shared" ref="CO27" ca="1" si="280">+CO24/CN24-1</f>
        <v>#NAME?</v>
      </c>
      <c r="CP27" s="40" t="e">
        <f t="shared" ref="CP27" ca="1" si="281">+CP24/CO24-1</f>
        <v>#NAME?</v>
      </c>
      <c r="CQ27" s="40" t="e">
        <f t="shared" ref="CQ27" ca="1" si="282">+CQ24/CP24-1</f>
        <v>#NAME?</v>
      </c>
      <c r="CR27" s="40" t="e">
        <f t="shared" ref="CR27" ca="1" si="283">+CR24/CQ24-1</f>
        <v>#NAME?</v>
      </c>
      <c r="CS27" s="40" t="e">
        <f t="shared" ref="CS27" ca="1" si="284">+CS24/CR24-1</f>
        <v>#NAME?</v>
      </c>
      <c r="CT27" s="40" t="e">
        <f t="shared" ref="CT27" ca="1" si="285">+CT24/CS24-1</f>
        <v>#NAME?</v>
      </c>
      <c r="CU27" s="40" t="e">
        <f t="shared" ref="CU27" ca="1" si="286">+CU24/CT24-1</f>
        <v>#NAME?</v>
      </c>
      <c r="CV27" s="40" t="e">
        <f t="shared" ref="CV27" ca="1" si="287">+CV24/CU24-1</f>
        <v>#NAME?</v>
      </c>
      <c r="CW27" s="40" t="e">
        <f t="shared" ref="CW27" ca="1" si="288">+CW24/CV24-1</f>
        <v>#NAME?</v>
      </c>
      <c r="CX27" s="40" t="e">
        <f t="shared" ref="CX27" ca="1" si="289">+CX24/CW24-1</f>
        <v>#NAME?</v>
      </c>
      <c r="CY27" s="40" t="e">
        <f t="shared" ref="CY27" ca="1" si="290">+CY24/CX24-1</f>
        <v>#NAME?</v>
      </c>
      <c r="CZ27" s="40" t="e">
        <f t="shared" ref="CZ27" ca="1" si="291">+CZ24/CY24-1</f>
        <v>#NAME?</v>
      </c>
      <c r="DA27" s="40" t="e">
        <f t="shared" ref="DA27" ca="1" si="292">+DA24/CZ24-1</f>
        <v>#NAME?</v>
      </c>
      <c r="DB27" s="40" t="e">
        <f t="shared" ref="DB27" ca="1" si="293">+DB24/DA24-1</f>
        <v>#NAME?</v>
      </c>
      <c r="DE27" s="122"/>
    </row>
    <row r="28" spans="1:110" s="23" customFormat="1" outlineLevel="1" x14ac:dyDescent="0.2">
      <c r="A28" s="23" t="s">
        <v>8</v>
      </c>
      <c r="B28" s="23" t="e">
        <f ca="1">'Annual Raw'!C14</f>
        <v>#NAME?</v>
      </c>
      <c r="C28" s="23" t="e">
        <f ca="1">'Annual Raw'!D14</f>
        <v>#NAME?</v>
      </c>
      <c r="D28" s="23" t="e">
        <f ca="1">'Annual Raw'!E14</f>
        <v>#NAME?</v>
      </c>
      <c r="E28" s="23" t="e">
        <f ca="1">'Annual Raw'!F14</f>
        <v>#NAME?</v>
      </c>
      <c r="F28" s="23" t="e">
        <f ca="1">'Annual Raw'!G14</f>
        <v>#NAME?</v>
      </c>
      <c r="G28" s="23" t="e">
        <f ca="1">'Annual Raw'!H14</f>
        <v>#NAME?</v>
      </c>
      <c r="H28" s="23" t="e">
        <f ca="1">'Annual Raw'!I14</f>
        <v>#NAME?</v>
      </c>
      <c r="I28" s="23" t="e">
        <f ca="1">'Annual Raw'!J14</f>
        <v>#NAME?</v>
      </c>
      <c r="J28" s="23" t="e">
        <f ca="1">'Annual Raw'!K14</f>
        <v>#NAME?</v>
      </c>
      <c r="K28" s="23" t="e">
        <f ca="1">'Annual Raw'!L14</f>
        <v>#NAME?</v>
      </c>
      <c r="L28" s="23" t="e">
        <f ca="1">'Annual Raw'!M14</f>
        <v>#NAME?</v>
      </c>
      <c r="M28" s="23" t="e">
        <f ca="1">'Annual Raw'!N14</f>
        <v>#NAME?</v>
      </c>
      <c r="N28" s="23" t="e">
        <f ca="1">'Annual Raw'!O14</f>
        <v>#NAME?</v>
      </c>
      <c r="O28" s="23" t="e">
        <f ca="1">'Annual Raw'!P14</f>
        <v>#NAME?</v>
      </c>
      <c r="P28" s="23" t="e">
        <f ca="1">'Annual Raw'!Q14</f>
        <v>#NAME?</v>
      </c>
      <c r="Q28" s="23" t="e">
        <f ca="1">'Annual Raw'!R14</f>
        <v>#NAME?</v>
      </c>
      <c r="R28" s="23" t="e">
        <f ca="1">'Annual Raw'!S14</f>
        <v>#NAME?</v>
      </c>
      <c r="S28" s="23" t="e">
        <f ca="1">'Annual Raw'!T14</f>
        <v>#NAME?</v>
      </c>
      <c r="T28" s="23" t="e">
        <f ca="1">'Annual Raw'!U14</f>
        <v>#NAME?</v>
      </c>
      <c r="U28" s="23" t="e">
        <f ca="1">'Annual Raw'!V14</f>
        <v>#NAME?</v>
      </c>
      <c r="V28" s="23" t="e">
        <f ca="1">'Annual Raw'!W14</f>
        <v>#NAME?</v>
      </c>
      <c r="W28" s="23" t="e">
        <f ca="1">'Annual Raw'!X14</f>
        <v>#NAME?</v>
      </c>
      <c r="X28" s="23" t="e">
        <f ca="1">'Annual Raw'!Y14</f>
        <v>#NAME?</v>
      </c>
      <c r="Y28" s="23" t="e">
        <f ca="1">'Annual Raw'!Z14</f>
        <v>#NAME?</v>
      </c>
      <c r="Z28" s="23" t="e">
        <f ca="1">'Annual Raw'!AA14</f>
        <v>#NAME?</v>
      </c>
      <c r="AA28" s="23" t="e">
        <f ca="1">'Annual Raw'!AB14</f>
        <v>#NAME?</v>
      </c>
      <c r="AB28" s="76" t="e">
        <f t="shared" ref="AB28:AB33" ca="1" si="294">+SUM(CM28:CP28)</f>
        <v>#NAME?</v>
      </c>
      <c r="AC28" s="76" t="e">
        <f t="shared" ref="AC28:AC33" ca="1" si="295">+SUM(CQ28:CT28)</f>
        <v>#NAME?</v>
      </c>
      <c r="AD28" s="76" t="e">
        <f t="shared" ref="AD28:AD33" ca="1" si="296">+SUM(CU28:CX28)</f>
        <v>#NAME?</v>
      </c>
      <c r="AE28" s="76" t="e">
        <f t="shared" ref="AE28:AE33" ca="1" si="297">+SUM(CY28:DB28)</f>
        <v>#NAME?</v>
      </c>
      <c r="AI28" s="23" t="e">
        <f ca="1">'QTR Raw'!C16</f>
        <v>#NAME?</v>
      </c>
      <c r="AJ28" s="23" t="e">
        <f ca="1">'QTR Raw'!D16</f>
        <v>#NAME?</v>
      </c>
      <c r="AK28" s="23" t="e">
        <f ca="1">'QTR Raw'!E16</f>
        <v>#NAME?</v>
      </c>
      <c r="AL28" s="23" t="e">
        <f ca="1">'QTR Raw'!F16</f>
        <v>#NAME?</v>
      </c>
      <c r="AM28" s="23" t="e">
        <f ca="1">'QTR Raw'!G16</f>
        <v>#NAME?</v>
      </c>
      <c r="AN28" s="23" t="e">
        <f ca="1">'QTR Raw'!H16</f>
        <v>#NAME?</v>
      </c>
      <c r="AO28" s="23" t="e">
        <f ca="1">'QTR Raw'!I16</f>
        <v>#NAME?</v>
      </c>
      <c r="AP28" s="23" t="e">
        <f ca="1">'QTR Raw'!J16</f>
        <v>#NAME?</v>
      </c>
      <c r="AQ28" s="23" t="e">
        <f ca="1">'QTR Raw'!K16</f>
        <v>#NAME?</v>
      </c>
      <c r="AR28" s="23" t="e">
        <f ca="1">'QTR Raw'!L16</f>
        <v>#NAME?</v>
      </c>
      <c r="AS28" s="23" t="e">
        <f ca="1">'QTR Raw'!M16</f>
        <v>#NAME?</v>
      </c>
      <c r="AT28" s="23" t="e">
        <f ca="1">'QTR Raw'!N16</f>
        <v>#NAME?</v>
      </c>
      <c r="AU28" s="23" t="e">
        <f ca="1">'QTR Raw'!O16</f>
        <v>#NAME?</v>
      </c>
      <c r="AV28" s="23" t="e">
        <f ca="1">'QTR Raw'!P16</f>
        <v>#NAME?</v>
      </c>
      <c r="AW28" s="23" t="e">
        <f ca="1">'QTR Raw'!Q16</f>
        <v>#NAME?</v>
      </c>
      <c r="AX28" s="23" t="e">
        <f ca="1">'QTR Raw'!R16</f>
        <v>#NAME?</v>
      </c>
      <c r="AY28" s="23" t="e">
        <f ca="1">'QTR Raw'!S16</f>
        <v>#NAME?</v>
      </c>
      <c r="AZ28" s="23" t="e">
        <f ca="1">'QTR Raw'!T16</f>
        <v>#NAME?</v>
      </c>
      <c r="BA28" s="23" t="e">
        <f ca="1">'QTR Raw'!U16</f>
        <v>#NAME?</v>
      </c>
      <c r="BB28" s="23" t="e">
        <f ca="1">'QTR Raw'!V16</f>
        <v>#NAME?</v>
      </c>
      <c r="BC28" s="23" t="e">
        <f ca="1">'QTR Raw'!W16</f>
        <v>#NAME?</v>
      </c>
      <c r="BD28" s="23" t="e">
        <f ca="1">'QTR Raw'!X16</f>
        <v>#NAME?</v>
      </c>
      <c r="BE28" s="23" t="e">
        <f ca="1">'QTR Raw'!Y16</f>
        <v>#NAME?</v>
      </c>
      <c r="BF28" s="23" t="e">
        <f ca="1">'QTR Raw'!Z16</f>
        <v>#NAME?</v>
      </c>
      <c r="BG28" s="23" t="e">
        <f ca="1">'QTR Raw'!AA16</f>
        <v>#NAME?</v>
      </c>
      <c r="BH28" s="23" t="e">
        <f ca="1">'QTR Raw'!AB16</f>
        <v>#NAME?</v>
      </c>
      <c r="BI28" s="23" t="e">
        <f ca="1">'QTR Raw'!AC16</f>
        <v>#NAME?</v>
      </c>
      <c r="BJ28" s="23" t="e">
        <f ca="1">'QTR Raw'!AD16</f>
        <v>#NAME?</v>
      </c>
      <c r="BK28" s="23" t="e">
        <f ca="1">'QTR Raw'!AE16</f>
        <v>#NAME?</v>
      </c>
      <c r="BL28" s="23" t="e">
        <f ca="1">'QTR Raw'!AF16</f>
        <v>#NAME?</v>
      </c>
      <c r="BM28" s="23" t="e">
        <f ca="1">'QTR Raw'!AG16</f>
        <v>#NAME?</v>
      </c>
      <c r="BN28" s="23" t="e">
        <f ca="1">'QTR Raw'!AH16</f>
        <v>#NAME?</v>
      </c>
      <c r="BO28" s="23" t="e">
        <f ca="1">'QTR Raw'!AI16</f>
        <v>#NAME?</v>
      </c>
      <c r="BP28" s="23" t="e">
        <f ca="1">'QTR Raw'!AJ16</f>
        <v>#NAME?</v>
      </c>
      <c r="BQ28" s="23" t="e">
        <f ca="1">'QTR Raw'!AK16</f>
        <v>#NAME?</v>
      </c>
      <c r="BR28" s="23" t="e">
        <f ca="1">'QTR Raw'!AL16</f>
        <v>#NAME?</v>
      </c>
      <c r="BS28" s="23" t="e">
        <f ca="1">'QTR Raw'!AM16</f>
        <v>#NAME?</v>
      </c>
      <c r="BT28" s="23" t="e">
        <f ca="1">'QTR Raw'!AN16</f>
        <v>#NAME?</v>
      </c>
      <c r="BU28" s="23" t="e">
        <f ca="1">'QTR Raw'!AO16</f>
        <v>#NAME?</v>
      </c>
      <c r="BV28" s="23" t="e">
        <f ca="1">'QTR Raw'!AP16</f>
        <v>#NAME?</v>
      </c>
      <c r="BW28" s="23" t="e">
        <f ca="1">'QTR Raw'!AQ16</f>
        <v>#NAME?</v>
      </c>
      <c r="BX28" s="23" t="e">
        <f ca="1">'QTR Raw'!AR16</f>
        <v>#NAME?</v>
      </c>
      <c r="BY28" s="23" t="e">
        <f ca="1">'QTR Raw'!AS16</f>
        <v>#NAME?</v>
      </c>
      <c r="BZ28" s="23" t="e">
        <f ca="1">'QTR Raw'!AT16</f>
        <v>#NAME?</v>
      </c>
      <c r="CA28" s="23" t="e">
        <f ca="1">'QTR Raw'!AU16</f>
        <v>#NAME?</v>
      </c>
      <c r="CB28" s="23" t="e">
        <f ca="1">'QTR Raw'!AV16</f>
        <v>#NAME?</v>
      </c>
      <c r="CC28" s="23" t="e">
        <f ca="1">'QTR Raw'!AW16</f>
        <v>#NAME?</v>
      </c>
      <c r="CD28" s="23" t="e">
        <f ca="1">'QTR Raw'!AX16</f>
        <v>#NAME?</v>
      </c>
      <c r="CE28" s="23" t="e">
        <f ca="1">'QTR Raw'!AY16</f>
        <v>#NAME?</v>
      </c>
      <c r="CF28" s="23" t="e">
        <f ca="1">'QTR Raw'!AZ16</f>
        <v>#NAME?</v>
      </c>
      <c r="CG28" s="23" t="e">
        <f ca="1">'QTR Raw'!BA16</f>
        <v>#NAME?</v>
      </c>
      <c r="CH28" s="23" t="e">
        <f ca="1">'QTR Raw'!BB16</f>
        <v>#NAME?</v>
      </c>
      <c r="CI28" s="23" t="e">
        <f ca="1">'QTR Raw'!BC16</f>
        <v>#NAME?</v>
      </c>
      <c r="CJ28" s="23" t="e">
        <f ca="1">'QTR Raw'!BD16</f>
        <v>#NAME?</v>
      </c>
      <c r="CK28" s="23" t="e">
        <f ca="1">'QTR Raw'!BE16</f>
        <v>#NAME?</v>
      </c>
      <c r="CL28" s="23" t="e">
        <f ca="1">'QTR Raw'!BF16</f>
        <v>#NAME?</v>
      </c>
      <c r="CM28" s="24" t="e">
        <f t="shared" ref="CM28:DB28" ca="1" si="298">CI28*107%</f>
        <v>#NAME?</v>
      </c>
      <c r="CN28" s="24" t="e">
        <f t="shared" ca="1" si="298"/>
        <v>#NAME?</v>
      </c>
      <c r="CO28" s="24" t="e">
        <f t="shared" ca="1" si="298"/>
        <v>#NAME?</v>
      </c>
      <c r="CP28" s="24" t="e">
        <f t="shared" ca="1" si="298"/>
        <v>#NAME?</v>
      </c>
      <c r="CQ28" s="24" t="e">
        <f t="shared" ca="1" si="298"/>
        <v>#NAME?</v>
      </c>
      <c r="CR28" s="24" t="e">
        <f t="shared" ca="1" si="298"/>
        <v>#NAME?</v>
      </c>
      <c r="CS28" s="24" t="e">
        <f t="shared" ca="1" si="298"/>
        <v>#NAME?</v>
      </c>
      <c r="CT28" s="24" t="e">
        <f t="shared" ca="1" si="298"/>
        <v>#NAME?</v>
      </c>
      <c r="CU28" s="24" t="e">
        <f t="shared" ca="1" si="298"/>
        <v>#NAME?</v>
      </c>
      <c r="CV28" s="24" t="e">
        <f t="shared" ca="1" si="298"/>
        <v>#NAME?</v>
      </c>
      <c r="CW28" s="24" t="e">
        <f t="shared" ca="1" si="298"/>
        <v>#NAME?</v>
      </c>
      <c r="CX28" s="24" t="e">
        <f t="shared" ca="1" si="298"/>
        <v>#NAME?</v>
      </c>
      <c r="CY28" s="24" t="e">
        <f t="shared" ca="1" si="298"/>
        <v>#NAME?</v>
      </c>
      <c r="CZ28" s="24" t="e">
        <f t="shared" ca="1" si="298"/>
        <v>#NAME?</v>
      </c>
      <c r="DA28" s="24" t="e">
        <f t="shared" ca="1" si="298"/>
        <v>#NAME?</v>
      </c>
      <c r="DB28" s="24" t="e">
        <f t="shared" ca="1" si="298"/>
        <v>#NAME?</v>
      </c>
      <c r="DE28" s="123"/>
      <c r="DF28" s="23">
        <v>1602.65</v>
      </c>
    </row>
    <row r="29" spans="1:110" s="23" customFormat="1" outlineLevel="1" x14ac:dyDescent="0.2">
      <c r="A29" s="23" t="s">
        <v>10</v>
      </c>
      <c r="B29" s="23" t="e">
        <f ca="1">'Annual Raw'!C17</f>
        <v>#NAME?</v>
      </c>
      <c r="C29" s="23" t="e">
        <f ca="1">'Annual Raw'!D17</f>
        <v>#NAME?</v>
      </c>
      <c r="D29" s="23" t="e">
        <f ca="1">'Annual Raw'!E17</f>
        <v>#NAME?</v>
      </c>
      <c r="E29" s="23" t="e">
        <f ca="1">'Annual Raw'!F17</f>
        <v>#NAME?</v>
      </c>
      <c r="F29" s="23" t="e">
        <f ca="1">'Annual Raw'!G17</f>
        <v>#NAME?</v>
      </c>
      <c r="G29" s="23" t="e">
        <f ca="1">'Annual Raw'!H17</f>
        <v>#NAME?</v>
      </c>
      <c r="H29" s="23" t="e">
        <f ca="1">'Annual Raw'!I17</f>
        <v>#NAME?</v>
      </c>
      <c r="I29" s="23" t="e">
        <f ca="1">'Annual Raw'!J17</f>
        <v>#NAME?</v>
      </c>
      <c r="J29" s="23" t="e">
        <f ca="1">'Annual Raw'!K17</f>
        <v>#NAME?</v>
      </c>
      <c r="K29" s="23" t="e">
        <f ca="1">'Annual Raw'!L17</f>
        <v>#NAME?</v>
      </c>
      <c r="L29" s="23" t="e">
        <f ca="1">'Annual Raw'!M17</f>
        <v>#NAME?</v>
      </c>
      <c r="M29" s="23" t="e">
        <f ca="1">'Annual Raw'!N17</f>
        <v>#NAME?</v>
      </c>
      <c r="N29" s="23" t="e">
        <f ca="1">'Annual Raw'!O17</f>
        <v>#NAME?</v>
      </c>
      <c r="O29" s="23" t="e">
        <f ca="1">'Annual Raw'!P17</f>
        <v>#NAME?</v>
      </c>
      <c r="P29" s="23" t="e">
        <f ca="1">'Annual Raw'!Q17</f>
        <v>#NAME?</v>
      </c>
      <c r="Q29" s="23" t="e">
        <f ca="1">'Annual Raw'!R17</f>
        <v>#NAME?</v>
      </c>
      <c r="R29" s="23" t="e">
        <f ca="1">'Annual Raw'!S17</f>
        <v>#NAME?</v>
      </c>
      <c r="S29" s="23" t="e">
        <f ca="1">'Annual Raw'!T17</f>
        <v>#NAME?</v>
      </c>
      <c r="T29" s="23" t="e">
        <f ca="1">'Annual Raw'!U17</f>
        <v>#NAME?</v>
      </c>
      <c r="U29" s="23" t="e">
        <f ca="1">'Annual Raw'!V17</f>
        <v>#NAME?</v>
      </c>
      <c r="V29" s="23" t="e">
        <f ca="1">'Annual Raw'!W17</f>
        <v>#NAME?</v>
      </c>
      <c r="W29" s="23" t="e">
        <f ca="1">'Annual Raw'!X17</f>
        <v>#NAME?</v>
      </c>
      <c r="X29" s="23" t="e">
        <f ca="1">'Annual Raw'!Y17</f>
        <v>#NAME?</v>
      </c>
      <c r="Y29" s="23" t="e">
        <f ca="1">'Annual Raw'!Z17</f>
        <v>#NAME?</v>
      </c>
      <c r="Z29" s="23" t="e">
        <f ca="1">'Annual Raw'!AA17</f>
        <v>#NAME?</v>
      </c>
      <c r="AA29" s="23" t="e">
        <f ca="1">'Annual Raw'!AB17</f>
        <v>#NAME?</v>
      </c>
      <c r="AB29" s="76">
        <f t="shared" si="294"/>
        <v>0</v>
      </c>
      <c r="AC29" s="76">
        <f t="shared" si="295"/>
        <v>0</v>
      </c>
      <c r="AD29" s="76">
        <f t="shared" si="296"/>
        <v>0</v>
      </c>
      <c r="AE29" s="76">
        <f t="shared" si="297"/>
        <v>0</v>
      </c>
      <c r="AI29" s="23" t="e">
        <f ca="1">'QTR Raw'!C17</f>
        <v>#NAME?</v>
      </c>
      <c r="AJ29" s="23" t="e">
        <f ca="1">'QTR Raw'!D17</f>
        <v>#NAME?</v>
      </c>
      <c r="AK29" s="23" t="e">
        <f ca="1">'QTR Raw'!E17</f>
        <v>#NAME?</v>
      </c>
      <c r="AL29" s="23" t="e">
        <f ca="1">'QTR Raw'!F17</f>
        <v>#NAME?</v>
      </c>
      <c r="AM29" s="23" t="e">
        <f ca="1">'QTR Raw'!G17</f>
        <v>#NAME?</v>
      </c>
      <c r="AN29" s="23" t="e">
        <f ca="1">'QTR Raw'!H17</f>
        <v>#NAME?</v>
      </c>
      <c r="AO29" s="23" t="e">
        <f ca="1">'QTR Raw'!I17</f>
        <v>#NAME?</v>
      </c>
      <c r="AP29" s="23" t="e">
        <f ca="1">'QTR Raw'!J17</f>
        <v>#NAME?</v>
      </c>
      <c r="AQ29" s="23" t="e">
        <f ca="1">'QTR Raw'!K17</f>
        <v>#NAME?</v>
      </c>
      <c r="AR29" s="23" t="e">
        <f ca="1">'QTR Raw'!L17</f>
        <v>#NAME?</v>
      </c>
      <c r="AS29" s="23" t="e">
        <f ca="1">'QTR Raw'!M17</f>
        <v>#NAME?</v>
      </c>
      <c r="AT29" s="23" t="e">
        <f ca="1">'QTR Raw'!N17</f>
        <v>#NAME?</v>
      </c>
      <c r="AU29" s="23" t="e">
        <f ca="1">'QTR Raw'!O17</f>
        <v>#NAME?</v>
      </c>
      <c r="AV29" s="23" t="e">
        <f ca="1">'QTR Raw'!P17</f>
        <v>#NAME?</v>
      </c>
      <c r="AW29" s="23" t="e">
        <f ca="1">'QTR Raw'!Q17</f>
        <v>#NAME?</v>
      </c>
      <c r="AX29" s="23" t="e">
        <f ca="1">'QTR Raw'!R17</f>
        <v>#NAME?</v>
      </c>
      <c r="AY29" s="23" t="e">
        <f ca="1">'QTR Raw'!S17</f>
        <v>#NAME?</v>
      </c>
      <c r="AZ29" s="23" t="e">
        <f ca="1">'QTR Raw'!T17</f>
        <v>#NAME?</v>
      </c>
      <c r="BA29" s="23" t="e">
        <f ca="1">'QTR Raw'!U17</f>
        <v>#NAME?</v>
      </c>
      <c r="BB29" s="23" t="e">
        <f ca="1">'QTR Raw'!V17</f>
        <v>#NAME?</v>
      </c>
      <c r="BC29" s="23" t="e">
        <f ca="1">'QTR Raw'!W17</f>
        <v>#NAME?</v>
      </c>
      <c r="BD29" s="23" t="e">
        <f ca="1">'QTR Raw'!X17</f>
        <v>#NAME?</v>
      </c>
      <c r="BE29" s="23" t="e">
        <f ca="1">'QTR Raw'!Y17</f>
        <v>#NAME?</v>
      </c>
      <c r="BF29" s="23" t="e">
        <f ca="1">'QTR Raw'!Z17</f>
        <v>#NAME?</v>
      </c>
      <c r="BG29" s="23" t="e">
        <f ca="1">'QTR Raw'!AA17</f>
        <v>#NAME?</v>
      </c>
      <c r="BH29" s="23" t="e">
        <f ca="1">'QTR Raw'!AB17</f>
        <v>#NAME?</v>
      </c>
      <c r="BI29" s="23" t="e">
        <f ca="1">'QTR Raw'!AC17</f>
        <v>#NAME?</v>
      </c>
      <c r="BJ29" s="23" t="e">
        <f ca="1">'QTR Raw'!AD17</f>
        <v>#NAME?</v>
      </c>
      <c r="BK29" s="23" t="e">
        <f ca="1">'QTR Raw'!AE17</f>
        <v>#NAME?</v>
      </c>
      <c r="BL29" s="23" t="e">
        <f ca="1">'QTR Raw'!AF17</f>
        <v>#NAME?</v>
      </c>
      <c r="BM29" s="23" t="e">
        <f ca="1">'QTR Raw'!AG17</f>
        <v>#NAME?</v>
      </c>
      <c r="BN29" s="23" t="e">
        <f ca="1">'QTR Raw'!AH17</f>
        <v>#NAME?</v>
      </c>
      <c r="BO29" s="23" t="e">
        <f ca="1">'QTR Raw'!AI17</f>
        <v>#NAME?</v>
      </c>
      <c r="BP29" s="23" t="e">
        <f ca="1">'QTR Raw'!AJ17</f>
        <v>#NAME?</v>
      </c>
      <c r="BQ29" s="23" t="e">
        <f ca="1">'QTR Raw'!AK17</f>
        <v>#NAME?</v>
      </c>
      <c r="BR29" s="23" t="e">
        <f ca="1">'QTR Raw'!AL17</f>
        <v>#NAME?</v>
      </c>
      <c r="BS29" s="23" t="e">
        <f ca="1">'QTR Raw'!AM17</f>
        <v>#NAME?</v>
      </c>
      <c r="BT29" s="23" t="e">
        <f ca="1">'QTR Raw'!AN17</f>
        <v>#NAME?</v>
      </c>
      <c r="BU29" s="23" t="e">
        <f ca="1">'QTR Raw'!AO17</f>
        <v>#NAME?</v>
      </c>
      <c r="BV29" s="23" t="e">
        <f ca="1">'QTR Raw'!AP17</f>
        <v>#NAME?</v>
      </c>
      <c r="BW29" s="23" t="e">
        <f ca="1">'QTR Raw'!AQ17</f>
        <v>#NAME?</v>
      </c>
      <c r="BX29" s="23" t="e">
        <f ca="1">'QTR Raw'!AR17</f>
        <v>#NAME?</v>
      </c>
      <c r="BY29" s="23" t="e">
        <f ca="1">'QTR Raw'!AS17</f>
        <v>#NAME?</v>
      </c>
      <c r="BZ29" s="23" t="e">
        <f ca="1">'QTR Raw'!AT17</f>
        <v>#NAME?</v>
      </c>
      <c r="CA29" s="23" t="e">
        <f ca="1">'QTR Raw'!AU17</f>
        <v>#NAME?</v>
      </c>
      <c r="CB29" s="23" t="e">
        <f ca="1">'QTR Raw'!AV17</f>
        <v>#NAME?</v>
      </c>
      <c r="CC29" s="23" t="e">
        <f ca="1">'QTR Raw'!AW17</f>
        <v>#NAME?</v>
      </c>
      <c r="CD29" s="23" t="e">
        <f ca="1">'QTR Raw'!AX17</f>
        <v>#NAME?</v>
      </c>
      <c r="CE29" s="23" t="e">
        <f ca="1">'QTR Raw'!AY17</f>
        <v>#NAME?</v>
      </c>
      <c r="CF29" s="23" t="e">
        <f ca="1">'QTR Raw'!AZ17</f>
        <v>#NAME?</v>
      </c>
      <c r="CG29" s="23" t="e">
        <f ca="1">'QTR Raw'!BA17</f>
        <v>#NAME?</v>
      </c>
      <c r="CH29" s="23" t="e">
        <f ca="1">'QTR Raw'!BB17</f>
        <v>#NAME?</v>
      </c>
      <c r="CI29" s="23" t="e">
        <f ca="1">'QTR Raw'!BC17</f>
        <v>#NAME?</v>
      </c>
      <c r="CJ29" s="23" t="e">
        <f ca="1">'QTR Raw'!BD17</f>
        <v>#NAME?</v>
      </c>
      <c r="CK29" s="23" t="e">
        <f ca="1">'QTR Raw'!BE17</f>
        <v>#NAME?</v>
      </c>
      <c r="CL29" s="23" t="e">
        <f ca="1">'QTR Raw'!BF17</f>
        <v>#NAME?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0</v>
      </c>
    </row>
    <row r="30" spans="1:110" s="23" customFormat="1" outlineLevel="1" x14ac:dyDescent="0.2">
      <c r="A30" s="23" t="s">
        <v>12</v>
      </c>
      <c r="B30" s="23" t="e">
        <f ca="1">'Annual Raw'!C19-'Annual Raw'!C20</f>
        <v>#NAME?</v>
      </c>
      <c r="C30" s="23" t="e">
        <f ca="1">'Annual Raw'!D19-'Annual Raw'!D20</f>
        <v>#NAME?</v>
      </c>
      <c r="D30" s="23" t="e">
        <f ca="1">'Annual Raw'!E19-'Annual Raw'!E20</f>
        <v>#NAME?</v>
      </c>
      <c r="E30" s="23" t="e">
        <f ca="1">'Annual Raw'!F19-'Annual Raw'!F20</f>
        <v>#NAME?</v>
      </c>
      <c r="F30" s="23" t="e">
        <f ca="1">'Annual Raw'!G19-'Annual Raw'!G20</f>
        <v>#NAME?</v>
      </c>
      <c r="G30" s="23" t="e">
        <f ca="1">'Annual Raw'!H19-'Annual Raw'!H20</f>
        <v>#NAME?</v>
      </c>
      <c r="H30" s="23" t="e">
        <f ca="1">'Annual Raw'!I19-'Annual Raw'!I20</f>
        <v>#NAME?</v>
      </c>
      <c r="I30" s="23" t="e">
        <f ca="1">'Annual Raw'!J19-'Annual Raw'!J20</f>
        <v>#NAME?</v>
      </c>
      <c r="J30" s="23" t="e">
        <f ca="1">'Annual Raw'!K19-'Annual Raw'!K20</f>
        <v>#NAME?</v>
      </c>
      <c r="K30" s="23" t="e">
        <f ca="1">'Annual Raw'!L19-'Annual Raw'!L20</f>
        <v>#NAME?</v>
      </c>
      <c r="L30" s="23" t="e">
        <f ca="1">'Annual Raw'!M19-'Annual Raw'!M20</f>
        <v>#NAME?</v>
      </c>
      <c r="M30" s="23" t="e">
        <f ca="1">'Annual Raw'!N19-'Annual Raw'!N20</f>
        <v>#NAME?</v>
      </c>
      <c r="N30" s="23" t="e">
        <f ca="1">'Annual Raw'!O19-'Annual Raw'!O20</f>
        <v>#NAME?</v>
      </c>
      <c r="O30" s="23" t="e">
        <f ca="1">'Annual Raw'!P19-'Annual Raw'!P20</f>
        <v>#NAME?</v>
      </c>
      <c r="P30" s="23" t="e">
        <f ca="1">'Annual Raw'!Q19-'Annual Raw'!Q20</f>
        <v>#NAME?</v>
      </c>
      <c r="Q30" s="23" t="e">
        <f ca="1">'Annual Raw'!R19-'Annual Raw'!R20</f>
        <v>#NAME?</v>
      </c>
      <c r="R30" s="23" t="e">
        <f ca="1">'Annual Raw'!S19-'Annual Raw'!S20</f>
        <v>#NAME?</v>
      </c>
      <c r="S30" s="23" t="e">
        <f ca="1">'Annual Raw'!T19-'Annual Raw'!T20</f>
        <v>#NAME?</v>
      </c>
      <c r="T30" s="23" t="e">
        <f ca="1">'Annual Raw'!U19-'Annual Raw'!U20</f>
        <v>#NAME?</v>
      </c>
      <c r="U30" s="23" t="e">
        <f ca="1">'Annual Raw'!V19-'Annual Raw'!V20</f>
        <v>#NAME?</v>
      </c>
      <c r="V30" s="23" t="e">
        <f ca="1">'Annual Raw'!W19-'Annual Raw'!W20</f>
        <v>#NAME?</v>
      </c>
      <c r="W30" s="23" t="e">
        <f ca="1">'Annual Raw'!X19-'Annual Raw'!X20</f>
        <v>#NAME?</v>
      </c>
      <c r="X30" s="23" t="e">
        <f ca="1">'Annual Raw'!Y19-'Annual Raw'!Y20</f>
        <v>#NAME?</v>
      </c>
      <c r="Y30" s="23" t="e">
        <f ca="1">'Annual Raw'!Z19-'Annual Raw'!Z20</f>
        <v>#NAME?</v>
      </c>
      <c r="Z30" s="23" t="e">
        <f ca="1">'Annual Raw'!AA19-'Annual Raw'!AA20</f>
        <v>#NAME?</v>
      </c>
      <c r="AA30" s="23" t="e">
        <f ca="1">'Annual Raw'!AB19-'Annual Raw'!AB20</f>
        <v>#NAME?</v>
      </c>
      <c r="AB30" s="76">
        <f t="shared" si="294"/>
        <v>0</v>
      </c>
      <c r="AC30" s="76">
        <f t="shared" si="295"/>
        <v>0</v>
      </c>
      <c r="AD30" s="76">
        <f t="shared" si="296"/>
        <v>0</v>
      </c>
      <c r="AE30" s="76">
        <f t="shared" si="297"/>
        <v>0</v>
      </c>
      <c r="AI30" s="23" t="e">
        <f ca="1">+'QTR Raw'!C21</f>
        <v>#NAME?</v>
      </c>
      <c r="AJ30" s="23" t="e">
        <f ca="1">+'QTR Raw'!D21</f>
        <v>#NAME?</v>
      </c>
      <c r="AK30" s="23" t="e">
        <f ca="1">+'QTR Raw'!E21</f>
        <v>#NAME?</v>
      </c>
      <c r="AL30" s="23" t="e">
        <f ca="1">+'QTR Raw'!F21</f>
        <v>#NAME?</v>
      </c>
      <c r="AM30" s="23" t="e">
        <f ca="1">+'QTR Raw'!G21</f>
        <v>#NAME?</v>
      </c>
      <c r="AN30" s="23" t="e">
        <f ca="1">+'QTR Raw'!H21</f>
        <v>#NAME?</v>
      </c>
      <c r="AO30" s="23" t="e">
        <f ca="1">+'QTR Raw'!I21</f>
        <v>#NAME?</v>
      </c>
      <c r="AP30" s="23" t="e">
        <f ca="1">+'QTR Raw'!J21</f>
        <v>#NAME?</v>
      </c>
      <c r="AQ30" s="23" t="e">
        <f ca="1">+'QTR Raw'!K21</f>
        <v>#NAME?</v>
      </c>
      <c r="AR30" s="23" t="e">
        <f ca="1">+'QTR Raw'!L21</f>
        <v>#NAME?</v>
      </c>
      <c r="AS30" s="23" t="e">
        <f ca="1">+'QTR Raw'!M21</f>
        <v>#NAME?</v>
      </c>
      <c r="AT30" s="23" t="e">
        <f ca="1">+'QTR Raw'!N21</f>
        <v>#NAME?</v>
      </c>
      <c r="AU30" s="23" t="e">
        <f ca="1">+'QTR Raw'!O21</f>
        <v>#NAME?</v>
      </c>
      <c r="AV30" s="23" t="e">
        <f ca="1">+'QTR Raw'!P21</f>
        <v>#NAME?</v>
      </c>
      <c r="AW30" s="23" t="e">
        <f ca="1">+'QTR Raw'!Q21</f>
        <v>#NAME?</v>
      </c>
      <c r="AX30" s="23" t="e">
        <f ca="1">+'QTR Raw'!R21</f>
        <v>#NAME?</v>
      </c>
      <c r="AY30" s="23" t="e">
        <f ca="1">+'QTR Raw'!S21</f>
        <v>#NAME?</v>
      </c>
      <c r="AZ30" s="23" t="e">
        <f ca="1">+'QTR Raw'!T21</f>
        <v>#NAME?</v>
      </c>
      <c r="BA30" s="23" t="e">
        <f ca="1">+'QTR Raw'!U21</f>
        <v>#NAME?</v>
      </c>
      <c r="BB30" s="23" t="e">
        <f ca="1">+'QTR Raw'!V21</f>
        <v>#NAME?</v>
      </c>
      <c r="BC30" s="23" t="e">
        <f ca="1">+'QTR Raw'!W21</f>
        <v>#NAME?</v>
      </c>
      <c r="BD30" s="23" t="e">
        <f ca="1">+'QTR Raw'!X21</f>
        <v>#NAME?</v>
      </c>
      <c r="BE30" s="23" t="e">
        <f ca="1">+'QTR Raw'!Y21</f>
        <v>#NAME?</v>
      </c>
      <c r="BF30" s="23" t="e">
        <f ca="1">+'QTR Raw'!Z21</f>
        <v>#NAME?</v>
      </c>
      <c r="BG30" s="23" t="e">
        <f ca="1">+'QTR Raw'!AA21</f>
        <v>#NAME?</v>
      </c>
      <c r="BH30" s="23" t="e">
        <f ca="1">+'QTR Raw'!AB21</f>
        <v>#NAME?</v>
      </c>
      <c r="BI30" s="23" t="e">
        <f ca="1">+'QTR Raw'!AC21</f>
        <v>#NAME?</v>
      </c>
      <c r="BJ30" s="23" t="e">
        <f ca="1">+'QTR Raw'!AD21</f>
        <v>#NAME?</v>
      </c>
      <c r="BK30" s="23" t="e">
        <f ca="1">+'QTR Raw'!AE21</f>
        <v>#NAME?</v>
      </c>
      <c r="BL30" s="23" t="e">
        <f ca="1">+'QTR Raw'!AF21</f>
        <v>#NAME?</v>
      </c>
      <c r="BM30" s="23" t="e">
        <f ca="1">+'QTR Raw'!AG21</f>
        <v>#NAME?</v>
      </c>
      <c r="BN30" s="23" t="e">
        <f ca="1">+'QTR Raw'!AH21</f>
        <v>#NAME?</v>
      </c>
      <c r="BO30" s="23" t="e">
        <f ca="1">+'QTR Raw'!AI21</f>
        <v>#NAME?</v>
      </c>
      <c r="BP30" s="23" t="e">
        <f ca="1">+'QTR Raw'!AJ21</f>
        <v>#NAME?</v>
      </c>
      <c r="BQ30" s="23" t="e">
        <f ca="1">+'QTR Raw'!AK21</f>
        <v>#NAME?</v>
      </c>
      <c r="BR30" s="23" t="e">
        <f ca="1">+'QTR Raw'!AL21</f>
        <v>#NAME?</v>
      </c>
      <c r="BS30" s="23" t="e">
        <f ca="1">+'QTR Raw'!AM21</f>
        <v>#NAME?</v>
      </c>
      <c r="BT30" s="23" t="e">
        <f ca="1">+'QTR Raw'!AN21</f>
        <v>#NAME?</v>
      </c>
      <c r="BU30" s="23" t="e">
        <f ca="1">+'QTR Raw'!AO21</f>
        <v>#NAME?</v>
      </c>
      <c r="BV30" s="23" t="e">
        <f ca="1">+'QTR Raw'!AP21</f>
        <v>#NAME?</v>
      </c>
      <c r="BW30" s="23" t="e">
        <f ca="1">+'QTR Raw'!AQ21</f>
        <v>#NAME?</v>
      </c>
      <c r="BX30" s="23" t="e">
        <f ca="1">+'QTR Raw'!AR21</f>
        <v>#NAME?</v>
      </c>
      <c r="BY30" s="23" t="e">
        <f ca="1">+'QTR Raw'!AS21</f>
        <v>#NAME?</v>
      </c>
      <c r="BZ30" s="23" t="e">
        <f ca="1">+'QTR Raw'!AT21</f>
        <v>#NAME?</v>
      </c>
      <c r="CA30" s="23" t="e">
        <f ca="1">+'QTR Raw'!AU21</f>
        <v>#NAME?</v>
      </c>
      <c r="CB30" s="23" t="e">
        <f ca="1">+'QTR Raw'!AV21</f>
        <v>#NAME?</v>
      </c>
      <c r="CC30" s="23" t="e">
        <f ca="1">+'QTR Raw'!AW21</f>
        <v>#NAME?</v>
      </c>
      <c r="CD30" s="23" t="e">
        <f ca="1">+'QTR Raw'!AX21</f>
        <v>#NAME?</v>
      </c>
      <c r="CE30" s="23" t="e">
        <f ca="1">+'QTR Raw'!AY21</f>
        <v>#NAME?</v>
      </c>
      <c r="CF30" s="23" t="e">
        <f ca="1">+'QTR Raw'!AZ21</f>
        <v>#NAME?</v>
      </c>
      <c r="CG30" s="23" t="e">
        <f ca="1">+'QTR Raw'!BA21</f>
        <v>#NAME?</v>
      </c>
      <c r="CH30" s="23" t="e">
        <f ca="1">+'QTR Raw'!BB21</f>
        <v>#NAME?</v>
      </c>
      <c r="CI30" s="23" t="e">
        <f ca="1">+'QTR Raw'!BC21</f>
        <v>#NAME?</v>
      </c>
      <c r="CJ30" s="23" t="e">
        <f ca="1">+'QTR Raw'!BD21</f>
        <v>#NAME?</v>
      </c>
      <c r="CK30" s="23" t="e">
        <f ca="1">+'QTR Raw'!BE21</f>
        <v>#NAME?</v>
      </c>
      <c r="CL30" s="23" t="e">
        <f ca="1">+'QTR Raw'!BF21</f>
        <v>#NAME?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0</v>
      </c>
    </row>
    <row r="31" spans="1:110" s="23" customFormat="1" outlineLevel="1" x14ac:dyDescent="0.2">
      <c r="A31" s="23" t="s">
        <v>9</v>
      </c>
      <c r="B31" s="23" t="e">
        <f ca="1">'Annual Raw'!C15+'Annual Raw'!C16</f>
        <v>#NAME?</v>
      </c>
      <c r="C31" s="23" t="e">
        <f ca="1">'Annual Raw'!D15+'Annual Raw'!D16</f>
        <v>#NAME?</v>
      </c>
      <c r="D31" s="23" t="e">
        <f ca="1">'Annual Raw'!E15+'Annual Raw'!E16</f>
        <v>#NAME?</v>
      </c>
      <c r="E31" s="23" t="e">
        <f ca="1">'Annual Raw'!F15+'Annual Raw'!F16</f>
        <v>#NAME?</v>
      </c>
      <c r="F31" s="23" t="e">
        <f ca="1">'Annual Raw'!G15+'Annual Raw'!G16</f>
        <v>#NAME?</v>
      </c>
      <c r="G31" s="23" t="e">
        <f ca="1">'Annual Raw'!H15+'Annual Raw'!H16</f>
        <v>#NAME?</v>
      </c>
      <c r="H31" s="23" t="e">
        <f ca="1">'Annual Raw'!I15+'Annual Raw'!I16</f>
        <v>#NAME?</v>
      </c>
      <c r="I31" s="23" t="e">
        <f ca="1">'Annual Raw'!J15+'Annual Raw'!J16</f>
        <v>#NAME?</v>
      </c>
      <c r="J31" s="23" t="e">
        <f ca="1">'Annual Raw'!K15+'Annual Raw'!K16</f>
        <v>#NAME?</v>
      </c>
      <c r="K31" s="23" t="e">
        <f ca="1">'Annual Raw'!L15+'Annual Raw'!L16</f>
        <v>#NAME?</v>
      </c>
      <c r="L31" s="23" t="e">
        <f ca="1">'Annual Raw'!M15+'Annual Raw'!M16</f>
        <v>#NAME?</v>
      </c>
      <c r="M31" s="23" t="e">
        <f ca="1">'Annual Raw'!N15+'Annual Raw'!N16</f>
        <v>#NAME?</v>
      </c>
      <c r="N31" s="23" t="e">
        <f ca="1">'Annual Raw'!O15+'Annual Raw'!O16</f>
        <v>#NAME?</v>
      </c>
      <c r="O31" s="23" t="e">
        <f ca="1">'Annual Raw'!P15+'Annual Raw'!P16</f>
        <v>#NAME?</v>
      </c>
      <c r="P31" s="23" t="e">
        <f ca="1">'Annual Raw'!Q15+'Annual Raw'!Q16</f>
        <v>#NAME?</v>
      </c>
      <c r="Q31" s="23" t="e">
        <f ca="1">'Annual Raw'!R15+'Annual Raw'!R16</f>
        <v>#NAME?</v>
      </c>
      <c r="R31" s="23" t="e">
        <f ca="1">'Annual Raw'!S15+'Annual Raw'!S16</f>
        <v>#NAME?</v>
      </c>
      <c r="S31" s="23" t="e">
        <f ca="1">'Annual Raw'!T15+'Annual Raw'!T16</f>
        <v>#NAME?</v>
      </c>
      <c r="T31" s="23" t="e">
        <f ca="1">'Annual Raw'!U15+'Annual Raw'!U16</f>
        <v>#NAME?</v>
      </c>
      <c r="U31" s="23" t="e">
        <f ca="1">'Annual Raw'!V15+'Annual Raw'!V16</f>
        <v>#NAME?</v>
      </c>
      <c r="V31" s="23" t="e">
        <f ca="1">'Annual Raw'!W15+'Annual Raw'!W16</f>
        <v>#NAME?</v>
      </c>
      <c r="W31" s="23" t="e">
        <f ca="1">'Annual Raw'!X15+'Annual Raw'!X16</f>
        <v>#NAME?</v>
      </c>
      <c r="X31" s="23" t="e">
        <f ca="1">'Annual Raw'!Y15+'Annual Raw'!Y16</f>
        <v>#NAME?</v>
      </c>
      <c r="Y31" s="23" t="e">
        <f ca="1">'Annual Raw'!Z15+'Annual Raw'!Z16</f>
        <v>#NAME?</v>
      </c>
      <c r="Z31" s="23" t="e">
        <f ca="1">'Annual Raw'!AA15+'Annual Raw'!AA16</f>
        <v>#NAME?</v>
      </c>
      <c r="AA31" s="23" t="e">
        <f ca="1">'Annual Raw'!AB15+'Annual Raw'!AB16</f>
        <v>#NAME?</v>
      </c>
      <c r="AB31" s="76" t="e">
        <f t="shared" ca="1" si="294"/>
        <v>#NAME?</v>
      </c>
      <c r="AC31" s="76" t="e">
        <f t="shared" ca="1" si="295"/>
        <v>#NAME?</v>
      </c>
      <c r="AD31" s="76" t="e">
        <f t="shared" ca="1" si="296"/>
        <v>#NAME?</v>
      </c>
      <c r="AE31" s="76" t="e">
        <f t="shared" ca="1" si="297"/>
        <v>#NAME?</v>
      </c>
      <c r="AI31" s="23" t="e">
        <f ca="1">'QTR Raw'!C14</f>
        <v>#NAME?</v>
      </c>
      <c r="AJ31" s="23" t="e">
        <f ca="1">'QTR Raw'!D14</f>
        <v>#NAME?</v>
      </c>
      <c r="AK31" s="23" t="e">
        <f ca="1">'QTR Raw'!E14</f>
        <v>#NAME?</v>
      </c>
      <c r="AL31" s="23" t="e">
        <f ca="1">'QTR Raw'!F14</f>
        <v>#NAME?</v>
      </c>
      <c r="AM31" s="23" t="e">
        <f ca="1">'QTR Raw'!G14</f>
        <v>#NAME?</v>
      </c>
      <c r="AN31" s="23" t="e">
        <f ca="1">'QTR Raw'!H14</f>
        <v>#NAME?</v>
      </c>
      <c r="AO31" s="23" t="e">
        <f ca="1">'QTR Raw'!I14</f>
        <v>#NAME?</v>
      </c>
      <c r="AP31" s="23" t="e">
        <f ca="1">'QTR Raw'!J14</f>
        <v>#NAME?</v>
      </c>
      <c r="AQ31" s="23" t="e">
        <f ca="1">'QTR Raw'!K14</f>
        <v>#NAME?</v>
      </c>
      <c r="AR31" s="23" t="e">
        <f ca="1">'QTR Raw'!L14</f>
        <v>#NAME?</v>
      </c>
      <c r="AS31" s="23" t="e">
        <f ca="1">'QTR Raw'!M14</f>
        <v>#NAME?</v>
      </c>
      <c r="AT31" s="23" t="e">
        <f ca="1">'QTR Raw'!N14</f>
        <v>#NAME?</v>
      </c>
      <c r="AU31" s="23" t="e">
        <f ca="1">'QTR Raw'!O14</f>
        <v>#NAME?</v>
      </c>
      <c r="AV31" s="23" t="e">
        <f ca="1">'QTR Raw'!P14</f>
        <v>#NAME?</v>
      </c>
      <c r="AW31" s="23" t="e">
        <f ca="1">'QTR Raw'!Q14</f>
        <v>#NAME?</v>
      </c>
      <c r="AX31" s="23" t="e">
        <f ca="1">'QTR Raw'!R14</f>
        <v>#NAME?</v>
      </c>
      <c r="AY31" s="23" t="e">
        <f ca="1">'QTR Raw'!S14</f>
        <v>#NAME?</v>
      </c>
      <c r="AZ31" s="23" t="e">
        <f ca="1">'QTR Raw'!T14</f>
        <v>#NAME?</v>
      </c>
      <c r="BA31" s="23" t="e">
        <f ca="1">'QTR Raw'!U14</f>
        <v>#NAME?</v>
      </c>
      <c r="BB31" s="23" t="e">
        <f ca="1">'QTR Raw'!V14</f>
        <v>#NAME?</v>
      </c>
      <c r="BC31" s="23" t="e">
        <f ca="1">'QTR Raw'!W14</f>
        <v>#NAME?</v>
      </c>
      <c r="BD31" s="23" t="e">
        <f ca="1">'QTR Raw'!X14</f>
        <v>#NAME?</v>
      </c>
      <c r="BE31" s="23" t="e">
        <f ca="1">'QTR Raw'!Y14</f>
        <v>#NAME?</v>
      </c>
      <c r="BF31" s="23" t="e">
        <f ca="1">'QTR Raw'!Z14</f>
        <v>#NAME?</v>
      </c>
      <c r="BG31" s="23" t="e">
        <f ca="1">'QTR Raw'!AA14</f>
        <v>#NAME?</v>
      </c>
      <c r="BH31" s="23" t="e">
        <f ca="1">'QTR Raw'!AB14</f>
        <v>#NAME?</v>
      </c>
      <c r="BI31" s="23" t="e">
        <f ca="1">'QTR Raw'!AC14</f>
        <v>#NAME?</v>
      </c>
      <c r="BJ31" s="23" t="e">
        <f ca="1">'QTR Raw'!AD14</f>
        <v>#NAME?</v>
      </c>
      <c r="BK31" s="23" t="e">
        <f ca="1">'QTR Raw'!AE14</f>
        <v>#NAME?</v>
      </c>
      <c r="BL31" s="23" t="e">
        <f ca="1">'QTR Raw'!AF14</f>
        <v>#NAME?</v>
      </c>
      <c r="BM31" s="23" t="e">
        <f ca="1">'QTR Raw'!AG14</f>
        <v>#NAME?</v>
      </c>
      <c r="BN31" s="23" t="e">
        <f ca="1">'QTR Raw'!AH14</f>
        <v>#NAME?</v>
      </c>
      <c r="BO31" s="23" t="e">
        <f ca="1">'QTR Raw'!AI14</f>
        <v>#NAME?</v>
      </c>
      <c r="BP31" s="23" t="e">
        <f ca="1">'QTR Raw'!AJ14</f>
        <v>#NAME?</v>
      </c>
      <c r="BQ31" s="23" t="e">
        <f ca="1">'QTR Raw'!AK14</f>
        <v>#NAME?</v>
      </c>
      <c r="BR31" s="23" t="e">
        <f ca="1">'QTR Raw'!AL14</f>
        <v>#NAME?</v>
      </c>
      <c r="BS31" s="23" t="e">
        <f ca="1">'QTR Raw'!AM14</f>
        <v>#NAME?</v>
      </c>
      <c r="BT31" s="23" t="e">
        <f ca="1">'QTR Raw'!AN14</f>
        <v>#NAME?</v>
      </c>
      <c r="BU31" s="23" t="e">
        <f ca="1">'QTR Raw'!AO14</f>
        <v>#NAME?</v>
      </c>
      <c r="BV31" s="23" t="e">
        <f ca="1">'QTR Raw'!AP14</f>
        <v>#NAME?</v>
      </c>
      <c r="BW31" s="23" t="e">
        <f ca="1">'QTR Raw'!AQ14</f>
        <v>#NAME?</v>
      </c>
      <c r="BX31" s="23" t="e">
        <f ca="1">'QTR Raw'!AR14</f>
        <v>#NAME?</v>
      </c>
      <c r="BY31" s="23" t="e">
        <f ca="1">'QTR Raw'!AS14</f>
        <v>#NAME?</v>
      </c>
      <c r="BZ31" s="23" t="e">
        <f ca="1">'QTR Raw'!AT14</f>
        <v>#NAME?</v>
      </c>
      <c r="CA31" s="23" t="e">
        <f ca="1">'QTR Raw'!AU14</f>
        <v>#NAME?</v>
      </c>
      <c r="CB31" s="23" t="e">
        <f ca="1">'QTR Raw'!AV14</f>
        <v>#NAME?</v>
      </c>
      <c r="CC31" s="23" t="e">
        <f ca="1">'QTR Raw'!AW14</f>
        <v>#NAME?</v>
      </c>
      <c r="CD31" s="23" t="e">
        <f ca="1">'QTR Raw'!AX14</f>
        <v>#NAME?</v>
      </c>
      <c r="CE31" s="23" t="e">
        <f ca="1">'QTR Raw'!AY14</f>
        <v>#NAME?</v>
      </c>
      <c r="CF31" s="23" t="e">
        <f ca="1">'QTR Raw'!AZ14</f>
        <v>#NAME?</v>
      </c>
      <c r="CG31" s="23" t="e">
        <f ca="1">'QTR Raw'!BA14</f>
        <v>#NAME?</v>
      </c>
      <c r="CH31" s="23" t="e">
        <f ca="1">'QTR Raw'!BB14</f>
        <v>#NAME?</v>
      </c>
      <c r="CI31" s="23" t="e">
        <f ca="1">'QTR Raw'!BC14</f>
        <v>#NAME?</v>
      </c>
      <c r="CJ31" s="23" t="e">
        <f ca="1">'QTR Raw'!BD14</f>
        <v>#NAME?</v>
      </c>
      <c r="CK31" s="23" t="e">
        <f ca="1">'QTR Raw'!BE14</f>
        <v>#NAME?</v>
      </c>
      <c r="CL31" s="23" t="e">
        <f ca="1">'QTR Raw'!BF14</f>
        <v>#NAME?</v>
      </c>
      <c r="CM31" s="24" t="e">
        <f t="shared" ref="CM31:DB31" ca="1" si="299">CM34-CM28-CM29-CM30-CM32-CM33</f>
        <v>#NAME?</v>
      </c>
      <c r="CN31" s="24" t="e">
        <f t="shared" ca="1" si="299"/>
        <v>#NAME?</v>
      </c>
      <c r="CO31" s="24" t="e">
        <f t="shared" ca="1" si="299"/>
        <v>#NAME?</v>
      </c>
      <c r="CP31" s="24" t="e">
        <f t="shared" ca="1" si="299"/>
        <v>#NAME?</v>
      </c>
      <c r="CQ31" s="24" t="e">
        <f t="shared" ca="1" si="299"/>
        <v>#NAME?</v>
      </c>
      <c r="CR31" s="24" t="e">
        <f t="shared" ca="1" si="299"/>
        <v>#NAME?</v>
      </c>
      <c r="CS31" s="24" t="e">
        <f t="shared" ca="1" si="299"/>
        <v>#NAME?</v>
      </c>
      <c r="CT31" s="24" t="e">
        <f t="shared" ca="1" si="299"/>
        <v>#NAME?</v>
      </c>
      <c r="CU31" s="24" t="e">
        <f t="shared" ca="1" si="299"/>
        <v>#NAME?</v>
      </c>
      <c r="CV31" s="24" t="e">
        <f t="shared" ca="1" si="299"/>
        <v>#NAME?</v>
      </c>
      <c r="CW31" s="24" t="e">
        <f t="shared" ca="1" si="299"/>
        <v>#NAME?</v>
      </c>
      <c r="CX31" s="24" t="e">
        <f t="shared" ca="1" si="299"/>
        <v>#NAME?</v>
      </c>
      <c r="CY31" s="24" t="e">
        <f t="shared" ca="1" si="299"/>
        <v>#NAME?</v>
      </c>
      <c r="CZ31" s="24" t="e">
        <f t="shared" ca="1" si="299"/>
        <v>#NAME?</v>
      </c>
      <c r="DA31" s="24" t="e">
        <f t="shared" ca="1" si="299"/>
        <v>#NAME?</v>
      </c>
      <c r="DB31" s="24" t="e">
        <f t="shared" ca="1" si="299"/>
        <v>#NAME?</v>
      </c>
      <c r="DE31" s="123"/>
      <c r="DF31" s="23">
        <v>6250.5300000000007</v>
      </c>
    </row>
    <row r="32" spans="1:110" s="23" customFormat="1" outlineLevel="1" x14ac:dyDescent="0.2">
      <c r="A32" s="23" t="s">
        <v>7</v>
      </c>
      <c r="B32" s="23" t="e">
        <f ca="1">'Annual Raw'!C13</f>
        <v>#NAME?</v>
      </c>
      <c r="C32" s="23" t="e">
        <f ca="1">'Annual Raw'!D13</f>
        <v>#NAME?</v>
      </c>
      <c r="D32" s="23" t="e">
        <f ca="1">'Annual Raw'!E13</f>
        <v>#NAME?</v>
      </c>
      <c r="E32" s="23" t="e">
        <f ca="1">'Annual Raw'!F13</f>
        <v>#NAME?</v>
      </c>
      <c r="F32" s="23" t="e">
        <f ca="1">'Annual Raw'!G13</f>
        <v>#NAME?</v>
      </c>
      <c r="G32" s="23" t="e">
        <f ca="1">'Annual Raw'!H13</f>
        <v>#NAME?</v>
      </c>
      <c r="H32" s="23" t="e">
        <f ca="1">'Annual Raw'!I13</f>
        <v>#NAME?</v>
      </c>
      <c r="I32" s="23" t="e">
        <f ca="1">'Annual Raw'!J13</f>
        <v>#NAME?</v>
      </c>
      <c r="J32" s="23" t="e">
        <f ca="1">'Annual Raw'!K13</f>
        <v>#NAME?</v>
      </c>
      <c r="K32" s="23" t="e">
        <f ca="1">'Annual Raw'!L13</f>
        <v>#NAME?</v>
      </c>
      <c r="L32" s="23" t="e">
        <f ca="1">'Annual Raw'!M13</f>
        <v>#NAME?</v>
      </c>
      <c r="M32" s="23" t="e">
        <f ca="1">'Annual Raw'!N13</f>
        <v>#NAME?</v>
      </c>
      <c r="N32" s="23" t="e">
        <f ca="1">'Annual Raw'!O13</f>
        <v>#NAME?</v>
      </c>
      <c r="O32" s="23" t="e">
        <f ca="1">'Annual Raw'!P13</f>
        <v>#NAME?</v>
      </c>
      <c r="P32" s="23" t="e">
        <f ca="1">'Annual Raw'!Q13</f>
        <v>#NAME?</v>
      </c>
      <c r="Q32" s="23" t="e">
        <f ca="1">'Annual Raw'!R13</f>
        <v>#NAME?</v>
      </c>
      <c r="R32" s="23" t="e">
        <f ca="1">'Annual Raw'!S13</f>
        <v>#NAME?</v>
      </c>
      <c r="S32" s="23" t="e">
        <f ca="1">'Annual Raw'!T13</f>
        <v>#NAME?</v>
      </c>
      <c r="T32" s="23" t="e">
        <f ca="1">'Annual Raw'!U13</f>
        <v>#NAME?</v>
      </c>
      <c r="U32" s="23" t="e">
        <f ca="1">'Annual Raw'!V13</f>
        <v>#NAME?</v>
      </c>
      <c r="V32" s="23" t="e">
        <f ca="1">'Annual Raw'!W13</f>
        <v>#NAME?</v>
      </c>
      <c r="W32" s="23" t="e">
        <f ca="1">'Annual Raw'!X13</f>
        <v>#NAME?</v>
      </c>
      <c r="X32" s="23" t="e">
        <f ca="1">'Annual Raw'!Y13</f>
        <v>#NAME?</v>
      </c>
      <c r="Y32" s="23" t="e">
        <f ca="1">'Annual Raw'!Z13</f>
        <v>#NAME?</v>
      </c>
      <c r="Z32" s="23" t="e">
        <f ca="1">'Annual Raw'!AA13</f>
        <v>#NAME?</v>
      </c>
      <c r="AA32" s="23" t="e">
        <f ca="1">'Annual Raw'!AB13</f>
        <v>#NAME?</v>
      </c>
      <c r="AB32" s="76">
        <f t="shared" si="294"/>
        <v>0</v>
      </c>
      <c r="AC32" s="76">
        <f t="shared" si="295"/>
        <v>0</v>
      </c>
      <c r="AD32" s="76">
        <f t="shared" si="296"/>
        <v>0</v>
      </c>
      <c r="AE32" s="76">
        <f t="shared" si="297"/>
        <v>0</v>
      </c>
      <c r="AI32" s="23" t="e">
        <f ca="1">'QTR Raw'!C15</f>
        <v>#NAME?</v>
      </c>
      <c r="AJ32" s="23" t="e">
        <f ca="1">'QTR Raw'!D15</f>
        <v>#NAME?</v>
      </c>
      <c r="AK32" s="23" t="e">
        <f ca="1">'QTR Raw'!E15</f>
        <v>#NAME?</v>
      </c>
      <c r="AL32" s="23" t="e">
        <f ca="1">'QTR Raw'!F15</f>
        <v>#NAME?</v>
      </c>
      <c r="AM32" s="23" t="e">
        <f ca="1">'QTR Raw'!G15</f>
        <v>#NAME?</v>
      </c>
      <c r="AN32" s="23" t="e">
        <f ca="1">'QTR Raw'!H15</f>
        <v>#NAME?</v>
      </c>
      <c r="AO32" s="23" t="e">
        <f ca="1">'QTR Raw'!I15</f>
        <v>#NAME?</v>
      </c>
      <c r="AP32" s="23" t="e">
        <f ca="1">'QTR Raw'!J15</f>
        <v>#NAME?</v>
      </c>
      <c r="AQ32" s="23" t="e">
        <f ca="1">'QTR Raw'!K15</f>
        <v>#NAME?</v>
      </c>
      <c r="AR32" s="23" t="e">
        <f ca="1">'QTR Raw'!L15</f>
        <v>#NAME?</v>
      </c>
      <c r="AS32" s="23" t="e">
        <f ca="1">'QTR Raw'!M15</f>
        <v>#NAME?</v>
      </c>
      <c r="AT32" s="23" t="e">
        <f ca="1">'QTR Raw'!N15</f>
        <v>#NAME?</v>
      </c>
      <c r="AU32" s="23" t="e">
        <f ca="1">'QTR Raw'!O15</f>
        <v>#NAME?</v>
      </c>
      <c r="AV32" s="23" t="e">
        <f ca="1">'QTR Raw'!P15</f>
        <v>#NAME?</v>
      </c>
      <c r="AW32" s="23" t="e">
        <f ca="1">'QTR Raw'!Q15</f>
        <v>#NAME?</v>
      </c>
      <c r="AX32" s="23" t="e">
        <f ca="1">'QTR Raw'!R15</f>
        <v>#NAME?</v>
      </c>
      <c r="AY32" s="23" t="e">
        <f ca="1">'QTR Raw'!S15</f>
        <v>#NAME?</v>
      </c>
      <c r="AZ32" s="23" t="e">
        <f ca="1">'QTR Raw'!T15</f>
        <v>#NAME?</v>
      </c>
      <c r="BA32" s="23" t="e">
        <f ca="1">'QTR Raw'!U15</f>
        <v>#NAME?</v>
      </c>
      <c r="BB32" s="23" t="e">
        <f ca="1">'QTR Raw'!V15</f>
        <v>#NAME?</v>
      </c>
      <c r="BC32" s="23" t="e">
        <f ca="1">'QTR Raw'!W15</f>
        <v>#NAME?</v>
      </c>
      <c r="BD32" s="23" t="e">
        <f ca="1">'QTR Raw'!X15</f>
        <v>#NAME?</v>
      </c>
      <c r="BE32" s="23" t="e">
        <f ca="1">'QTR Raw'!Y15</f>
        <v>#NAME?</v>
      </c>
      <c r="BF32" s="23" t="e">
        <f ca="1">'QTR Raw'!Z15</f>
        <v>#NAME?</v>
      </c>
      <c r="BG32" s="23" t="e">
        <f ca="1">'QTR Raw'!AA15</f>
        <v>#NAME?</v>
      </c>
      <c r="BH32" s="23" t="e">
        <f ca="1">'QTR Raw'!AB15</f>
        <v>#NAME?</v>
      </c>
      <c r="BI32" s="23" t="e">
        <f ca="1">'QTR Raw'!AC15</f>
        <v>#NAME?</v>
      </c>
      <c r="BJ32" s="23" t="e">
        <f ca="1">'QTR Raw'!AD15</f>
        <v>#NAME?</v>
      </c>
      <c r="BK32" s="23" t="e">
        <f ca="1">'QTR Raw'!AE15</f>
        <v>#NAME?</v>
      </c>
      <c r="BL32" s="23" t="e">
        <f ca="1">'QTR Raw'!AF15</f>
        <v>#NAME?</v>
      </c>
      <c r="BM32" s="23" t="e">
        <f ca="1">'QTR Raw'!AG15</f>
        <v>#NAME?</v>
      </c>
      <c r="BN32" s="23" t="e">
        <f ca="1">'QTR Raw'!AH15</f>
        <v>#NAME?</v>
      </c>
      <c r="BO32" s="23" t="e">
        <f ca="1">'QTR Raw'!AI15</f>
        <v>#NAME?</v>
      </c>
      <c r="BP32" s="23" t="e">
        <f ca="1">'QTR Raw'!AJ15</f>
        <v>#NAME?</v>
      </c>
      <c r="BQ32" s="23" t="e">
        <f ca="1">'QTR Raw'!AK15</f>
        <v>#NAME?</v>
      </c>
      <c r="BR32" s="23" t="e">
        <f ca="1">'QTR Raw'!AL15</f>
        <v>#NAME?</v>
      </c>
      <c r="BS32" s="23" t="e">
        <f ca="1">'QTR Raw'!AM15</f>
        <v>#NAME?</v>
      </c>
      <c r="BT32" s="23" t="e">
        <f ca="1">'QTR Raw'!AN15</f>
        <v>#NAME?</v>
      </c>
      <c r="BU32" s="23" t="e">
        <f ca="1">'QTR Raw'!AO15</f>
        <v>#NAME?</v>
      </c>
      <c r="BV32" s="23" t="e">
        <f ca="1">'QTR Raw'!AP15</f>
        <v>#NAME?</v>
      </c>
      <c r="BW32" s="23" t="e">
        <f ca="1">'QTR Raw'!AQ15</f>
        <v>#NAME?</v>
      </c>
      <c r="BX32" s="23" t="e">
        <f ca="1">'QTR Raw'!AR15</f>
        <v>#NAME?</v>
      </c>
      <c r="BY32" s="23" t="e">
        <f ca="1">'QTR Raw'!AS15</f>
        <v>#NAME?</v>
      </c>
      <c r="BZ32" s="23" t="e">
        <f ca="1">'QTR Raw'!AT15</f>
        <v>#NAME?</v>
      </c>
      <c r="CA32" s="23" t="e">
        <f ca="1">'QTR Raw'!AU15</f>
        <v>#NAME?</v>
      </c>
      <c r="CB32" s="23" t="e">
        <f ca="1">'QTR Raw'!AV15</f>
        <v>#NAME?</v>
      </c>
      <c r="CC32" s="23" t="e">
        <f ca="1">'QTR Raw'!AW15</f>
        <v>#NAME?</v>
      </c>
      <c r="CD32" s="23" t="e">
        <f ca="1">'QTR Raw'!AX15</f>
        <v>#NAME?</v>
      </c>
      <c r="CE32" s="23" t="e">
        <f ca="1">'QTR Raw'!AY15</f>
        <v>#NAME?</v>
      </c>
      <c r="CF32" s="23" t="e">
        <f ca="1">'QTR Raw'!AZ15</f>
        <v>#NAME?</v>
      </c>
      <c r="CG32" s="23" t="e">
        <f ca="1">'QTR Raw'!BA15</f>
        <v>#NAME?</v>
      </c>
      <c r="CH32" s="23" t="e">
        <f ca="1">'QTR Raw'!BB15</f>
        <v>#NAME?</v>
      </c>
      <c r="CI32" s="23" t="e">
        <f ca="1">'QTR Raw'!BC15</f>
        <v>#NAME?</v>
      </c>
      <c r="CJ32" s="23" t="e">
        <f ca="1">'QTR Raw'!BD15</f>
        <v>#NAME?</v>
      </c>
      <c r="CK32" s="23" t="e">
        <f ca="1">'QTR Raw'!BE15</f>
        <v>#NAME?</v>
      </c>
      <c r="CL32" s="23" t="e">
        <f ca="1">'QTR Raw'!BF15</f>
        <v>#NAME?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10023.779999999999</v>
      </c>
    </row>
    <row r="33" spans="1:110" s="23" customFormat="1" outlineLevel="1" x14ac:dyDescent="0.2">
      <c r="A33" s="23" t="s">
        <v>11</v>
      </c>
      <c r="B33" s="23" t="e">
        <f ca="1">'Annual Raw'!C18</f>
        <v>#NAME?</v>
      </c>
      <c r="C33" s="23" t="e">
        <f ca="1">'Annual Raw'!D18</f>
        <v>#NAME?</v>
      </c>
      <c r="D33" s="23" t="e">
        <f ca="1">'Annual Raw'!E18</f>
        <v>#NAME?</v>
      </c>
      <c r="E33" s="23" t="e">
        <f ca="1">'Annual Raw'!F18</f>
        <v>#NAME?</v>
      </c>
      <c r="F33" s="23" t="e">
        <f ca="1">'Annual Raw'!G18</f>
        <v>#NAME?</v>
      </c>
      <c r="G33" s="23" t="e">
        <f ca="1">'Annual Raw'!H18</f>
        <v>#NAME?</v>
      </c>
      <c r="H33" s="23" t="e">
        <f ca="1">'Annual Raw'!I18</f>
        <v>#NAME?</v>
      </c>
      <c r="I33" s="23" t="e">
        <f ca="1">'Annual Raw'!J18</f>
        <v>#NAME?</v>
      </c>
      <c r="J33" s="23" t="e">
        <f ca="1">'Annual Raw'!K18</f>
        <v>#NAME?</v>
      </c>
      <c r="K33" s="23" t="e">
        <f ca="1">'Annual Raw'!L18</f>
        <v>#NAME?</v>
      </c>
      <c r="L33" s="23" t="e">
        <f ca="1">'Annual Raw'!M18</f>
        <v>#NAME?</v>
      </c>
      <c r="M33" s="23" t="e">
        <f ca="1">'Annual Raw'!N18</f>
        <v>#NAME?</v>
      </c>
      <c r="N33" s="23" t="e">
        <f ca="1">'Annual Raw'!O18</f>
        <v>#NAME?</v>
      </c>
      <c r="O33" s="23" t="e">
        <f ca="1">'Annual Raw'!P18</f>
        <v>#NAME?</v>
      </c>
      <c r="P33" s="23" t="e">
        <f ca="1">'Annual Raw'!Q18</f>
        <v>#NAME?</v>
      </c>
      <c r="Q33" s="23" t="e">
        <f ca="1">'Annual Raw'!R18</f>
        <v>#NAME?</v>
      </c>
      <c r="R33" s="23" t="e">
        <f ca="1">'Annual Raw'!S18</f>
        <v>#NAME?</v>
      </c>
      <c r="S33" s="23" t="e">
        <f ca="1">'Annual Raw'!T18</f>
        <v>#NAME?</v>
      </c>
      <c r="T33" s="23" t="e">
        <f ca="1">'Annual Raw'!U18</f>
        <v>#NAME?</v>
      </c>
      <c r="U33" s="23" t="e">
        <f ca="1">'Annual Raw'!V18</f>
        <v>#NAME?</v>
      </c>
      <c r="V33" s="23" t="e">
        <f ca="1">'Annual Raw'!W18</f>
        <v>#NAME?</v>
      </c>
      <c r="W33" s="23" t="e">
        <f ca="1">'Annual Raw'!X18</f>
        <v>#NAME?</v>
      </c>
      <c r="X33" s="23" t="e">
        <f ca="1">'Annual Raw'!Y18</f>
        <v>#NAME?</v>
      </c>
      <c r="Y33" s="23" t="e">
        <f ca="1">'Annual Raw'!Z18</f>
        <v>#NAME?</v>
      </c>
      <c r="Z33" s="23" t="e">
        <f ca="1">'Annual Raw'!AA18</f>
        <v>#NAME?</v>
      </c>
      <c r="AA33" s="23" t="e">
        <f ca="1">'Annual Raw'!AB18</f>
        <v>#NAME?</v>
      </c>
      <c r="AB33" s="76">
        <f t="shared" si="294"/>
        <v>0</v>
      </c>
      <c r="AC33" s="76">
        <f t="shared" si="295"/>
        <v>0</v>
      </c>
      <c r="AD33" s="76">
        <f t="shared" si="296"/>
        <v>0</v>
      </c>
      <c r="AE33" s="76">
        <f t="shared" si="297"/>
        <v>0</v>
      </c>
      <c r="AI33" s="23" t="e">
        <f ca="1">'QTR Raw'!C18</f>
        <v>#NAME?</v>
      </c>
      <c r="AJ33" s="23" t="e">
        <f ca="1">'QTR Raw'!D18</f>
        <v>#NAME?</v>
      </c>
      <c r="AK33" s="23" t="e">
        <f ca="1">'QTR Raw'!E18</f>
        <v>#NAME?</v>
      </c>
      <c r="AL33" s="23" t="e">
        <f ca="1">'QTR Raw'!F18</f>
        <v>#NAME?</v>
      </c>
      <c r="AM33" s="23" t="e">
        <f ca="1">'QTR Raw'!G18</f>
        <v>#NAME?</v>
      </c>
      <c r="AN33" s="23" t="e">
        <f ca="1">'QTR Raw'!H18</f>
        <v>#NAME?</v>
      </c>
      <c r="AO33" s="23" t="e">
        <f ca="1">'QTR Raw'!I18</f>
        <v>#NAME?</v>
      </c>
      <c r="AP33" s="23" t="e">
        <f ca="1">'QTR Raw'!J18</f>
        <v>#NAME?</v>
      </c>
      <c r="AQ33" s="23" t="e">
        <f ca="1">'QTR Raw'!K18</f>
        <v>#NAME?</v>
      </c>
      <c r="AR33" s="23" t="e">
        <f ca="1">'QTR Raw'!L18</f>
        <v>#NAME?</v>
      </c>
      <c r="AS33" s="23" t="e">
        <f ca="1">'QTR Raw'!M18</f>
        <v>#NAME?</v>
      </c>
      <c r="AT33" s="23" t="e">
        <f ca="1">'QTR Raw'!N18</f>
        <v>#NAME?</v>
      </c>
      <c r="AU33" s="23" t="e">
        <f ca="1">'QTR Raw'!O18</f>
        <v>#NAME?</v>
      </c>
      <c r="AV33" s="23" t="e">
        <f ca="1">'QTR Raw'!P18</f>
        <v>#NAME?</v>
      </c>
      <c r="AW33" s="23" t="e">
        <f ca="1">'QTR Raw'!Q18</f>
        <v>#NAME?</v>
      </c>
      <c r="AX33" s="23" t="e">
        <f ca="1">'QTR Raw'!R18</f>
        <v>#NAME?</v>
      </c>
      <c r="AY33" s="23" t="e">
        <f ca="1">'QTR Raw'!S18</f>
        <v>#NAME?</v>
      </c>
      <c r="AZ33" s="23" t="e">
        <f ca="1">'QTR Raw'!T18</f>
        <v>#NAME?</v>
      </c>
      <c r="BA33" s="23" t="e">
        <f ca="1">'QTR Raw'!U18</f>
        <v>#NAME?</v>
      </c>
      <c r="BB33" s="23" t="e">
        <f ca="1">'QTR Raw'!V18</f>
        <v>#NAME?</v>
      </c>
      <c r="BC33" s="23" t="e">
        <f ca="1">'QTR Raw'!W18</f>
        <v>#NAME?</v>
      </c>
      <c r="BD33" s="23" t="e">
        <f ca="1">'QTR Raw'!X18</f>
        <v>#NAME?</v>
      </c>
      <c r="BE33" s="23" t="e">
        <f ca="1">'QTR Raw'!Y18</f>
        <v>#NAME?</v>
      </c>
      <c r="BF33" s="23" t="e">
        <f ca="1">'QTR Raw'!Z18</f>
        <v>#NAME?</v>
      </c>
      <c r="BG33" s="23" t="e">
        <f ca="1">'QTR Raw'!AA18</f>
        <v>#NAME?</v>
      </c>
      <c r="BH33" s="23" t="e">
        <f ca="1">'QTR Raw'!AB18</f>
        <v>#NAME?</v>
      </c>
      <c r="BI33" s="23" t="e">
        <f ca="1">'QTR Raw'!AC18</f>
        <v>#NAME?</v>
      </c>
      <c r="BJ33" s="23" t="e">
        <f ca="1">'QTR Raw'!AD18</f>
        <v>#NAME?</v>
      </c>
      <c r="BK33" s="23" t="e">
        <f ca="1">'QTR Raw'!AE18</f>
        <v>#NAME?</v>
      </c>
      <c r="BL33" s="23" t="e">
        <f ca="1">'QTR Raw'!AF18</f>
        <v>#NAME?</v>
      </c>
      <c r="BM33" s="23" t="e">
        <f ca="1">'QTR Raw'!AG18</f>
        <v>#NAME?</v>
      </c>
      <c r="BN33" s="23" t="e">
        <f ca="1">'QTR Raw'!AH18</f>
        <v>#NAME?</v>
      </c>
      <c r="BO33" s="23" t="e">
        <f ca="1">'QTR Raw'!AI18</f>
        <v>#NAME?</v>
      </c>
      <c r="BP33" s="23" t="e">
        <f ca="1">'QTR Raw'!AJ18</f>
        <v>#NAME?</v>
      </c>
      <c r="BQ33" s="23" t="e">
        <f ca="1">'QTR Raw'!AK18</f>
        <v>#NAME?</v>
      </c>
      <c r="BR33" s="23" t="e">
        <f ca="1">'QTR Raw'!AL18</f>
        <v>#NAME?</v>
      </c>
      <c r="BS33" s="23" t="e">
        <f ca="1">'QTR Raw'!AM18</f>
        <v>#NAME?</v>
      </c>
      <c r="BT33" s="23" t="e">
        <f ca="1">'QTR Raw'!AN18</f>
        <v>#NAME?</v>
      </c>
      <c r="BU33" s="23" t="e">
        <f ca="1">'QTR Raw'!AO18</f>
        <v>#NAME?</v>
      </c>
      <c r="BV33" s="23" t="e">
        <f ca="1">'QTR Raw'!AP18</f>
        <v>#NAME?</v>
      </c>
      <c r="BW33" s="23" t="e">
        <f ca="1">'QTR Raw'!AQ18</f>
        <v>#NAME?</v>
      </c>
      <c r="BX33" s="23" t="e">
        <f ca="1">'QTR Raw'!AR18</f>
        <v>#NAME?</v>
      </c>
      <c r="BY33" s="23" t="e">
        <f ca="1">'QTR Raw'!AS18</f>
        <v>#NAME?</v>
      </c>
      <c r="BZ33" s="23" t="e">
        <f ca="1">'QTR Raw'!AT18</f>
        <v>#NAME?</v>
      </c>
      <c r="CA33" s="23" t="e">
        <f ca="1">'QTR Raw'!AU18</f>
        <v>#NAME?</v>
      </c>
      <c r="CB33" s="23" t="e">
        <f ca="1">'QTR Raw'!AV18</f>
        <v>#NAME?</v>
      </c>
      <c r="CC33" s="23" t="e">
        <f ca="1">'QTR Raw'!AW18</f>
        <v>#NAME?</v>
      </c>
      <c r="CD33" s="23" t="e">
        <f ca="1">'QTR Raw'!AX18</f>
        <v>#NAME?</v>
      </c>
      <c r="CE33" s="23" t="e">
        <f ca="1">'QTR Raw'!AY18</f>
        <v>#NAME?</v>
      </c>
      <c r="CF33" s="23" t="e">
        <f ca="1">'QTR Raw'!AZ18</f>
        <v>#NAME?</v>
      </c>
      <c r="CG33" s="23" t="e">
        <f ca="1">'QTR Raw'!BA18</f>
        <v>#NAME?</v>
      </c>
      <c r="CH33" s="23" t="e">
        <f ca="1">'QTR Raw'!BB18</f>
        <v>#NAME?</v>
      </c>
      <c r="CI33" s="23" t="e">
        <f ca="1">'QTR Raw'!BC18</f>
        <v>#NAME?</v>
      </c>
      <c r="CJ33" s="23" t="e">
        <f ca="1">'QTR Raw'!BD18</f>
        <v>#NAME?</v>
      </c>
      <c r="CK33" s="23" t="e">
        <f ca="1">'QTR Raw'!BE18</f>
        <v>#NAME?</v>
      </c>
      <c r="CL33" s="23" t="e">
        <f ca="1">'QTR Raw'!BF18</f>
        <v>#NAME?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9497.2799999999988</v>
      </c>
    </row>
    <row r="34" spans="1:110" s="22" customFormat="1" x14ac:dyDescent="0.2">
      <c r="A34" s="33" t="s">
        <v>348</v>
      </c>
      <c r="B34" s="22" t="e">
        <f t="shared" ref="B34:E34" ca="1" si="300">+SUM(B28:B33)</f>
        <v>#NAME?</v>
      </c>
      <c r="C34" s="22" t="e">
        <f t="shared" ca="1" si="300"/>
        <v>#NAME?</v>
      </c>
      <c r="D34" s="22" t="e">
        <f t="shared" ca="1" si="300"/>
        <v>#NAME?</v>
      </c>
      <c r="E34" s="22" t="e">
        <f t="shared" ca="1" si="300"/>
        <v>#NAME?</v>
      </c>
      <c r="F34" s="22" t="e">
        <f t="shared" ref="F34:AE34" ca="1" si="301">+SUM(F28:F33)</f>
        <v>#NAME?</v>
      </c>
      <c r="G34" s="22" t="e">
        <f t="shared" ca="1" si="301"/>
        <v>#NAME?</v>
      </c>
      <c r="H34" s="22" t="e">
        <f t="shared" ca="1" si="301"/>
        <v>#NAME?</v>
      </c>
      <c r="I34" s="22" t="e">
        <f t="shared" ca="1" si="301"/>
        <v>#NAME?</v>
      </c>
      <c r="J34" s="22" t="e">
        <f t="shared" ca="1" si="301"/>
        <v>#NAME?</v>
      </c>
      <c r="K34" s="22" t="e">
        <f t="shared" ca="1" si="301"/>
        <v>#NAME?</v>
      </c>
      <c r="L34" s="22" t="e">
        <f t="shared" ca="1" si="301"/>
        <v>#NAME?</v>
      </c>
      <c r="M34" s="22" t="e">
        <f t="shared" ca="1" si="301"/>
        <v>#NAME?</v>
      </c>
      <c r="N34" s="22" t="e">
        <f t="shared" ca="1" si="301"/>
        <v>#NAME?</v>
      </c>
      <c r="O34" s="22" t="e">
        <f t="shared" ca="1" si="301"/>
        <v>#NAME?</v>
      </c>
      <c r="P34" s="22" t="e">
        <f t="shared" ca="1" si="301"/>
        <v>#NAME?</v>
      </c>
      <c r="Q34" s="22" t="e">
        <f t="shared" ca="1" si="301"/>
        <v>#NAME?</v>
      </c>
      <c r="R34" s="22" t="e">
        <f t="shared" ca="1" si="301"/>
        <v>#NAME?</v>
      </c>
      <c r="S34" s="22" t="e">
        <f t="shared" ca="1" si="301"/>
        <v>#NAME?</v>
      </c>
      <c r="T34" s="22" t="e">
        <f t="shared" ca="1" si="301"/>
        <v>#NAME?</v>
      </c>
      <c r="U34" s="22" t="e">
        <f t="shared" ca="1" si="301"/>
        <v>#NAME?</v>
      </c>
      <c r="V34" s="22" t="e">
        <f t="shared" ca="1" si="301"/>
        <v>#NAME?</v>
      </c>
      <c r="W34" s="22" t="e">
        <f t="shared" ca="1" si="301"/>
        <v>#NAME?</v>
      </c>
      <c r="X34" s="22" t="e">
        <f t="shared" ca="1" si="301"/>
        <v>#NAME?</v>
      </c>
      <c r="Y34" s="22" t="e">
        <f t="shared" ca="1" si="301"/>
        <v>#NAME?</v>
      </c>
      <c r="Z34" s="22" t="e">
        <f t="shared" ref="Z34:AA34" ca="1" si="302">+SUM(Z28:Z33)</f>
        <v>#NAME?</v>
      </c>
      <c r="AA34" s="22" t="e">
        <f t="shared" ca="1" si="302"/>
        <v>#NAME?</v>
      </c>
      <c r="AB34" s="21" t="e">
        <f t="shared" ca="1" si="301"/>
        <v>#NAME?</v>
      </c>
      <c r="AC34" s="21" t="e">
        <f t="shared" ca="1" si="301"/>
        <v>#NAME?</v>
      </c>
      <c r="AD34" s="21" t="e">
        <f t="shared" ca="1" si="301"/>
        <v>#NAME?</v>
      </c>
      <c r="AE34" s="21" t="e">
        <f t="shared" ca="1" si="301"/>
        <v>#NAME?</v>
      </c>
      <c r="AI34" s="22" t="e">
        <f t="shared" ref="AI34:BN34" ca="1" si="303">+SUM(AI28:AI33)</f>
        <v>#NAME?</v>
      </c>
      <c r="AJ34" s="22" t="e">
        <f t="shared" ca="1" si="303"/>
        <v>#NAME?</v>
      </c>
      <c r="AK34" s="22" t="e">
        <f t="shared" ca="1" si="303"/>
        <v>#NAME?</v>
      </c>
      <c r="AL34" s="22" t="e">
        <f t="shared" ca="1" si="303"/>
        <v>#NAME?</v>
      </c>
      <c r="AM34" s="22" t="e">
        <f t="shared" ca="1" si="303"/>
        <v>#NAME?</v>
      </c>
      <c r="AN34" s="22" t="e">
        <f t="shared" ca="1" si="303"/>
        <v>#NAME?</v>
      </c>
      <c r="AO34" s="22" t="e">
        <f t="shared" ca="1" si="303"/>
        <v>#NAME?</v>
      </c>
      <c r="AP34" s="22" t="e">
        <f t="shared" ca="1" si="303"/>
        <v>#NAME?</v>
      </c>
      <c r="AQ34" s="22" t="e">
        <f t="shared" ca="1" si="303"/>
        <v>#NAME?</v>
      </c>
      <c r="AR34" s="22" t="e">
        <f t="shared" ca="1" si="303"/>
        <v>#NAME?</v>
      </c>
      <c r="AS34" s="22" t="e">
        <f t="shared" ca="1" si="303"/>
        <v>#NAME?</v>
      </c>
      <c r="AT34" s="22" t="e">
        <f t="shared" ca="1" si="303"/>
        <v>#NAME?</v>
      </c>
      <c r="AU34" s="22" t="e">
        <f t="shared" ca="1" si="303"/>
        <v>#NAME?</v>
      </c>
      <c r="AV34" s="22" t="e">
        <f t="shared" ca="1" si="303"/>
        <v>#NAME?</v>
      </c>
      <c r="AW34" s="22" t="e">
        <f t="shared" ca="1" si="303"/>
        <v>#NAME?</v>
      </c>
      <c r="AX34" s="22" t="e">
        <f t="shared" ca="1" si="303"/>
        <v>#NAME?</v>
      </c>
      <c r="AY34" s="22" t="e">
        <f t="shared" ca="1" si="303"/>
        <v>#NAME?</v>
      </c>
      <c r="AZ34" s="22" t="e">
        <f t="shared" ca="1" si="303"/>
        <v>#NAME?</v>
      </c>
      <c r="BA34" s="22" t="e">
        <f t="shared" ca="1" si="303"/>
        <v>#NAME?</v>
      </c>
      <c r="BB34" s="22" t="e">
        <f t="shared" ca="1" si="303"/>
        <v>#NAME?</v>
      </c>
      <c r="BC34" s="22" t="e">
        <f t="shared" ca="1" si="303"/>
        <v>#NAME?</v>
      </c>
      <c r="BD34" s="22" t="e">
        <f t="shared" ca="1" si="303"/>
        <v>#NAME?</v>
      </c>
      <c r="BE34" s="22" t="e">
        <f t="shared" ca="1" si="303"/>
        <v>#NAME?</v>
      </c>
      <c r="BF34" s="22" t="e">
        <f t="shared" ca="1" si="303"/>
        <v>#NAME?</v>
      </c>
      <c r="BG34" s="22" t="e">
        <f t="shared" ca="1" si="303"/>
        <v>#NAME?</v>
      </c>
      <c r="BH34" s="22" t="e">
        <f t="shared" ca="1" si="303"/>
        <v>#NAME?</v>
      </c>
      <c r="BI34" s="22" t="e">
        <f t="shared" ca="1" si="303"/>
        <v>#NAME?</v>
      </c>
      <c r="BJ34" s="22" t="e">
        <f t="shared" ca="1" si="303"/>
        <v>#NAME?</v>
      </c>
      <c r="BK34" s="22" t="e">
        <f t="shared" ca="1" si="303"/>
        <v>#NAME?</v>
      </c>
      <c r="BL34" s="22" t="e">
        <f t="shared" ca="1" si="303"/>
        <v>#NAME?</v>
      </c>
      <c r="BM34" s="22" t="e">
        <f t="shared" ca="1" si="303"/>
        <v>#NAME?</v>
      </c>
      <c r="BN34" s="22" t="e">
        <f t="shared" ca="1" si="303"/>
        <v>#NAME?</v>
      </c>
      <c r="BO34" s="22" t="e">
        <f t="shared" ref="BO34:CH34" ca="1" si="304">+SUM(BO28:BO33)</f>
        <v>#NAME?</v>
      </c>
      <c r="BP34" s="22" t="e">
        <f t="shared" ca="1" si="304"/>
        <v>#NAME?</v>
      </c>
      <c r="BQ34" s="22" t="e">
        <f t="shared" ca="1" si="304"/>
        <v>#NAME?</v>
      </c>
      <c r="BR34" s="22" t="e">
        <f t="shared" ca="1" si="304"/>
        <v>#NAME?</v>
      </c>
      <c r="BS34" s="22" t="e">
        <f t="shared" ca="1" si="304"/>
        <v>#NAME?</v>
      </c>
      <c r="BT34" s="22" t="e">
        <f t="shared" ca="1" si="304"/>
        <v>#NAME?</v>
      </c>
      <c r="BU34" s="22" t="e">
        <f t="shared" ca="1" si="304"/>
        <v>#NAME?</v>
      </c>
      <c r="BV34" s="22" t="e">
        <f t="shared" ca="1" si="304"/>
        <v>#NAME?</v>
      </c>
      <c r="BW34" s="22" t="e">
        <f t="shared" ca="1" si="304"/>
        <v>#NAME?</v>
      </c>
      <c r="BX34" s="22" t="e">
        <f t="shared" ca="1" si="304"/>
        <v>#NAME?</v>
      </c>
      <c r="BY34" s="22" t="e">
        <f t="shared" ca="1" si="304"/>
        <v>#NAME?</v>
      </c>
      <c r="BZ34" s="22" t="e">
        <f t="shared" ca="1" si="304"/>
        <v>#NAME?</v>
      </c>
      <c r="CA34" s="22" t="e">
        <f t="shared" ca="1" si="304"/>
        <v>#NAME?</v>
      </c>
      <c r="CB34" s="22" t="e">
        <f t="shared" ca="1" si="304"/>
        <v>#NAME?</v>
      </c>
      <c r="CC34" s="22" t="e">
        <f t="shared" ca="1" si="304"/>
        <v>#NAME?</v>
      </c>
      <c r="CD34" s="22" t="e">
        <f t="shared" ca="1" si="304"/>
        <v>#NAME?</v>
      </c>
      <c r="CE34" s="22" t="e">
        <f t="shared" ca="1" si="304"/>
        <v>#NAME?</v>
      </c>
      <c r="CF34" s="22" t="e">
        <f t="shared" ca="1" si="304"/>
        <v>#NAME?</v>
      </c>
      <c r="CG34" s="22" t="e">
        <f t="shared" ca="1" si="304"/>
        <v>#NAME?</v>
      </c>
      <c r="CH34" s="22" t="e">
        <f t="shared" ca="1" si="304"/>
        <v>#NAME?</v>
      </c>
      <c r="CI34" s="22" t="e">
        <f t="shared" ref="CI34:CJ34" ca="1" si="305">+SUM(CI28:CI33)</f>
        <v>#NAME?</v>
      </c>
      <c r="CJ34" s="22" t="e">
        <f t="shared" ca="1" si="305"/>
        <v>#NAME?</v>
      </c>
      <c r="CK34" s="22" t="e">
        <f t="shared" ref="CK34:CL34" ca="1" si="306">+SUM(CK28:CK33)</f>
        <v>#NAME?</v>
      </c>
      <c r="CL34" s="22" t="e">
        <f t="shared" ca="1" si="306"/>
        <v>#NAME?</v>
      </c>
      <c r="CM34" s="21" t="e">
        <f t="shared" ref="CM34:DB34" ca="1" si="307">CM35*CM18</f>
        <v>#NAME?</v>
      </c>
      <c r="CN34" s="21" t="e">
        <f t="shared" ca="1" si="307"/>
        <v>#NAME?</v>
      </c>
      <c r="CO34" s="21" t="e">
        <f t="shared" ca="1" si="307"/>
        <v>#NAME?</v>
      </c>
      <c r="CP34" s="21" t="e">
        <f t="shared" ca="1" si="307"/>
        <v>#NAME?</v>
      </c>
      <c r="CQ34" s="21" t="e">
        <f t="shared" ca="1" si="307"/>
        <v>#NAME?</v>
      </c>
      <c r="CR34" s="21" t="e">
        <f t="shared" ca="1" si="307"/>
        <v>#NAME?</v>
      </c>
      <c r="CS34" s="21" t="e">
        <f t="shared" ca="1" si="307"/>
        <v>#NAME?</v>
      </c>
      <c r="CT34" s="21" t="e">
        <f t="shared" ca="1" si="307"/>
        <v>#NAME?</v>
      </c>
      <c r="CU34" s="21" t="e">
        <f t="shared" ca="1" si="307"/>
        <v>#NAME?</v>
      </c>
      <c r="CV34" s="21" t="e">
        <f t="shared" ca="1" si="307"/>
        <v>#NAME?</v>
      </c>
      <c r="CW34" s="21" t="e">
        <f t="shared" ca="1" si="307"/>
        <v>#NAME?</v>
      </c>
      <c r="CX34" s="21" t="e">
        <f t="shared" ca="1" si="307"/>
        <v>#NAME?</v>
      </c>
      <c r="CY34" s="21" t="e">
        <f t="shared" ca="1" si="307"/>
        <v>#NAME?</v>
      </c>
      <c r="CZ34" s="21" t="e">
        <f t="shared" ca="1" si="307"/>
        <v>#NAME?</v>
      </c>
      <c r="DA34" s="21" t="e">
        <f t="shared" ca="1" si="307"/>
        <v>#NAME?</v>
      </c>
      <c r="DB34" s="21" t="e">
        <f t="shared" ca="1" si="307"/>
        <v>#NAME?</v>
      </c>
      <c r="DE34" s="126"/>
      <c r="DF34" s="22">
        <v>27374.239999999998</v>
      </c>
    </row>
    <row r="35" spans="1:110" s="44" customFormat="1" x14ac:dyDescent="0.2">
      <c r="A35" s="43" t="s">
        <v>349</v>
      </c>
      <c r="B35" s="44" t="e">
        <f t="shared" ref="B35:E35" ca="1" si="308">B34/B18</f>
        <v>#NAME?</v>
      </c>
      <c r="C35" s="44" t="e">
        <f t="shared" ca="1" si="308"/>
        <v>#NAME?</v>
      </c>
      <c r="D35" s="44" t="e">
        <f t="shared" ca="1" si="308"/>
        <v>#NAME?</v>
      </c>
      <c r="E35" s="44" t="e">
        <f t="shared" ca="1" si="308"/>
        <v>#NAME?</v>
      </c>
      <c r="F35" s="44" t="e">
        <f t="shared" ref="F35:AE35" ca="1" si="309">F34/F18</f>
        <v>#NAME?</v>
      </c>
      <c r="G35" s="44" t="e">
        <f t="shared" ca="1" si="309"/>
        <v>#NAME?</v>
      </c>
      <c r="H35" s="44" t="e">
        <f t="shared" ca="1" si="309"/>
        <v>#NAME?</v>
      </c>
      <c r="I35" s="44" t="e">
        <f t="shared" ca="1" si="309"/>
        <v>#NAME?</v>
      </c>
      <c r="J35" s="44" t="e">
        <f t="shared" ca="1" si="309"/>
        <v>#NAME?</v>
      </c>
      <c r="K35" s="44" t="e">
        <f t="shared" ca="1" si="309"/>
        <v>#NAME?</v>
      </c>
      <c r="L35" s="44" t="e">
        <f t="shared" ca="1" si="309"/>
        <v>#NAME?</v>
      </c>
      <c r="M35" s="44" t="e">
        <f t="shared" ca="1" si="309"/>
        <v>#NAME?</v>
      </c>
      <c r="N35" s="44" t="e">
        <f t="shared" ca="1" si="309"/>
        <v>#NAME?</v>
      </c>
      <c r="O35" s="44" t="e">
        <f t="shared" ca="1" si="309"/>
        <v>#NAME?</v>
      </c>
      <c r="P35" s="44" t="e">
        <f t="shared" ca="1" si="309"/>
        <v>#NAME?</v>
      </c>
      <c r="Q35" s="44" t="e">
        <f t="shared" ca="1" si="309"/>
        <v>#NAME?</v>
      </c>
      <c r="R35" s="44" t="e">
        <f t="shared" ca="1" si="309"/>
        <v>#NAME?</v>
      </c>
      <c r="S35" s="44" t="e">
        <f t="shared" ca="1" si="309"/>
        <v>#NAME?</v>
      </c>
      <c r="T35" s="44" t="e">
        <f t="shared" ca="1" si="309"/>
        <v>#NAME?</v>
      </c>
      <c r="U35" s="44" t="e">
        <f t="shared" ca="1" si="309"/>
        <v>#NAME?</v>
      </c>
      <c r="V35" s="44" t="e">
        <f t="shared" ca="1" si="309"/>
        <v>#NAME?</v>
      </c>
      <c r="W35" s="44" t="e">
        <f t="shared" ca="1" si="309"/>
        <v>#NAME?</v>
      </c>
      <c r="X35" s="44" t="e">
        <f t="shared" ca="1" si="309"/>
        <v>#NAME?</v>
      </c>
      <c r="Y35" s="44" t="e">
        <f t="shared" ca="1" si="309"/>
        <v>#NAME?</v>
      </c>
      <c r="Z35" s="44" t="e">
        <f t="shared" ref="Z35:AA35" ca="1" si="310">Z34/Z18</f>
        <v>#NAME?</v>
      </c>
      <c r="AA35" s="44" t="e">
        <f t="shared" ca="1" si="310"/>
        <v>#NAME?</v>
      </c>
      <c r="AB35" s="52" t="e">
        <f t="shared" ca="1" si="309"/>
        <v>#NAME?</v>
      </c>
      <c r="AC35" s="52" t="e">
        <f t="shared" ca="1" si="309"/>
        <v>#NAME?</v>
      </c>
      <c r="AD35" s="52" t="e">
        <f t="shared" ca="1" si="309"/>
        <v>#NAME?</v>
      </c>
      <c r="AE35" s="52" t="e">
        <f t="shared" ca="1" si="309"/>
        <v>#NAME?</v>
      </c>
      <c r="AI35" s="44" t="e">
        <f t="shared" ref="AI35:BN35" ca="1" si="311">AI34/AI18</f>
        <v>#NAME?</v>
      </c>
      <c r="AJ35" s="44" t="e">
        <f t="shared" ca="1" si="311"/>
        <v>#NAME?</v>
      </c>
      <c r="AK35" s="44" t="e">
        <f t="shared" ca="1" si="311"/>
        <v>#NAME?</v>
      </c>
      <c r="AL35" s="44" t="e">
        <f t="shared" ca="1" si="311"/>
        <v>#NAME?</v>
      </c>
      <c r="AM35" s="44" t="e">
        <f t="shared" ca="1" si="311"/>
        <v>#NAME?</v>
      </c>
      <c r="AN35" s="44" t="e">
        <f t="shared" ca="1" si="311"/>
        <v>#NAME?</v>
      </c>
      <c r="AO35" s="44" t="e">
        <f t="shared" ca="1" si="311"/>
        <v>#NAME?</v>
      </c>
      <c r="AP35" s="44" t="e">
        <f t="shared" ca="1" si="311"/>
        <v>#NAME?</v>
      </c>
      <c r="AQ35" s="44" t="e">
        <f t="shared" ca="1" si="311"/>
        <v>#NAME?</v>
      </c>
      <c r="AR35" s="44" t="e">
        <f t="shared" ca="1" si="311"/>
        <v>#NAME?</v>
      </c>
      <c r="AS35" s="44" t="e">
        <f t="shared" ca="1" si="311"/>
        <v>#NAME?</v>
      </c>
      <c r="AT35" s="44" t="e">
        <f t="shared" ca="1" si="311"/>
        <v>#NAME?</v>
      </c>
      <c r="AU35" s="44" t="e">
        <f t="shared" ca="1" si="311"/>
        <v>#NAME?</v>
      </c>
      <c r="AV35" s="44" t="e">
        <f t="shared" ca="1" si="311"/>
        <v>#NAME?</v>
      </c>
      <c r="AW35" s="44" t="e">
        <f t="shared" ca="1" si="311"/>
        <v>#NAME?</v>
      </c>
      <c r="AX35" s="44" t="e">
        <f t="shared" ca="1" si="311"/>
        <v>#NAME?</v>
      </c>
      <c r="AY35" s="44" t="e">
        <f t="shared" ca="1" si="311"/>
        <v>#NAME?</v>
      </c>
      <c r="AZ35" s="44" t="e">
        <f t="shared" ca="1" si="311"/>
        <v>#NAME?</v>
      </c>
      <c r="BA35" s="44" t="e">
        <f t="shared" ca="1" si="311"/>
        <v>#NAME?</v>
      </c>
      <c r="BB35" s="44" t="e">
        <f t="shared" ca="1" si="311"/>
        <v>#NAME?</v>
      </c>
      <c r="BC35" s="44" t="e">
        <f t="shared" ca="1" si="311"/>
        <v>#NAME?</v>
      </c>
      <c r="BD35" s="44" t="e">
        <f t="shared" ca="1" si="311"/>
        <v>#NAME?</v>
      </c>
      <c r="BE35" s="44" t="e">
        <f t="shared" ca="1" si="311"/>
        <v>#NAME?</v>
      </c>
      <c r="BF35" s="44" t="e">
        <f t="shared" ca="1" si="311"/>
        <v>#NAME?</v>
      </c>
      <c r="BG35" s="44" t="e">
        <f t="shared" ca="1" si="311"/>
        <v>#NAME?</v>
      </c>
      <c r="BH35" s="44" t="e">
        <f t="shared" ca="1" si="311"/>
        <v>#NAME?</v>
      </c>
      <c r="BI35" s="44" t="e">
        <f t="shared" ca="1" si="311"/>
        <v>#NAME?</v>
      </c>
      <c r="BJ35" s="44" t="e">
        <f t="shared" ca="1" si="311"/>
        <v>#NAME?</v>
      </c>
      <c r="BK35" s="44" t="e">
        <f t="shared" ca="1" si="311"/>
        <v>#NAME?</v>
      </c>
      <c r="BL35" s="44" t="e">
        <f t="shared" ca="1" si="311"/>
        <v>#NAME?</v>
      </c>
      <c r="BM35" s="44" t="e">
        <f t="shared" ca="1" si="311"/>
        <v>#NAME?</v>
      </c>
      <c r="BN35" s="44" t="e">
        <f t="shared" ca="1" si="311"/>
        <v>#NAME?</v>
      </c>
      <c r="BO35" s="44" t="e">
        <f t="shared" ref="BO35:CH35" ca="1" si="312">BO34/BO18</f>
        <v>#NAME?</v>
      </c>
      <c r="BP35" s="44" t="e">
        <f t="shared" ca="1" si="312"/>
        <v>#NAME?</v>
      </c>
      <c r="BQ35" s="44" t="e">
        <f t="shared" ca="1" si="312"/>
        <v>#NAME?</v>
      </c>
      <c r="BR35" s="44" t="e">
        <f t="shared" ca="1" si="312"/>
        <v>#NAME?</v>
      </c>
      <c r="BS35" s="44" t="e">
        <f t="shared" ca="1" si="312"/>
        <v>#NAME?</v>
      </c>
      <c r="BT35" s="44" t="e">
        <f t="shared" ca="1" si="312"/>
        <v>#NAME?</v>
      </c>
      <c r="BU35" s="44" t="e">
        <f t="shared" ca="1" si="312"/>
        <v>#NAME?</v>
      </c>
      <c r="BV35" s="44" t="e">
        <f t="shared" ca="1" si="312"/>
        <v>#NAME?</v>
      </c>
      <c r="BW35" s="44" t="e">
        <f t="shared" ca="1" si="312"/>
        <v>#NAME?</v>
      </c>
      <c r="BX35" s="44" t="e">
        <f t="shared" ca="1" si="312"/>
        <v>#NAME?</v>
      </c>
      <c r="BY35" s="44" t="e">
        <f t="shared" ca="1" si="312"/>
        <v>#NAME?</v>
      </c>
      <c r="BZ35" s="44" t="e">
        <f t="shared" ca="1" si="312"/>
        <v>#NAME?</v>
      </c>
      <c r="CA35" s="44" t="e">
        <f t="shared" ca="1" si="312"/>
        <v>#NAME?</v>
      </c>
      <c r="CB35" s="44" t="e">
        <f t="shared" ca="1" si="312"/>
        <v>#NAME?</v>
      </c>
      <c r="CC35" s="44" t="e">
        <f t="shared" ca="1" si="312"/>
        <v>#NAME?</v>
      </c>
      <c r="CD35" s="44" t="e">
        <f t="shared" ca="1" si="312"/>
        <v>#NAME?</v>
      </c>
      <c r="CE35" s="44" t="e">
        <f t="shared" ca="1" si="312"/>
        <v>#NAME?</v>
      </c>
      <c r="CF35" s="44" t="e">
        <f t="shared" ca="1" si="312"/>
        <v>#NAME?</v>
      </c>
      <c r="CG35" s="44" t="e">
        <f t="shared" ca="1" si="312"/>
        <v>#NAME?</v>
      </c>
      <c r="CH35" s="44" t="e">
        <f t="shared" ca="1" si="312"/>
        <v>#NAME?</v>
      </c>
      <c r="CI35" s="44" t="e">
        <f t="shared" ref="CI35:CJ35" ca="1" si="313">CI34/CI18</f>
        <v>#NAME?</v>
      </c>
      <c r="CJ35" s="44" t="e">
        <f t="shared" ca="1" si="313"/>
        <v>#NAME?</v>
      </c>
      <c r="CK35" s="44" t="e">
        <f t="shared" ref="CK35:CL35" ca="1" si="314">CK34/CK18</f>
        <v>#NAME?</v>
      </c>
      <c r="CL35" s="44" t="e">
        <f t="shared" ca="1" si="314"/>
        <v>#NAME?</v>
      </c>
      <c r="CM35" s="52" t="e">
        <f ca="1">AVERAGE(CI35:CL35)*0.99</f>
        <v>#NAME?</v>
      </c>
      <c r="CN35" s="52" t="e">
        <f t="shared" ref="CN35" ca="1" si="315">AVERAGE(CJ35:CM35)*0.99</f>
        <v>#NAME?</v>
      </c>
      <c r="CO35" s="52" t="e">
        <f t="shared" ref="CO35:CP35" ca="1" si="316">AVERAGE(CK35:CN35)</f>
        <v>#NAME?</v>
      </c>
      <c r="CP35" s="52" t="e">
        <f t="shared" ca="1" si="316"/>
        <v>#NAME?</v>
      </c>
      <c r="CQ35" s="52" t="e">
        <f ca="1">AVERAGE(CM35:CP35)*0.98</f>
        <v>#NAME?</v>
      </c>
      <c r="CR35" s="52" t="e">
        <f ca="1">AVERAGE(CN35:CQ35)*0.99</f>
        <v>#NAME?</v>
      </c>
      <c r="CS35" s="52" t="e">
        <f ca="1">AVERAGE(CO35:CR35)*0.99</f>
        <v>#NAME?</v>
      </c>
      <c r="CT35" s="52" t="e">
        <f ca="1">AVERAGE(CP35:CS35)*0.99</f>
        <v>#NAME?</v>
      </c>
      <c r="CU35" s="52" t="e">
        <f t="shared" ref="CU35:DB35" ca="1" si="317">AVERAGE(CQ35:CT35)</f>
        <v>#NAME?</v>
      </c>
      <c r="CV35" s="52" t="e">
        <f t="shared" ca="1" si="317"/>
        <v>#NAME?</v>
      </c>
      <c r="CW35" s="52" t="e">
        <f t="shared" ca="1" si="317"/>
        <v>#NAME?</v>
      </c>
      <c r="CX35" s="52" t="e">
        <f t="shared" ca="1" si="317"/>
        <v>#NAME?</v>
      </c>
      <c r="CY35" s="52" t="e">
        <f t="shared" ca="1" si="317"/>
        <v>#NAME?</v>
      </c>
      <c r="CZ35" s="52" t="e">
        <f t="shared" ca="1" si="317"/>
        <v>#NAME?</v>
      </c>
      <c r="DA35" s="52" t="e">
        <f t="shared" ca="1" si="317"/>
        <v>#NAME?</v>
      </c>
      <c r="DB35" s="52" t="e">
        <f t="shared" ca="1" si="317"/>
        <v>#NAME?</v>
      </c>
      <c r="DE35" s="128"/>
      <c r="DF35" s="44">
        <v>0.67331895567851763</v>
      </c>
    </row>
    <row r="36" spans="1:110" s="26" customFormat="1" x14ac:dyDescent="0.2">
      <c r="A36" s="34" t="s">
        <v>13</v>
      </c>
      <c r="B36" s="26" t="e">
        <f t="shared" ref="B36:E36" ca="1" si="318">B24-B34</f>
        <v>#NAME?</v>
      </c>
      <c r="C36" s="26" t="e">
        <f t="shared" ca="1" si="318"/>
        <v>#NAME?</v>
      </c>
      <c r="D36" s="26" t="e">
        <f t="shared" ca="1" si="318"/>
        <v>#NAME?</v>
      </c>
      <c r="E36" s="26" t="e">
        <f t="shared" ca="1" si="318"/>
        <v>#NAME?</v>
      </c>
      <c r="F36" s="26" t="e">
        <f t="shared" ref="F36:AE36" ca="1" si="319">F24-F34</f>
        <v>#NAME?</v>
      </c>
      <c r="G36" s="26" t="e">
        <f t="shared" ca="1" si="319"/>
        <v>#NAME?</v>
      </c>
      <c r="H36" s="26" t="e">
        <f t="shared" ca="1" si="319"/>
        <v>#NAME?</v>
      </c>
      <c r="I36" s="26" t="e">
        <f t="shared" ca="1" si="319"/>
        <v>#NAME?</v>
      </c>
      <c r="J36" s="26" t="e">
        <f t="shared" ca="1" si="319"/>
        <v>#NAME?</v>
      </c>
      <c r="K36" s="26" t="e">
        <f t="shared" ca="1" si="319"/>
        <v>#NAME?</v>
      </c>
      <c r="L36" s="26" t="e">
        <f t="shared" ca="1" si="319"/>
        <v>#NAME?</v>
      </c>
      <c r="M36" s="26" t="e">
        <f t="shared" ca="1" si="319"/>
        <v>#NAME?</v>
      </c>
      <c r="N36" s="26" t="e">
        <f t="shared" ca="1" si="319"/>
        <v>#NAME?</v>
      </c>
      <c r="O36" s="26" t="e">
        <f t="shared" ca="1" si="319"/>
        <v>#NAME?</v>
      </c>
      <c r="P36" s="26" t="e">
        <f t="shared" ca="1" si="319"/>
        <v>#NAME?</v>
      </c>
      <c r="Q36" s="26" t="e">
        <f t="shared" ca="1" si="319"/>
        <v>#NAME?</v>
      </c>
      <c r="R36" s="26" t="e">
        <f t="shared" ca="1" si="319"/>
        <v>#NAME?</v>
      </c>
      <c r="S36" s="26" t="e">
        <f t="shared" ca="1" si="319"/>
        <v>#NAME?</v>
      </c>
      <c r="T36" s="26" t="e">
        <f t="shared" ca="1" si="319"/>
        <v>#NAME?</v>
      </c>
      <c r="U36" s="26" t="e">
        <f t="shared" ca="1" si="319"/>
        <v>#NAME?</v>
      </c>
      <c r="V36" s="26" t="e">
        <f t="shared" ca="1" si="319"/>
        <v>#NAME?</v>
      </c>
      <c r="W36" s="26" t="e">
        <f t="shared" ca="1" si="319"/>
        <v>#NAME?</v>
      </c>
      <c r="X36" s="26" t="e">
        <f t="shared" ca="1" si="319"/>
        <v>#NAME?</v>
      </c>
      <c r="Y36" s="26" t="e">
        <f t="shared" ca="1" si="319"/>
        <v>#NAME?</v>
      </c>
      <c r="Z36" s="26" t="e">
        <f t="shared" ref="Z36:AA36" ca="1" si="320">Z24-Z34</f>
        <v>#NAME?</v>
      </c>
      <c r="AA36" s="26" t="e">
        <f t="shared" ca="1" si="320"/>
        <v>#NAME?</v>
      </c>
      <c r="AB36" s="27" t="e">
        <f t="shared" ca="1" si="319"/>
        <v>#NAME?</v>
      </c>
      <c r="AC36" s="27" t="e">
        <f t="shared" ca="1" si="319"/>
        <v>#NAME?</v>
      </c>
      <c r="AD36" s="27" t="e">
        <f t="shared" ca="1" si="319"/>
        <v>#NAME?</v>
      </c>
      <c r="AE36" s="27" t="e">
        <f t="shared" ca="1" si="319"/>
        <v>#NAME?</v>
      </c>
      <c r="AI36" s="26" t="e">
        <f t="shared" ref="AI36:BN36" ca="1" si="321">AI24-AI34</f>
        <v>#NAME?</v>
      </c>
      <c r="AJ36" s="26" t="e">
        <f t="shared" ca="1" si="321"/>
        <v>#NAME?</v>
      </c>
      <c r="AK36" s="26" t="e">
        <f t="shared" ca="1" si="321"/>
        <v>#NAME?</v>
      </c>
      <c r="AL36" s="26" t="e">
        <f t="shared" ca="1" si="321"/>
        <v>#NAME?</v>
      </c>
      <c r="AM36" s="26" t="e">
        <f t="shared" ca="1" si="321"/>
        <v>#NAME?</v>
      </c>
      <c r="AN36" s="26" t="e">
        <f t="shared" ca="1" si="321"/>
        <v>#NAME?</v>
      </c>
      <c r="AO36" s="26" t="e">
        <f t="shared" ca="1" si="321"/>
        <v>#NAME?</v>
      </c>
      <c r="AP36" s="26" t="e">
        <f t="shared" ca="1" si="321"/>
        <v>#NAME?</v>
      </c>
      <c r="AQ36" s="26" t="e">
        <f t="shared" ca="1" si="321"/>
        <v>#NAME?</v>
      </c>
      <c r="AR36" s="26" t="e">
        <f t="shared" ca="1" si="321"/>
        <v>#NAME?</v>
      </c>
      <c r="AS36" s="26" t="e">
        <f t="shared" ca="1" si="321"/>
        <v>#NAME?</v>
      </c>
      <c r="AT36" s="26" t="e">
        <f t="shared" ca="1" si="321"/>
        <v>#NAME?</v>
      </c>
      <c r="AU36" s="26" t="e">
        <f t="shared" ca="1" si="321"/>
        <v>#NAME?</v>
      </c>
      <c r="AV36" s="26" t="e">
        <f t="shared" ca="1" si="321"/>
        <v>#NAME?</v>
      </c>
      <c r="AW36" s="26" t="e">
        <f t="shared" ca="1" si="321"/>
        <v>#NAME?</v>
      </c>
      <c r="AX36" s="26" t="e">
        <f t="shared" ca="1" si="321"/>
        <v>#NAME?</v>
      </c>
      <c r="AY36" s="26" t="e">
        <f t="shared" ca="1" si="321"/>
        <v>#NAME?</v>
      </c>
      <c r="AZ36" s="26" t="e">
        <f t="shared" ca="1" si="321"/>
        <v>#NAME?</v>
      </c>
      <c r="BA36" s="26" t="e">
        <f t="shared" ca="1" si="321"/>
        <v>#NAME?</v>
      </c>
      <c r="BB36" s="26" t="e">
        <f t="shared" ca="1" si="321"/>
        <v>#NAME?</v>
      </c>
      <c r="BC36" s="26" t="e">
        <f t="shared" ca="1" si="321"/>
        <v>#NAME?</v>
      </c>
      <c r="BD36" s="26" t="e">
        <f t="shared" ca="1" si="321"/>
        <v>#NAME?</v>
      </c>
      <c r="BE36" s="26" t="e">
        <f t="shared" ca="1" si="321"/>
        <v>#NAME?</v>
      </c>
      <c r="BF36" s="26" t="e">
        <f t="shared" ca="1" si="321"/>
        <v>#NAME?</v>
      </c>
      <c r="BG36" s="26" t="e">
        <f t="shared" ca="1" si="321"/>
        <v>#NAME?</v>
      </c>
      <c r="BH36" s="26" t="e">
        <f t="shared" ca="1" si="321"/>
        <v>#NAME?</v>
      </c>
      <c r="BI36" s="26" t="e">
        <f t="shared" ca="1" si="321"/>
        <v>#NAME?</v>
      </c>
      <c r="BJ36" s="26" t="e">
        <f t="shared" ca="1" si="321"/>
        <v>#NAME?</v>
      </c>
      <c r="BK36" s="26" t="e">
        <f t="shared" ca="1" si="321"/>
        <v>#NAME?</v>
      </c>
      <c r="BL36" s="26" t="e">
        <f t="shared" ca="1" si="321"/>
        <v>#NAME?</v>
      </c>
      <c r="BM36" s="26" t="e">
        <f t="shared" ca="1" si="321"/>
        <v>#NAME?</v>
      </c>
      <c r="BN36" s="26" t="e">
        <f t="shared" ca="1" si="321"/>
        <v>#NAME?</v>
      </c>
      <c r="BO36" s="26" t="e">
        <f t="shared" ref="BO36:CT36" ca="1" si="322">BO24-BO34</f>
        <v>#NAME?</v>
      </c>
      <c r="BP36" s="26" t="e">
        <f t="shared" ca="1" si="322"/>
        <v>#NAME?</v>
      </c>
      <c r="BQ36" s="26" t="e">
        <f t="shared" ca="1" si="322"/>
        <v>#NAME?</v>
      </c>
      <c r="BR36" s="26" t="e">
        <f t="shared" ca="1" si="322"/>
        <v>#NAME?</v>
      </c>
      <c r="BS36" s="26" t="e">
        <f t="shared" ca="1" si="322"/>
        <v>#NAME?</v>
      </c>
      <c r="BT36" s="26" t="e">
        <f t="shared" ca="1" si="322"/>
        <v>#NAME?</v>
      </c>
      <c r="BU36" s="26" t="e">
        <f t="shared" ca="1" si="322"/>
        <v>#NAME?</v>
      </c>
      <c r="BV36" s="26" t="e">
        <f t="shared" ca="1" si="322"/>
        <v>#NAME?</v>
      </c>
      <c r="BW36" s="26" t="e">
        <f t="shared" ca="1" si="322"/>
        <v>#NAME?</v>
      </c>
      <c r="BX36" s="26" t="e">
        <f t="shared" ca="1" si="322"/>
        <v>#NAME?</v>
      </c>
      <c r="BY36" s="26" t="e">
        <f t="shared" ca="1" si="322"/>
        <v>#NAME?</v>
      </c>
      <c r="BZ36" s="26" t="e">
        <f t="shared" ca="1" si="322"/>
        <v>#NAME?</v>
      </c>
      <c r="CA36" s="26" t="e">
        <f t="shared" ca="1" si="322"/>
        <v>#NAME?</v>
      </c>
      <c r="CB36" s="26" t="e">
        <f t="shared" ca="1" si="322"/>
        <v>#NAME?</v>
      </c>
      <c r="CC36" s="26" t="e">
        <f t="shared" ca="1" si="322"/>
        <v>#NAME?</v>
      </c>
      <c r="CD36" s="26" t="e">
        <f t="shared" ca="1" si="322"/>
        <v>#NAME?</v>
      </c>
      <c r="CE36" s="26" t="e">
        <f t="shared" ca="1" si="322"/>
        <v>#NAME?</v>
      </c>
      <c r="CF36" s="26" t="e">
        <f t="shared" ca="1" si="322"/>
        <v>#NAME?</v>
      </c>
      <c r="CG36" s="26" t="e">
        <f t="shared" ca="1" si="322"/>
        <v>#NAME?</v>
      </c>
      <c r="CH36" s="26" t="e">
        <f t="shared" ca="1" si="322"/>
        <v>#NAME?</v>
      </c>
      <c r="CI36" s="26" t="e">
        <f t="shared" ref="CI36:CJ36" ca="1" si="323">CI24-CI34</f>
        <v>#NAME?</v>
      </c>
      <c r="CJ36" s="26" t="e">
        <f t="shared" ca="1" si="323"/>
        <v>#NAME?</v>
      </c>
      <c r="CK36" s="26" t="e">
        <f t="shared" ref="CK36:CL36" ca="1" si="324">CK24-CK34</f>
        <v>#NAME?</v>
      </c>
      <c r="CL36" s="26" t="e">
        <f t="shared" ca="1" si="324"/>
        <v>#NAME?</v>
      </c>
      <c r="CM36" s="27" t="e">
        <f t="shared" ca="1" si="322"/>
        <v>#NAME?</v>
      </c>
      <c r="CN36" s="27" t="e">
        <f t="shared" ca="1" si="322"/>
        <v>#NAME?</v>
      </c>
      <c r="CO36" s="27" t="e">
        <f t="shared" ca="1" si="322"/>
        <v>#NAME?</v>
      </c>
      <c r="CP36" s="27" t="e">
        <f t="shared" ca="1" si="322"/>
        <v>#NAME?</v>
      </c>
      <c r="CQ36" s="27" t="e">
        <f t="shared" ca="1" si="322"/>
        <v>#NAME?</v>
      </c>
      <c r="CR36" s="27" t="e">
        <f t="shared" ca="1" si="322"/>
        <v>#NAME?</v>
      </c>
      <c r="CS36" s="27" t="e">
        <f t="shared" ca="1" si="322"/>
        <v>#NAME?</v>
      </c>
      <c r="CT36" s="27" t="e">
        <f t="shared" ca="1" si="322"/>
        <v>#NAME?</v>
      </c>
      <c r="CU36" s="27" t="e">
        <f t="shared" ref="CU36:DB36" ca="1" si="325">CU24-CU34</f>
        <v>#NAME?</v>
      </c>
      <c r="CV36" s="27" t="e">
        <f t="shared" ca="1" si="325"/>
        <v>#NAME?</v>
      </c>
      <c r="CW36" s="27" t="e">
        <f t="shared" ca="1" si="325"/>
        <v>#NAME?</v>
      </c>
      <c r="CX36" s="27" t="e">
        <f t="shared" ca="1" si="325"/>
        <v>#NAME?</v>
      </c>
      <c r="CY36" s="27" t="e">
        <f t="shared" ca="1" si="325"/>
        <v>#NAME?</v>
      </c>
      <c r="CZ36" s="27" t="e">
        <f t="shared" ca="1" si="325"/>
        <v>#NAME?</v>
      </c>
      <c r="DA36" s="27" t="e">
        <f t="shared" ca="1" si="325"/>
        <v>#NAME?</v>
      </c>
      <c r="DB36" s="27" t="e">
        <f t="shared" ca="1" si="325"/>
        <v>#NAME?</v>
      </c>
      <c r="DE36" s="121"/>
      <c r="DF36" s="26">
        <v>6538.9400000000023</v>
      </c>
    </row>
    <row r="37" spans="1:110" s="168" customFormat="1" x14ac:dyDescent="0.2">
      <c r="A37" s="165" t="s">
        <v>14</v>
      </c>
      <c r="B37" s="166" t="e">
        <f t="shared" ref="B37:E37" ca="1" si="326">B36/B18</f>
        <v>#NAME?</v>
      </c>
      <c r="C37" s="166" t="e">
        <f t="shared" ca="1" si="326"/>
        <v>#NAME?</v>
      </c>
      <c r="D37" s="166" t="e">
        <f t="shared" ca="1" si="326"/>
        <v>#NAME?</v>
      </c>
      <c r="E37" s="166" t="e">
        <f t="shared" ca="1" si="326"/>
        <v>#NAME?</v>
      </c>
      <c r="F37" s="166" t="e">
        <f t="shared" ref="F37:AE37" ca="1" si="327">F36/F18</f>
        <v>#NAME?</v>
      </c>
      <c r="G37" s="166" t="e">
        <f t="shared" ca="1" si="327"/>
        <v>#NAME?</v>
      </c>
      <c r="H37" s="166" t="e">
        <f t="shared" ca="1" si="327"/>
        <v>#NAME?</v>
      </c>
      <c r="I37" s="166" t="e">
        <f t="shared" ca="1" si="327"/>
        <v>#NAME?</v>
      </c>
      <c r="J37" s="166" t="e">
        <f t="shared" ca="1" si="327"/>
        <v>#NAME?</v>
      </c>
      <c r="K37" s="166" t="e">
        <f t="shared" ca="1" si="327"/>
        <v>#NAME?</v>
      </c>
      <c r="L37" s="166" t="e">
        <f t="shared" ca="1" si="327"/>
        <v>#NAME?</v>
      </c>
      <c r="M37" s="166" t="e">
        <f t="shared" ca="1" si="327"/>
        <v>#NAME?</v>
      </c>
      <c r="N37" s="166" t="e">
        <f t="shared" ca="1" si="327"/>
        <v>#NAME?</v>
      </c>
      <c r="O37" s="166" t="e">
        <f t="shared" ca="1" si="327"/>
        <v>#NAME?</v>
      </c>
      <c r="P37" s="166" t="e">
        <f t="shared" ca="1" si="327"/>
        <v>#NAME?</v>
      </c>
      <c r="Q37" s="166" t="e">
        <f t="shared" ca="1" si="327"/>
        <v>#NAME?</v>
      </c>
      <c r="R37" s="166" t="e">
        <f t="shared" ca="1" si="327"/>
        <v>#NAME?</v>
      </c>
      <c r="S37" s="166" t="e">
        <f t="shared" ca="1" si="327"/>
        <v>#NAME?</v>
      </c>
      <c r="T37" s="166" t="e">
        <f t="shared" ca="1" si="327"/>
        <v>#NAME?</v>
      </c>
      <c r="U37" s="166" t="e">
        <f t="shared" ca="1" si="327"/>
        <v>#NAME?</v>
      </c>
      <c r="V37" s="166" t="e">
        <f t="shared" ca="1" si="327"/>
        <v>#NAME?</v>
      </c>
      <c r="W37" s="166" t="e">
        <f t="shared" ca="1" si="327"/>
        <v>#NAME?</v>
      </c>
      <c r="X37" s="166" t="e">
        <f t="shared" ca="1" si="327"/>
        <v>#NAME?</v>
      </c>
      <c r="Y37" s="166" t="e">
        <f t="shared" ca="1" si="327"/>
        <v>#NAME?</v>
      </c>
      <c r="Z37" s="166" t="e">
        <f t="shared" ref="Z37:AA37" ca="1" si="328">Z36/Z18</f>
        <v>#NAME?</v>
      </c>
      <c r="AA37" s="166" t="e">
        <f t="shared" ca="1" si="328"/>
        <v>#NAME?</v>
      </c>
      <c r="AB37" s="167" t="e">
        <f t="shared" ca="1" si="327"/>
        <v>#NAME?</v>
      </c>
      <c r="AC37" s="167" t="e">
        <f t="shared" ca="1" si="327"/>
        <v>#NAME?</v>
      </c>
      <c r="AD37" s="167" t="e">
        <f t="shared" ca="1" si="327"/>
        <v>#NAME?</v>
      </c>
      <c r="AE37" s="167" t="e">
        <f t="shared" ca="1" si="327"/>
        <v>#NAME?</v>
      </c>
      <c r="AI37" s="166" t="e">
        <f t="shared" ref="AI37:BN37" ca="1" si="329">AI36/AI18</f>
        <v>#NAME?</v>
      </c>
      <c r="AJ37" s="166" t="e">
        <f t="shared" ca="1" si="329"/>
        <v>#NAME?</v>
      </c>
      <c r="AK37" s="166" t="e">
        <f t="shared" ca="1" si="329"/>
        <v>#NAME?</v>
      </c>
      <c r="AL37" s="166" t="e">
        <f t="shared" ca="1" si="329"/>
        <v>#NAME?</v>
      </c>
      <c r="AM37" s="166" t="e">
        <f t="shared" ca="1" si="329"/>
        <v>#NAME?</v>
      </c>
      <c r="AN37" s="166" t="e">
        <f t="shared" ca="1" si="329"/>
        <v>#NAME?</v>
      </c>
      <c r="AO37" s="166" t="e">
        <f t="shared" ca="1" si="329"/>
        <v>#NAME?</v>
      </c>
      <c r="AP37" s="166" t="e">
        <f t="shared" ca="1" si="329"/>
        <v>#NAME?</v>
      </c>
      <c r="AQ37" s="166" t="e">
        <f t="shared" ca="1" si="329"/>
        <v>#NAME?</v>
      </c>
      <c r="AR37" s="166" t="e">
        <f t="shared" ca="1" si="329"/>
        <v>#NAME?</v>
      </c>
      <c r="AS37" s="166" t="e">
        <f t="shared" ca="1" si="329"/>
        <v>#NAME?</v>
      </c>
      <c r="AT37" s="166" t="e">
        <f t="shared" ca="1" si="329"/>
        <v>#NAME?</v>
      </c>
      <c r="AU37" s="166" t="e">
        <f t="shared" ca="1" si="329"/>
        <v>#NAME?</v>
      </c>
      <c r="AV37" s="166" t="e">
        <f t="shared" ca="1" si="329"/>
        <v>#NAME?</v>
      </c>
      <c r="AW37" s="166" t="e">
        <f t="shared" ca="1" si="329"/>
        <v>#NAME?</v>
      </c>
      <c r="AX37" s="166" t="e">
        <f t="shared" ca="1" si="329"/>
        <v>#NAME?</v>
      </c>
      <c r="AY37" s="166" t="e">
        <f t="shared" ca="1" si="329"/>
        <v>#NAME?</v>
      </c>
      <c r="AZ37" s="166" t="e">
        <f t="shared" ca="1" si="329"/>
        <v>#NAME?</v>
      </c>
      <c r="BA37" s="166" t="e">
        <f t="shared" ca="1" si="329"/>
        <v>#NAME?</v>
      </c>
      <c r="BB37" s="166" t="e">
        <f t="shared" ca="1" si="329"/>
        <v>#NAME?</v>
      </c>
      <c r="BC37" s="166" t="e">
        <f t="shared" ca="1" si="329"/>
        <v>#NAME?</v>
      </c>
      <c r="BD37" s="166" t="e">
        <f t="shared" ca="1" si="329"/>
        <v>#NAME?</v>
      </c>
      <c r="BE37" s="166" t="e">
        <f t="shared" ca="1" si="329"/>
        <v>#NAME?</v>
      </c>
      <c r="BF37" s="166" t="e">
        <f t="shared" ca="1" si="329"/>
        <v>#NAME?</v>
      </c>
      <c r="BG37" s="166" t="e">
        <f t="shared" ca="1" si="329"/>
        <v>#NAME?</v>
      </c>
      <c r="BH37" s="166" t="e">
        <f t="shared" ca="1" si="329"/>
        <v>#NAME?</v>
      </c>
      <c r="BI37" s="166" t="e">
        <f t="shared" ca="1" si="329"/>
        <v>#NAME?</v>
      </c>
      <c r="BJ37" s="166" t="e">
        <f t="shared" ca="1" si="329"/>
        <v>#NAME?</v>
      </c>
      <c r="BK37" s="166" t="e">
        <f t="shared" ca="1" si="329"/>
        <v>#NAME?</v>
      </c>
      <c r="BL37" s="166" t="e">
        <f t="shared" ca="1" si="329"/>
        <v>#NAME?</v>
      </c>
      <c r="BM37" s="166" t="e">
        <f t="shared" ca="1" si="329"/>
        <v>#NAME?</v>
      </c>
      <c r="BN37" s="166" t="e">
        <f t="shared" ca="1" si="329"/>
        <v>#NAME?</v>
      </c>
      <c r="BO37" s="166" t="e">
        <f t="shared" ref="BO37:CT37" ca="1" si="330">BO36/BO18</f>
        <v>#NAME?</v>
      </c>
      <c r="BP37" s="166" t="e">
        <f t="shared" ca="1" si="330"/>
        <v>#NAME?</v>
      </c>
      <c r="BQ37" s="166" t="e">
        <f t="shared" ca="1" si="330"/>
        <v>#NAME?</v>
      </c>
      <c r="BR37" s="166" t="e">
        <f t="shared" ca="1" si="330"/>
        <v>#NAME?</v>
      </c>
      <c r="BS37" s="166" t="e">
        <f t="shared" ca="1" si="330"/>
        <v>#NAME?</v>
      </c>
      <c r="BT37" s="166" t="e">
        <f t="shared" ca="1" si="330"/>
        <v>#NAME?</v>
      </c>
      <c r="BU37" s="166" t="e">
        <f t="shared" ca="1" si="330"/>
        <v>#NAME?</v>
      </c>
      <c r="BV37" s="166" t="e">
        <f t="shared" ca="1" si="330"/>
        <v>#NAME?</v>
      </c>
      <c r="BW37" s="166" t="e">
        <f t="shared" ca="1" si="330"/>
        <v>#NAME?</v>
      </c>
      <c r="BX37" s="166" t="e">
        <f t="shared" ca="1" si="330"/>
        <v>#NAME?</v>
      </c>
      <c r="BY37" s="166" t="e">
        <f t="shared" ca="1" si="330"/>
        <v>#NAME?</v>
      </c>
      <c r="BZ37" s="166" t="e">
        <f t="shared" ca="1" si="330"/>
        <v>#NAME?</v>
      </c>
      <c r="CA37" s="166" t="e">
        <f t="shared" ca="1" si="330"/>
        <v>#NAME?</v>
      </c>
      <c r="CB37" s="166" t="e">
        <f t="shared" ca="1" si="330"/>
        <v>#NAME?</v>
      </c>
      <c r="CC37" s="166" t="e">
        <f t="shared" ca="1" si="330"/>
        <v>#NAME?</v>
      </c>
      <c r="CD37" s="166" t="e">
        <f t="shared" ca="1" si="330"/>
        <v>#NAME?</v>
      </c>
      <c r="CE37" s="166" t="e">
        <f t="shared" ca="1" si="330"/>
        <v>#NAME?</v>
      </c>
      <c r="CF37" s="166" t="e">
        <f t="shared" ca="1" si="330"/>
        <v>#NAME?</v>
      </c>
      <c r="CG37" s="166" t="e">
        <f t="shared" ca="1" si="330"/>
        <v>#NAME?</v>
      </c>
      <c r="CH37" s="166" t="e">
        <f t="shared" ca="1" si="330"/>
        <v>#NAME?</v>
      </c>
      <c r="CI37" s="166" t="e">
        <f t="shared" ref="CI37:CJ37" ca="1" si="331">CI36/CI18</f>
        <v>#NAME?</v>
      </c>
      <c r="CJ37" s="166" t="e">
        <f t="shared" ca="1" si="331"/>
        <v>#NAME?</v>
      </c>
      <c r="CK37" s="166" t="e">
        <f t="shared" ref="CK37:CL37" ca="1" si="332">CK36/CK18</f>
        <v>#NAME?</v>
      </c>
      <c r="CL37" s="166" t="e">
        <f t="shared" ca="1" si="332"/>
        <v>#NAME?</v>
      </c>
      <c r="CM37" s="167" t="e">
        <f t="shared" ca="1" si="330"/>
        <v>#NAME?</v>
      </c>
      <c r="CN37" s="167" t="e">
        <f t="shared" ca="1" si="330"/>
        <v>#NAME?</v>
      </c>
      <c r="CO37" s="167" t="e">
        <f t="shared" ca="1" si="330"/>
        <v>#NAME?</v>
      </c>
      <c r="CP37" s="167" t="e">
        <f t="shared" ca="1" si="330"/>
        <v>#NAME?</v>
      </c>
      <c r="CQ37" s="167" t="e">
        <f t="shared" ca="1" si="330"/>
        <v>#NAME?</v>
      </c>
      <c r="CR37" s="167" t="e">
        <f t="shared" ca="1" si="330"/>
        <v>#NAME?</v>
      </c>
      <c r="CS37" s="167" t="e">
        <f t="shared" ca="1" si="330"/>
        <v>#NAME?</v>
      </c>
      <c r="CT37" s="167" t="e">
        <f t="shared" ca="1" si="330"/>
        <v>#NAME?</v>
      </c>
      <c r="CU37" s="167" t="e">
        <f t="shared" ref="CU37:DB37" ca="1" si="333">CU36/CU18</f>
        <v>#NAME?</v>
      </c>
      <c r="CV37" s="167" t="e">
        <f t="shared" ca="1" si="333"/>
        <v>#NAME?</v>
      </c>
      <c r="CW37" s="167" t="e">
        <f t="shared" ca="1" si="333"/>
        <v>#NAME?</v>
      </c>
      <c r="CX37" s="167" t="e">
        <f t="shared" ca="1" si="333"/>
        <v>#NAME?</v>
      </c>
      <c r="CY37" s="167" t="e">
        <f t="shared" ca="1" si="333"/>
        <v>#NAME?</v>
      </c>
      <c r="CZ37" s="167" t="e">
        <f t="shared" ca="1" si="333"/>
        <v>#NAME?</v>
      </c>
      <c r="DA37" s="167" t="e">
        <f t="shared" ca="1" si="333"/>
        <v>#NAME?</v>
      </c>
      <c r="DB37" s="167" t="e">
        <f t="shared" ca="1" si="333"/>
        <v>#NAME?</v>
      </c>
      <c r="DE37" s="169"/>
      <c r="DF37" s="168">
        <v>0.16083705893001918</v>
      </c>
    </row>
    <row r="38" spans="1:110" s="38" customFormat="1" x14ac:dyDescent="0.2">
      <c r="A38" s="39" t="s">
        <v>449</v>
      </c>
      <c r="B38" s="39"/>
      <c r="C38" s="39" t="e">
        <f t="shared" ref="C38:E38" ca="1" si="334">+IF(B36&lt;0,1-C36/B36,C36/B36-1)</f>
        <v>#NAME?</v>
      </c>
      <c r="D38" s="39" t="e">
        <f t="shared" ca="1" si="334"/>
        <v>#NAME?</v>
      </c>
      <c r="E38" s="39" t="e">
        <f t="shared" ca="1" si="334"/>
        <v>#NAME?</v>
      </c>
      <c r="F38" s="39" t="e">
        <f t="shared" ref="F38:Y38" ca="1" si="335">+IF(E36&lt;0,1-F36/E36,F36/E36-1)</f>
        <v>#NAME?</v>
      </c>
      <c r="G38" s="39" t="e">
        <f t="shared" ca="1" si="335"/>
        <v>#NAME?</v>
      </c>
      <c r="H38" s="39" t="e">
        <f t="shared" ca="1" si="335"/>
        <v>#NAME?</v>
      </c>
      <c r="I38" s="39" t="e">
        <f t="shared" ca="1" si="335"/>
        <v>#NAME?</v>
      </c>
      <c r="J38" s="39" t="e">
        <f t="shared" ca="1" si="335"/>
        <v>#NAME?</v>
      </c>
      <c r="K38" s="39" t="e">
        <f t="shared" ca="1" si="335"/>
        <v>#NAME?</v>
      </c>
      <c r="L38" s="39" t="e">
        <f t="shared" ca="1" si="335"/>
        <v>#NAME?</v>
      </c>
      <c r="M38" s="39" t="e">
        <f t="shared" ca="1" si="335"/>
        <v>#NAME?</v>
      </c>
      <c r="N38" s="39" t="e">
        <f t="shared" ca="1" si="335"/>
        <v>#NAME?</v>
      </c>
      <c r="O38" s="39" t="e">
        <f t="shared" ca="1" si="335"/>
        <v>#NAME?</v>
      </c>
      <c r="P38" s="39" t="e">
        <f t="shared" ca="1" si="335"/>
        <v>#NAME?</v>
      </c>
      <c r="Q38" s="39" t="e">
        <f t="shared" ca="1" si="335"/>
        <v>#NAME?</v>
      </c>
      <c r="R38" s="39" t="e">
        <f t="shared" ca="1" si="335"/>
        <v>#NAME?</v>
      </c>
      <c r="S38" s="39" t="e">
        <f t="shared" ca="1" si="335"/>
        <v>#NAME?</v>
      </c>
      <c r="T38" s="39" t="e">
        <f t="shared" ca="1" si="335"/>
        <v>#NAME?</v>
      </c>
      <c r="U38" s="39" t="e">
        <f t="shared" ca="1" si="335"/>
        <v>#NAME?</v>
      </c>
      <c r="V38" s="39" t="e">
        <f t="shared" ca="1" si="335"/>
        <v>#NAME?</v>
      </c>
      <c r="W38" s="39" t="e">
        <f t="shared" ca="1" si="335"/>
        <v>#NAME?</v>
      </c>
      <c r="X38" s="39" t="e">
        <f t="shared" ca="1" si="335"/>
        <v>#NAME?</v>
      </c>
      <c r="Y38" s="39" t="e">
        <f t="shared" ca="1" si="335"/>
        <v>#NAME?</v>
      </c>
      <c r="Z38" s="39" t="e">
        <f t="shared" ref="Z38:AE38" ca="1" si="336">+IF(Y36&lt;0,1-Z36/Y36,Z36/Y36-1)</f>
        <v>#NAME?</v>
      </c>
      <c r="AA38" s="39" t="e">
        <f t="shared" ca="1" si="336"/>
        <v>#NAME?</v>
      </c>
      <c r="AB38" s="40" t="e">
        <f t="shared" ca="1" si="336"/>
        <v>#NAME?</v>
      </c>
      <c r="AC38" s="40" t="e">
        <f t="shared" ca="1" si="336"/>
        <v>#NAME?</v>
      </c>
      <c r="AD38" s="40" t="e">
        <f t="shared" ca="1" si="336"/>
        <v>#NAME?</v>
      </c>
      <c r="AE38" s="40" t="e">
        <f t="shared" ca="1" si="336"/>
        <v>#NAME?</v>
      </c>
      <c r="AI38" s="39"/>
      <c r="AJ38" s="39"/>
      <c r="AK38" s="39"/>
      <c r="AL38" s="39"/>
      <c r="AM38" s="39" t="e">
        <f ca="1">+IF(AI36&lt;0,1-AM36/AI36,AM36/AI36-1)</f>
        <v>#NAME?</v>
      </c>
      <c r="AN38" s="39" t="e">
        <f t="shared" ref="AN38" ca="1" si="337">+IF(AJ36&lt;0,1-AN36/AJ36,AN36/AJ36-1)</f>
        <v>#NAME?</v>
      </c>
      <c r="AO38" s="39" t="e">
        <f t="shared" ref="AO38" ca="1" si="338">+IF(AK36&lt;0,1-AO36/AK36,AO36/AK36-1)</f>
        <v>#NAME?</v>
      </c>
      <c r="AP38" s="39" t="e">
        <f t="shared" ref="AP38" ca="1" si="339">+IF(AL36&lt;0,1-AP36/AL36,AP36/AL36-1)</f>
        <v>#NAME?</v>
      </c>
      <c r="AQ38" s="39" t="e">
        <f t="shared" ref="AQ38" ca="1" si="340">+IF(AM36&lt;0,1-AQ36/AM36,AQ36/AM36-1)</f>
        <v>#NAME?</v>
      </c>
      <c r="AR38" s="39" t="e">
        <f t="shared" ref="AR38" ca="1" si="341">+IF(AN36&lt;0,1-AR36/AN36,AR36/AN36-1)</f>
        <v>#NAME?</v>
      </c>
      <c r="AS38" s="39" t="e">
        <f t="shared" ref="AS38" ca="1" si="342">+IF(AO36&lt;0,1-AS36/AO36,AS36/AO36-1)</f>
        <v>#NAME?</v>
      </c>
      <c r="AT38" s="39" t="e">
        <f t="shared" ref="AT38" ca="1" si="343">+IF(AP36&lt;0,1-AT36/AP36,AT36/AP36-1)</f>
        <v>#NAME?</v>
      </c>
      <c r="AU38" s="39" t="e">
        <f t="shared" ref="AU38" ca="1" si="344">+IF(AQ36&lt;0,1-AU36/AQ36,AU36/AQ36-1)</f>
        <v>#NAME?</v>
      </c>
      <c r="AV38" s="39" t="e">
        <f t="shared" ref="AV38" ca="1" si="345">+IF(AR36&lt;0,1-AV36/AR36,AV36/AR36-1)</f>
        <v>#NAME?</v>
      </c>
      <c r="AW38" s="39" t="e">
        <f t="shared" ref="AW38" ca="1" si="346">+IF(AS36&lt;0,1-AW36/AS36,AW36/AS36-1)</f>
        <v>#NAME?</v>
      </c>
      <c r="AX38" s="39" t="e">
        <f t="shared" ref="AX38" ca="1" si="347">+IF(AT36&lt;0,1-AX36/AT36,AX36/AT36-1)</f>
        <v>#NAME?</v>
      </c>
      <c r="AY38" s="39" t="e">
        <f t="shared" ref="AY38" ca="1" si="348">+IF(AU36&lt;0,1-AY36/AU36,AY36/AU36-1)</f>
        <v>#NAME?</v>
      </c>
      <c r="AZ38" s="39" t="e">
        <f t="shared" ref="AZ38" ca="1" si="349">+IF(AV36&lt;0,1-AZ36/AV36,AZ36/AV36-1)</f>
        <v>#NAME?</v>
      </c>
      <c r="BA38" s="39" t="e">
        <f t="shared" ref="BA38" ca="1" si="350">+IF(AW36&lt;0,1-BA36/AW36,BA36/AW36-1)</f>
        <v>#NAME?</v>
      </c>
      <c r="BB38" s="39" t="e">
        <f t="shared" ref="BB38" ca="1" si="351">+IF(AX36&lt;0,1-BB36/AX36,BB36/AX36-1)</f>
        <v>#NAME?</v>
      </c>
      <c r="BC38" s="39" t="e">
        <f t="shared" ref="BC38" ca="1" si="352">+IF(AY36&lt;0,1-BC36/AY36,BC36/AY36-1)</f>
        <v>#NAME?</v>
      </c>
      <c r="BD38" s="39" t="e">
        <f t="shared" ref="BD38" ca="1" si="353">+IF(AZ36&lt;0,1-BD36/AZ36,BD36/AZ36-1)</f>
        <v>#NAME?</v>
      </c>
      <c r="BE38" s="39" t="e">
        <f t="shared" ref="BE38" ca="1" si="354">+IF(BA36&lt;0,1-BE36/BA36,BE36/BA36-1)</f>
        <v>#NAME?</v>
      </c>
      <c r="BF38" s="39" t="e">
        <f t="shared" ref="BF38" ca="1" si="355">+IF(BB36&lt;0,1-BF36/BB36,BF36/BB36-1)</f>
        <v>#NAME?</v>
      </c>
      <c r="BG38" s="39" t="e">
        <f t="shared" ref="BG38" ca="1" si="356">+IF(BC36&lt;0,1-BG36/BC36,BG36/BC36-1)</f>
        <v>#NAME?</v>
      </c>
      <c r="BH38" s="39" t="e">
        <f t="shared" ref="BH38" ca="1" si="357">+IF(BD36&lt;0,1-BH36/BD36,BH36/BD36-1)</f>
        <v>#NAME?</v>
      </c>
      <c r="BI38" s="39" t="e">
        <f t="shared" ref="BI38" ca="1" si="358">+IF(BE36&lt;0,1-BI36/BE36,BI36/BE36-1)</f>
        <v>#NAME?</v>
      </c>
      <c r="BJ38" s="39" t="e">
        <f t="shared" ref="BJ38" ca="1" si="359">+IF(BF36&lt;0,1-BJ36/BF36,BJ36/BF36-1)</f>
        <v>#NAME?</v>
      </c>
      <c r="BK38" s="39" t="e">
        <f t="shared" ref="BK38" ca="1" si="360">+IF(BG36&lt;0,1-BK36/BG36,BK36/BG36-1)</f>
        <v>#NAME?</v>
      </c>
      <c r="BL38" s="39" t="e">
        <f t="shared" ref="BL38" ca="1" si="361">+IF(BH36&lt;0,1-BL36/BH36,BL36/BH36-1)</f>
        <v>#NAME?</v>
      </c>
      <c r="BM38" s="39" t="e">
        <f t="shared" ref="BM38" ca="1" si="362">+IF(BI36&lt;0,1-BM36/BI36,BM36/BI36-1)</f>
        <v>#NAME?</v>
      </c>
      <c r="BN38" s="39" t="e">
        <f t="shared" ref="BN38" ca="1" si="363">+IF(BJ36&lt;0,1-BN36/BJ36,BN36/BJ36-1)</f>
        <v>#NAME?</v>
      </c>
      <c r="BO38" s="39" t="e">
        <f t="shared" ref="BO38" ca="1" si="364">+IF(BK36&lt;0,1-BO36/BK36,BO36/BK36-1)</f>
        <v>#NAME?</v>
      </c>
      <c r="BP38" s="39" t="e">
        <f t="shared" ref="BP38" ca="1" si="365">+IF(BL36&lt;0,1-BP36/BL36,BP36/BL36-1)</f>
        <v>#NAME?</v>
      </c>
      <c r="BQ38" s="39" t="e">
        <f t="shared" ref="BQ38" ca="1" si="366">+IF(BM36&lt;0,1-BQ36/BM36,BQ36/BM36-1)</f>
        <v>#NAME?</v>
      </c>
      <c r="BR38" s="39" t="e">
        <f t="shared" ref="BR38" ca="1" si="367">+IF(BN36&lt;0,1-BR36/BN36,BR36/BN36-1)</f>
        <v>#NAME?</v>
      </c>
      <c r="BS38" s="39" t="e">
        <f t="shared" ref="BS38" ca="1" si="368">+IF(BO36&lt;0,1-BS36/BO36,BS36/BO36-1)</f>
        <v>#NAME?</v>
      </c>
      <c r="BT38" s="39" t="e">
        <f t="shared" ref="BT38" ca="1" si="369">+IF(BP36&lt;0,1-BT36/BP36,BT36/BP36-1)</f>
        <v>#NAME?</v>
      </c>
      <c r="BU38" s="39" t="e">
        <f t="shared" ref="BU38" ca="1" si="370">+IF(BQ36&lt;0,1-BU36/BQ36,BU36/BQ36-1)</f>
        <v>#NAME?</v>
      </c>
      <c r="BV38" s="39" t="e">
        <f t="shared" ref="BV38" ca="1" si="371">+IF(BR36&lt;0,1-BV36/BR36,BV36/BR36-1)</f>
        <v>#NAME?</v>
      </c>
      <c r="BW38" s="39" t="e">
        <f t="shared" ref="BW38" ca="1" si="372">+IF(BS36&lt;0,1-BW36/BS36,BW36/BS36-1)</f>
        <v>#NAME?</v>
      </c>
      <c r="BX38" s="39" t="e">
        <f t="shared" ref="BX38" ca="1" si="373">+IF(BT36&lt;0,1-BX36/BT36,BX36/BT36-1)</f>
        <v>#NAME?</v>
      </c>
      <c r="BY38" s="39" t="e">
        <f t="shared" ref="BY38" ca="1" si="374">+IF(BU36&lt;0,1-BY36/BU36,BY36/BU36-1)</f>
        <v>#NAME?</v>
      </c>
      <c r="BZ38" s="39" t="e">
        <f t="shared" ref="BZ38" ca="1" si="375">+IF(BV36&lt;0,1-BZ36/BV36,BZ36/BV36-1)</f>
        <v>#NAME?</v>
      </c>
      <c r="CA38" s="39" t="e">
        <f t="shared" ref="CA38" ca="1" si="376">+IF(BW36&lt;0,1-CA36/BW36,CA36/BW36-1)</f>
        <v>#NAME?</v>
      </c>
      <c r="CB38" s="39" t="e">
        <f t="shared" ref="CB38" ca="1" si="377">+IF(BX36&lt;0,1-CB36/BX36,CB36/BX36-1)</f>
        <v>#NAME?</v>
      </c>
      <c r="CC38" s="39" t="e">
        <f t="shared" ref="CC38" ca="1" si="378">+IF(BY36&lt;0,1-CC36/BY36,CC36/BY36-1)</f>
        <v>#NAME?</v>
      </c>
      <c r="CD38" s="39" t="e">
        <f t="shared" ref="CD38" ca="1" si="379">+IF(BZ36&lt;0,1-CD36/BZ36,CD36/BZ36-1)</f>
        <v>#NAME?</v>
      </c>
      <c r="CE38" s="39" t="e">
        <f t="shared" ref="CE38" ca="1" si="380">+IF(CA36&lt;0,1-CE36/CA36,CE36/CA36-1)</f>
        <v>#NAME?</v>
      </c>
      <c r="CF38" s="39" t="e">
        <f t="shared" ref="CF38" ca="1" si="381">+IF(CB36&lt;0,1-CF36/CB36,CF36/CB36-1)</f>
        <v>#NAME?</v>
      </c>
      <c r="CG38" s="39" t="e">
        <f t="shared" ref="CG38" ca="1" si="382">+IF(CC36&lt;0,1-CG36/CC36,CG36/CC36-1)</f>
        <v>#NAME?</v>
      </c>
      <c r="CH38" s="39" t="e">
        <f t="shared" ref="CH38:CL38" ca="1" si="383">+IF(CD36&lt;0,1-CH36/CD36,CH36/CD36-1)</f>
        <v>#NAME?</v>
      </c>
      <c r="CI38" s="39" t="e">
        <f t="shared" ca="1" si="383"/>
        <v>#NAME?</v>
      </c>
      <c r="CJ38" s="39" t="e">
        <f t="shared" ca="1" si="383"/>
        <v>#NAME?</v>
      </c>
      <c r="CK38" s="39" t="e">
        <f t="shared" ca="1" si="383"/>
        <v>#NAME?</v>
      </c>
      <c r="CL38" s="39" t="e">
        <f t="shared" ca="1" si="383"/>
        <v>#NAME?</v>
      </c>
      <c r="CM38" s="40" t="e">
        <f t="shared" ref="CM38" ca="1" si="384">+CM36/CI36-1</f>
        <v>#NAME?</v>
      </c>
      <c r="CN38" s="40" t="e">
        <f t="shared" ref="CN38" ca="1" si="385">+CN36/CJ36-1</f>
        <v>#NAME?</v>
      </c>
      <c r="CO38" s="40" t="e">
        <f t="shared" ref="CO38" ca="1" si="386">+CO36/CK36-1</f>
        <v>#NAME?</v>
      </c>
      <c r="CP38" s="40" t="e">
        <f t="shared" ref="CP38" ca="1" si="387">+CP36/CL36-1</f>
        <v>#NAME?</v>
      </c>
      <c r="CQ38" s="40" t="e">
        <f t="shared" ref="CQ38" ca="1" si="388">+CQ36/CM36-1</f>
        <v>#NAME?</v>
      </c>
      <c r="CR38" s="40" t="e">
        <f t="shared" ref="CR38" ca="1" si="389">+CR36/CN36-1</f>
        <v>#NAME?</v>
      </c>
      <c r="CS38" s="40" t="e">
        <f t="shared" ref="CS38" ca="1" si="390">+CS36/CO36-1</f>
        <v>#NAME?</v>
      </c>
      <c r="CT38" s="40" t="e">
        <f t="shared" ref="CT38" ca="1" si="391">+CT36/CP36-1</f>
        <v>#NAME?</v>
      </c>
      <c r="CU38" s="40" t="e">
        <f t="shared" ref="CU38" ca="1" si="392">+CU36/CQ36-1</f>
        <v>#NAME?</v>
      </c>
      <c r="CV38" s="40" t="e">
        <f t="shared" ref="CV38" ca="1" si="393">+CV36/CR36-1</f>
        <v>#NAME?</v>
      </c>
      <c r="CW38" s="40" t="e">
        <f t="shared" ref="CW38" ca="1" si="394">+CW36/CS36-1</f>
        <v>#NAME?</v>
      </c>
      <c r="CX38" s="40" t="e">
        <f t="shared" ref="CX38" ca="1" si="395">+CX36/CT36-1</f>
        <v>#NAME?</v>
      </c>
      <c r="CY38" s="40" t="e">
        <f t="shared" ref="CY38" ca="1" si="396">+CY36/CU36-1</f>
        <v>#NAME?</v>
      </c>
      <c r="CZ38" s="40" t="e">
        <f t="shared" ref="CZ38" ca="1" si="397">+CZ36/CV36-1</f>
        <v>#NAME?</v>
      </c>
      <c r="DA38" s="40" t="e">
        <f t="shared" ref="DA38" ca="1" si="398">+DA36/CW36-1</f>
        <v>#NAME?</v>
      </c>
      <c r="DB38" s="40" t="e">
        <f t="shared" ref="DB38" ca="1" si="399">+DB36/CX36-1</f>
        <v>#NAME?</v>
      </c>
      <c r="DE38" s="122"/>
      <c r="DF38" s="38">
        <v>9.5180591727869635E-2</v>
      </c>
    </row>
    <row r="39" spans="1:110" s="38" customFormat="1" x14ac:dyDescent="0.2">
      <c r="A39" s="39" t="s">
        <v>450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0"/>
      <c r="AC39" s="40"/>
      <c r="AD39" s="40"/>
      <c r="AE39" s="40"/>
      <c r="AI39" s="39"/>
      <c r="AJ39" s="39" t="e">
        <f ca="1">+IF(AI36&lt;0,1-AJ36/AI36,AJ36/AI36-1)</f>
        <v>#NAME?</v>
      </c>
      <c r="AK39" s="39" t="e">
        <f t="shared" ref="AK39:AM39" ca="1" si="400">+IF(AJ36&lt;0,1-AK36/AJ36,AK36/AJ36-1)</f>
        <v>#NAME?</v>
      </c>
      <c r="AL39" s="39" t="e">
        <f t="shared" ca="1" si="400"/>
        <v>#NAME?</v>
      </c>
      <c r="AM39" s="39" t="e">
        <f t="shared" ca="1" si="400"/>
        <v>#NAME?</v>
      </c>
      <c r="AN39" s="39" t="e">
        <f t="shared" ref="AN39" ca="1" si="401">+IF(AM36&lt;0,1-AN36/AM36,AN36/AM36-1)</f>
        <v>#NAME?</v>
      </c>
      <c r="AO39" s="39" t="e">
        <f t="shared" ref="AO39" ca="1" si="402">+IF(AN36&lt;0,1-AO36/AN36,AO36/AN36-1)</f>
        <v>#NAME?</v>
      </c>
      <c r="AP39" s="39" t="e">
        <f t="shared" ref="AP39" ca="1" si="403">+IF(AO36&lt;0,1-AP36/AO36,AP36/AO36-1)</f>
        <v>#NAME?</v>
      </c>
      <c r="AQ39" s="39" t="e">
        <f t="shared" ref="AQ39" ca="1" si="404">+IF(AP36&lt;0,1-AQ36/AP36,AQ36/AP36-1)</f>
        <v>#NAME?</v>
      </c>
      <c r="AR39" s="39" t="e">
        <f t="shared" ref="AR39" ca="1" si="405">+IF(AQ36&lt;0,1-AR36/AQ36,AR36/AQ36-1)</f>
        <v>#NAME?</v>
      </c>
      <c r="AS39" s="39" t="e">
        <f t="shared" ref="AS39" ca="1" si="406">+IF(AR36&lt;0,1-AS36/AR36,AS36/AR36-1)</f>
        <v>#NAME?</v>
      </c>
      <c r="AT39" s="39" t="e">
        <f t="shared" ref="AT39" ca="1" si="407">+IF(AS36&lt;0,1-AT36/AS36,AT36/AS36-1)</f>
        <v>#NAME?</v>
      </c>
      <c r="AU39" s="39" t="e">
        <f t="shared" ref="AU39" ca="1" si="408">+IF(AT36&lt;0,1-AU36/AT36,AU36/AT36-1)</f>
        <v>#NAME?</v>
      </c>
      <c r="AV39" s="39" t="e">
        <f t="shared" ref="AV39" ca="1" si="409">+IF(AU36&lt;0,1-AV36/AU36,AV36/AU36-1)</f>
        <v>#NAME?</v>
      </c>
      <c r="AW39" s="39" t="e">
        <f t="shared" ref="AW39" ca="1" si="410">+IF(AV36&lt;0,1-AW36/AV36,AW36/AV36-1)</f>
        <v>#NAME?</v>
      </c>
      <c r="AX39" s="39" t="e">
        <f t="shared" ref="AX39" ca="1" si="411">+IF(AW36&lt;0,1-AX36/AW36,AX36/AW36-1)</f>
        <v>#NAME?</v>
      </c>
      <c r="AY39" s="39" t="e">
        <f t="shared" ref="AY39" ca="1" si="412">+IF(AX36&lt;0,1-AY36/AX36,AY36/AX36-1)</f>
        <v>#NAME?</v>
      </c>
      <c r="AZ39" s="39" t="e">
        <f t="shared" ref="AZ39" ca="1" si="413">+IF(AY36&lt;0,1-AZ36/AY36,AZ36/AY36-1)</f>
        <v>#NAME?</v>
      </c>
      <c r="BA39" s="39" t="e">
        <f t="shared" ref="BA39" ca="1" si="414">+IF(AZ36&lt;0,1-BA36/AZ36,BA36/AZ36-1)</f>
        <v>#NAME?</v>
      </c>
      <c r="BB39" s="39" t="e">
        <f t="shared" ref="BB39" ca="1" si="415">+IF(BA36&lt;0,1-BB36/BA36,BB36/BA36-1)</f>
        <v>#NAME?</v>
      </c>
      <c r="BC39" s="39" t="e">
        <f t="shared" ref="BC39" ca="1" si="416">+IF(BB36&lt;0,1-BC36/BB36,BC36/BB36-1)</f>
        <v>#NAME?</v>
      </c>
      <c r="BD39" s="39" t="e">
        <f t="shared" ref="BD39" ca="1" si="417">+IF(BC36&lt;0,1-BD36/BC36,BD36/BC36-1)</f>
        <v>#NAME?</v>
      </c>
      <c r="BE39" s="39" t="e">
        <f t="shared" ref="BE39" ca="1" si="418">+IF(BD36&lt;0,1-BE36/BD36,BE36/BD36-1)</f>
        <v>#NAME?</v>
      </c>
      <c r="BF39" s="39" t="e">
        <f t="shared" ref="BF39" ca="1" si="419">+IF(BE36&lt;0,1-BF36/BE36,BF36/BE36-1)</f>
        <v>#NAME?</v>
      </c>
      <c r="BG39" s="39" t="e">
        <f t="shared" ref="BG39" ca="1" si="420">+IF(BF36&lt;0,1-BG36/BF36,BG36/BF36-1)</f>
        <v>#NAME?</v>
      </c>
      <c r="BH39" s="39" t="e">
        <f t="shared" ref="BH39" ca="1" si="421">+IF(BG36&lt;0,1-BH36/BG36,BH36/BG36-1)</f>
        <v>#NAME?</v>
      </c>
      <c r="BI39" s="39" t="e">
        <f t="shared" ref="BI39" ca="1" si="422">+IF(BH36&lt;0,1-BI36/BH36,BI36/BH36-1)</f>
        <v>#NAME?</v>
      </c>
      <c r="BJ39" s="39" t="e">
        <f t="shared" ref="BJ39" ca="1" si="423">+IF(BI36&lt;0,1-BJ36/BI36,BJ36/BI36-1)</f>
        <v>#NAME?</v>
      </c>
      <c r="BK39" s="39" t="e">
        <f t="shared" ref="BK39" ca="1" si="424">+IF(BJ36&lt;0,1-BK36/BJ36,BK36/BJ36-1)</f>
        <v>#NAME?</v>
      </c>
      <c r="BL39" s="39" t="e">
        <f t="shared" ref="BL39" ca="1" si="425">+IF(BK36&lt;0,1-BL36/BK36,BL36/BK36-1)</f>
        <v>#NAME?</v>
      </c>
      <c r="BM39" s="39" t="e">
        <f t="shared" ref="BM39" ca="1" si="426">+IF(BL36&lt;0,1-BM36/BL36,BM36/BL36-1)</f>
        <v>#NAME?</v>
      </c>
      <c r="BN39" s="39" t="e">
        <f t="shared" ref="BN39" ca="1" si="427">+IF(BM36&lt;0,1-BN36/BM36,BN36/BM36-1)</f>
        <v>#NAME?</v>
      </c>
      <c r="BO39" s="39" t="e">
        <f t="shared" ref="BO39" ca="1" si="428">+IF(BN36&lt;0,1-BO36/BN36,BO36/BN36-1)</f>
        <v>#NAME?</v>
      </c>
      <c r="BP39" s="39" t="e">
        <f t="shared" ref="BP39" ca="1" si="429">+IF(BO36&lt;0,1-BP36/BO36,BP36/BO36-1)</f>
        <v>#NAME?</v>
      </c>
      <c r="BQ39" s="39" t="e">
        <f t="shared" ref="BQ39" ca="1" si="430">+IF(BP36&lt;0,1-BQ36/BP36,BQ36/BP36-1)</f>
        <v>#NAME?</v>
      </c>
      <c r="BR39" s="39" t="e">
        <f t="shared" ref="BR39" ca="1" si="431">+IF(BQ36&lt;0,1-BR36/BQ36,BR36/BQ36-1)</f>
        <v>#NAME?</v>
      </c>
      <c r="BS39" s="39" t="e">
        <f t="shared" ref="BS39" ca="1" si="432">+IF(BR36&lt;0,1-BS36/BR36,BS36/BR36-1)</f>
        <v>#NAME?</v>
      </c>
      <c r="BT39" s="39" t="e">
        <f t="shared" ref="BT39" ca="1" si="433">+IF(BS36&lt;0,1-BT36/BS36,BT36/BS36-1)</f>
        <v>#NAME?</v>
      </c>
      <c r="BU39" s="39" t="e">
        <f t="shared" ref="BU39" ca="1" si="434">+IF(BT36&lt;0,1-BU36/BT36,BU36/BT36-1)</f>
        <v>#NAME?</v>
      </c>
      <c r="BV39" s="39" t="e">
        <f t="shared" ref="BV39" ca="1" si="435">+IF(BU36&lt;0,1-BV36/BU36,BV36/BU36-1)</f>
        <v>#NAME?</v>
      </c>
      <c r="BW39" s="39" t="e">
        <f t="shared" ref="BW39" ca="1" si="436">+IF(BV36&lt;0,1-BW36/BV36,BW36/BV36-1)</f>
        <v>#NAME?</v>
      </c>
      <c r="BX39" s="39" t="e">
        <f t="shared" ref="BX39" ca="1" si="437">+IF(BW36&lt;0,1-BX36/BW36,BX36/BW36-1)</f>
        <v>#NAME?</v>
      </c>
      <c r="BY39" s="39" t="e">
        <f t="shared" ref="BY39" ca="1" si="438">+IF(BX36&lt;0,1-BY36/BX36,BY36/BX36-1)</f>
        <v>#NAME?</v>
      </c>
      <c r="BZ39" s="39" t="e">
        <f t="shared" ref="BZ39" ca="1" si="439">+IF(BY36&lt;0,1-BZ36/BY36,BZ36/BY36-1)</f>
        <v>#NAME?</v>
      </c>
      <c r="CA39" s="39" t="e">
        <f t="shared" ref="CA39" ca="1" si="440">+IF(BZ36&lt;0,1-CA36/BZ36,CA36/BZ36-1)</f>
        <v>#NAME?</v>
      </c>
      <c r="CB39" s="39" t="e">
        <f t="shared" ref="CB39" ca="1" si="441">+IF(CA36&lt;0,1-CB36/CA36,CB36/CA36-1)</f>
        <v>#NAME?</v>
      </c>
      <c r="CC39" s="39" t="e">
        <f t="shared" ref="CC39" ca="1" si="442">+IF(CB36&lt;0,1-CC36/CB36,CC36/CB36-1)</f>
        <v>#NAME?</v>
      </c>
      <c r="CD39" s="39" t="e">
        <f t="shared" ref="CD39" ca="1" si="443">+IF(CC36&lt;0,1-CD36/CC36,CD36/CC36-1)</f>
        <v>#NAME?</v>
      </c>
      <c r="CE39" s="39" t="e">
        <f t="shared" ref="CE39" ca="1" si="444">+IF(CD36&lt;0,1-CE36/CD36,CE36/CD36-1)</f>
        <v>#NAME?</v>
      </c>
      <c r="CF39" s="39" t="e">
        <f t="shared" ref="CF39" ca="1" si="445">+IF(CE36&lt;0,1-CF36/CE36,CF36/CE36-1)</f>
        <v>#NAME?</v>
      </c>
      <c r="CG39" s="39" t="e">
        <f t="shared" ref="CG39" ca="1" si="446">+IF(CF36&lt;0,1-CG36/CF36,CG36/CF36-1)</f>
        <v>#NAME?</v>
      </c>
      <c r="CH39" s="39" t="e">
        <f t="shared" ref="CH39:CI39" ca="1" si="447">+IF(CG36&lt;0,1-CH36/CG36,CH36/CG36-1)</f>
        <v>#NAME?</v>
      </c>
      <c r="CI39" s="39" t="e">
        <f t="shared" ca="1" si="447"/>
        <v>#NAME?</v>
      </c>
      <c r="CJ39" s="39" t="e">
        <f ca="1">+IF(CI36&gt;1,CJ36/CI36-1,1-CJ36/CI36)</f>
        <v>#NAME?</v>
      </c>
      <c r="CK39" s="39" t="e">
        <f ca="1">+IF(CJ36&gt;1,CK36/CJ36-1,1-CK36/CJ36)</f>
        <v>#NAME?</v>
      </c>
      <c r="CL39" s="39" t="e">
        <f ca="1">+IF(CK36&gt;1,CL36/CK36-1,1-CL36/CK36)</f>
        <v>#NAME?</v>
      </c>
      <c r="CM39" s="40" t="e">
        <f t="shared" ref="CM39" ca="1" si="448">+CM36/CL36-1</f>
        <v>#NAME?</v>
      </c>
      <c r="CN39" s="40" t="e">
        <f t="shared" ref="CN39" ca="1" si="449">+CN36/CM36-1</f>
        <v>#NAME?</v>
      </c>
      <c r="CO39" s="40" t="e">
        <f t="shared" ref="CO39" ca="1" si="450">+CO36/CN36-1</f>
        <v>#NAME?</v>
      </c>
      <c r="CP39" s="40" t="e">
        <f t="shared" ref="CP39" ca="1" si="451">+CP36/CO36-1</f>
        <v>#NAME?</v>
      </c>
      <c r="CQ39" s="40" t="e">
        <f t="shared" ref="CQ39" ca="1" si="452">+CQ36/CP36-1</f>
        <v>#NAME?</v>
      </c>
      <c r="CR39" s="40" t="e">
        <f t="shared" ref="CR39" ca="1" si="453">+CR36/CQ36-1</f>
        <v>#NAME?</v>
      </c>
      <c r="CS39" s="40" t="e">
        <f t="shared" ref="CS39" ca="1" si="454">+CS36/CR36-1</f>
        <v>#NAME?</v>
      </c>
      <c r="CT39" s="40" t="e">
        <f t="shared" ref="CT39" ca="1" si="455">+CT36/CS36-1</f>
        <v>#NAME?</v>
      </c>
      <c r="CU39" s="40" t="e">
        <f t="shared" ref="CU39" ca="1" si="456">+CU36/CT36-1</f>
        <v>#NAME?</v>
      </c>
      <c r="CV39" s="40" t="e">
        <f t="shared" ref="CV39" ca="1" si="457">+CV36/CU36-1</f>
        <v>#NAME?</v>
      </c>
      <c r="CW39" s="40" t="e">
        <f t="shared" ref="CW39" ca="1" si="458">+CW36/CV36-1</f>
        <v>#NAME?</v>
      </c>
      <c r="CX39" s="40" t="e">
        <f t="shared" ref="CX39" ca="1" si="459">+CX36/CW36-1</f>
        <v>#NAME?</v>
      </c>
      <c r="CY39" s="40" t="e">
        <f t="shared" ref="CY39" ca="1" si="460">+CY36/CX36-1</f>
        <v>#NAME?</v>
      </c>
      <c r="CZ39" s="40" t="e">
        <f t="shared" ref="CZ39" ca="1" si="461">+CZ36/CY36-1</f>
        <v>#NAME?</v>
      </c>
      <c r="DA39" s="40" t="e">
        <f t="shared" ref="DA39" ca="1" si="462">+DA36/CZ36-1</f>
        <v>#NAME?</v>
      </c>
      <c r="DB39" s="40" t="e">
        <f t="shared" ref="DB39" ca="1" si="463">+DB36/DA36-1</f>
        <v>#NAME?</v>
      </c>
      <c r="DE39" s="122"/>
    </row>
    <row r="40" spans="1:110" s="23" customFormat="1" x14ac:dyDescent="0.2">
      <c r="A40" s="23" t="s">
        <v>15</v>
      </c>
      <c r="B40" s="23" t="e">
        <f ca="1">'Annual Raw'!C27</f>
        <v>#NAME?</v>
      </c>
      <c r="C40" s="23" t="e">
        <f ca="1">'Annual Raw'!D27</f>
        <v>#NAME?</v>
      </c>
      <c r="D40" s="23" t="e">
        <f ca="1">'Annual Raw'!E27</f>
        <v>#NAME?</v>
      </c>
      <c r="E40" s="23" t="e">
        <f ca="1">'Annual Raw'!F27</f>
        <v>#NAME?</v>
      </c>
      <c r="F40" s="23" t="e">
        <f ca="1">'Annual Raw'!G27</f>
        <v>#NAME?</v>
      </c>
      <c r="G40" s="23" t="e">
        <f ca="1">'Annual Raw'!H27</f>
        <v>#NAME?</v>
      </c>
      <c r="H40" s="23" t="e">
        <f ca="1">'Annual Raw'!I27</f>
        <v>#NAME?</v>
      </c>
      <c r="I40" s="23" t="e">
        <f ca="1">'Annual Raw'!J27</f>
        <v>#NAME?</v>
      </c>
      <c r="J40" s="23" t="e">
        <f ca="1">'Annual Raw'!K27</f>
        <v>#NAME?</v>
      </c>
      <c r="K40" s="23" t="e">
        <f ca="1">'Annual Raw'!L27</f>
        <v>#NAME?</v>
      </c>
      <c r="L40" s="23" t="e">
        <f ca="1">'Annual Raw'!M27</f>
        <v>#NAME?</v>
      </c>
      <c r="M40" s="23" t="e">
        <f ca="1">'Annual Raw'!N27</f>
        <v>#NAME?</v>
      </c>
      <c r="N40" s="23" t="e">
        <f ca="1">'Annual Raw'!O27</f>
        <v>#NAME?</v>
      </c>
      <c r="O40" s="23" t="e">
        <f ca="1">'Annual Raw'!P27</f>
        <v>#NAME?</v>
      </c>
      <c r="P40" s="23" t="e">
        <f ca="1">'Annual Raw'!Q27</f>
        <v>#NAME?</v>
      </c>
      <c r="Q40" s="23" t="e">
        <f ca="1">'Annual Raw'!R27</f>
        <v>#NAME?</v>
      </c>
      <c r="R40" s="23" t="e">
        <f ca="1">'Annual Raw'!S27</f>
        <v>#NAME?</v>
      </c>
      <c r="S40" s="23" t="e">
        <f ca="1">'Annual Raw'!T27</f>
        <v>#NAME?</v>
      </c>
      <c r="T40" s="23" t="e">
        <f ca="1">'Annual Raw'!U27</f>
        <v>#NAME?</v>
      </c>
      <c r="U40" s="23" t="e">
        <f ca="1">'Annual Raw'!V27</f>
        <v>#NAME?</v>
      </c>
      <c r="V40" s="23" t="e">
        <f ca="1">'Annual Raw'!W27</f>
        <v>#NAME?</v>
      </c>
      <c r="W40" s="23" t="e">
        <f ca="1">'Annual Raw'!X27</f>
        <v>#NAME?</v>
      </c>
      <c r="X40" s="23" t="e">
        <f ca="1">'Annual Raw'!Y27</f>
        <v>#NAME?</v>
      </c>
      <c r="Y40" s="23" t="e">
        <f ca="1">'Annual Raw'!Z27</f>
        <v>#NAME?</v>
      </c>
      <c r="Z40" s="23" t="e">
        <f ca="1">'Annual Raw'!AA27</f>
        <v>#NAME?</v>
      </c>
      <c r="AA40" s="23" t="e">
        <f ca="1">'Annual Raw'!AB27</f>
        <v>#NAME?</v>
      </c>
      <c r="AB40" s="76" t="e">
        <f ca="1">+SUM(CM40:CP40)</f>
        <v>#NAME?</v>
      </c>
      <c r="AC40" s="76" t="e">
        <f ca="1">+SUM(CQ40:CT40)</f>
        <v>#NAME?</v>
      </c>
      <c r="AD40" s="76" t="e">
        <f ca="1">+SUM(CU40:CX40)</f>
        <v>#NAME?</v>
      </c>
      <c r="AE40" s="76" t="e">
        <f ca="1">+SUM(CY40:DB40)</f>
        <v>#NAME?</v>
      </c>
      <c r="AI40" s="23" t="e">
        <f ca="1">'QTR Raw'!C28</f>
        <v>#NAME?</v>
      </c>
      <c r="AJ40" s="23" t="e">
        <f ca="1">'QTR Raw'!D28</f>
        <v>#NAME?</v>
      </c>
      <c r="AK40" s="23" t="e">
        <f ca="1">'QTR Raw'!E28</f>
        <v>#NAME?</v>
      </c>
      <c r="AL40" s="23" t="e">
        <f ca="1">'QTR Raw'!F28</f>
        <v>#NAME?</v>
      </c>
      <c r="AM40" s="23" t="e">
        <f ca="1">'QTR Raw'!G28</f>
        <v>#NAME?</v>
      </c>
      <c r="AN40" s="23" t="e">
        <f ca="1">'QTR Raw'!H28</f>
        <v>#NAME?</v>
      </c>
      <c r="AO40" s="23" t="e">
        <f ca="1">'QTR Raw'!I28</f>
        <v>#NAME?</v>
      </c>
      <c r="AP40" s="23" t="e">
        <f ca="1">'QTR Raw'!J28</f>
        <v>#NAME?</v>
      </c>
      <c r="AQ40" s="23" t="e">
        <f ca="1">'QTR Raw'!K28</f>
        <v>#NAME?</v>
      </c>
      <c r="AR40" s="23" t="e">
        <f ca="1">'QTR Raw'!L28</f>
        <v>#NAME?</v>
      </c>
      <c r="AS40" s="23" t="e">
        <f ca="1">'QTR Raw'!M28</f>
        <v>#NAME?</v>
      </c>
      <c r="AT40" s="23" t="e">
        <f ca="1">'QTR Raw'!N28</f>
        <v>#NAME?</v>
      </c>
      <c r="AU40" s="23" t="e">
        <f ca="1">'QTR Raw'!O28</f>
        <v>#NAME?</v>
      </c>
      <c r="AV40" s="23" t="e">
        <f ca="1">'QTR Raw'!P28</f>
        <v>#NAME?</v>
      </c>
      <c r="AW40" s="23" t="e">
        <f ca="1">'QTR Raw'!Q28</f>
        <v>#NAME?</v>
      </c>
      <c r="AX40" s="23" t="e">
        <f ca="1">'QTR Raw'!R28</f>
        <v>#NAME?</v>
      </c>
      <c r="AY40" s="23" t="e">
        <f ca="1">'QTR Raw'!S28</f>
        <v>#NAME?</v>
      </c>
      <c r="AZ40" s="23" t="e">
        <f ca="1">'QTR Raw'!T28</f>
        <v>#NAME?</v>
      </c>
      <c r="BA40" s="23" t="e">
        <f ca="1">'QTR Raw'!U28</f>
        <v>#NAME?</v>
      </c>
      <c r="BB40" s="23" t="e">
        <f ca="1">'QTR Raw'!V28</f>
        <v>#NAME?</v>
      </c>
      <c r="BC40" s="23" t="e">
        <f ca="1">'QTR Raw'!W28</f>
        <v>#NAME?</v>
      </c>
      <c r="BD40" s="23" t="e">
        <f ca="1">'QTR Raw'!X28</f>
        <v>#NAME?</v>
      </c>
      <c r="BE40" s="23" t="e">
        <f ca="1">'QTR Raw'!Y28</f>
        <v>#NAME?</v>
      </c>
      <c r="BF40" s="23" t="e">
        <f ca="1">'QTR Raw'!Z28</f>
        <v>#NAME?</v>
      </c>
      <c r="BG40" s="23" t="e">
        <f ca="1">'QTR Raw'!AA28</f>
        <v>#NAME?</v>
      </c>
      <c r="BH40" s="23" t="e">
        <f ca="1">'QTR Raw'!AB28</f>
        <v>#NAME?</v>
      </c>
      <c r="BI40" s="23" t="e">
        <f ca="1">'QTR Raw'!AC28</f>
        <v>#NAME?</v>
      </c>
      <c r="BJ40" s="23" t="e">
        <f ca="1">'QTR Raw'!AD28</f>
        <v>#NAME?</v>
      </c>
      <c r="BK40" s="23" t="e">
        <f ca="1">'QTR Raw'!AE28</f>
        <v>#NAME?</v>
      </c>
      <c r="BL40" s="23" t="e">
        <f ca="1">'QTR Raw'!AF28</f>
        <v>#NAME?</v>
      </c>
      <c r="BM40" s="23" t="e">
        <f ca="1">'QTR Raw'!AG28</f>
        <v>#NAME?</v>
      </c>
      <c r="BN40" s="23" t="e">
        <f ca="1">'QTR Raw'!AH28</f>
        <v>#NAME?</v>
      </c>
      <c r="BO40" s="23" t="e">
        <f ca="1">'QTR Raw'!AI28</f>
        <v>#NAME?</v>
      </c>
      <c r="BP40" s="23" t="e">
        <f ca="1">'QTR Raw'!AJ28</f>
        <v>#NAME?</v>
      </c>
      <c r="BQ40" s="23" t="e">
        <f ca="1">'QTR Raw'!AK28</f>
        <v>#NAME?</v>
      </c>
      <c r="BR40" s="23" t="e">
        <f ca="1">'QTR Raw'!AL28</f>
        <v>#NAME?</v>
      </c>
      <c r="BS40" s="23" t="e">
        <f ca="1">'QTR Raw'!AM28</f>
        <v>#NAME?</v>
      </c>
      <c r="BT40" s="23" t="e">
        <f ca="1">'QTR Raw'!AN28</f>
        <v>#NAME?</v>
      </c>
      <c r="BU40" s="23" t="e">
        <f ca="1">'QTR Raw'!AO28</f>
        <v>#NAME?</v>
      </c>
      <c r="BV40" s="23" t="e">
        <f ca="1">'QTR Raw'!AP28</f>
        <v>#NAME?</v>
      </c>
      <c r="BW40" s="23" t="e">
        <f ca="1">'QTR Raw'!AQ28</f>
        <v>#NAME?</v>
      </c>
      <c r="BX40" s="23" t="e">
        <f ca="1">'QTR Raw'!AR28</f>
        <v>#NAME?</v>
      </c>
      <c r="BY40" s="23" t="e">
        <f ca="1">'QTR Raw'!AS28</f>
        <v>#NAME?</v>
      </c>
      <c r="BZ40" s="23" t="e">
        <f ca="1">'QTR Raw'!AT28</f>
        <v>#NAME?</v>
      </c>
      <c r="CA40" s="23" t="e">
        <f ca="1">'QTR Raw'!AU28</f>
        <v>#NAME?</v>
      </c>
      <c r="CB40" s="23" t="e">
        <f ca="1">'QTR Raw'!AV28</f>
        <v>#NAME?</v>
      </c>
      <c r="CC40" s="23" t="e">
        <f ca="1">'QTR Raw'!AW28</f>
        <v>#NAME?</v>
      </c>
      <c r="CD40" s="23" t="e">
        <f ca="1">'QTR Raw'!AX28</f>
        <v>#NAME?</v>
      </c>
      <c r="CE40" s="23" t="e">
        <f ca="1">'QTR Raw'!AY28</f>
        <v>#NAME?</v>
      </c>
      <c r="CF40" s="23" t="e">
        <f ca="1">'QTR Raw'!AZ28</f>
        <v>#NAME?</v>
      </c>
      <c r="CG40" s="23" t="e">
        <f ca="1">'QTR Raw'!BA28</f>
        <v>#NAME?</v>
      </c>
      <c r="CH40" s="23" t="e">
        <f ca="1">'QTR Raw'!BB28</f>
        <v>#NAME?</v>
      </c>
      <c r="CI40" s="23" t="e">
        <f ca="1">'QTR Raw'!BC28</f>
        <v>#NAME?</v>
      </c>
      <c r="CJ40" s="23" t="e">
        <f ca="1">'QTR Raw'!BD28</f>
        <v>#NAME?</v>
      </c>
      <c r="CK40" s="23" t="e">
        <f ca="1">'QTR Raw'!BE28</f>
        <v>#NAME?</v>
      </c>
      <c r="CL40" s="23" t="e">
        <f ca="1">'QTR Raw'!BF28</f>
        <v>#NAME?</v>
      </c>
      <c r="CM40" s="24" t="e">
        <f t="shared" ref="CM40:DB40" ca="1" si="464">CM41*CL147</f>
        <v>#NAME?</v>
      </c>
      <c r="CN40" s="24" t="e">
        <f t="shared" ca="1" si="464"/>
        <v>#NAME?</v>
      </c>
      <c r="CO40" s="24" t="e">
        <f t="shared" ca="1" si="464"/>
        <v>#NAME?</v>
      </c>
      <c r="CP40" s="24" t="e">
        <f t="shared" ca="1" si="464"/>
        <v>#NAME?</v>
      </c>
      <c r="CQ40" s="24" t="e">
        <f t="shared" ca="1" si="464"/>
        <v>#NAME?</v>
      </c>
      <c r="CR40" s="24" t="e">
        <f t="shared" ca="1" si="464"/>
        <v>#NAME?</v>
      </c>
      <c r="CS40" s="24" t="e">
        <f t="shared" ca="1" si="464"/>
        <v>#NAME?</v>
      </c>
      <c r="CT40" s="24" t="e">
        <f t="shared" ca="1" si="464"/>
        <v>#NAME?</v>
      </c>
      <c r="CU40" s="24" t="e">
        <f t="shared" ca="1" si="464"/>
        <v>#NAME?</v>
      </c>
      <c r="CV40" s="24" t="e">
        <f t="shared" ca="1" si="464"/>
        <v>#NAME?</v>
      </c>
      <c r="CW40" s="24" t="e">
        <f t="shared" ca="1" si="464"/>
        <v>#NAME?</v>
      </c>
      <c r="CX40" s="24" t="e">
        <f t="shared" ca="1" si="464"/>
        <v>#NAME?</v>
      </c>
      <c r="CY40" s="24" t="e">
        <f t="shared" ca="1" si="464"/>
        <v>#NAME?</v>
      </c>
      <c r="CZ40" s="24" t="e">
        <f t="shared" ca="1" si="464"/>
        <v>#NAME?</v>
      </c>
      <c r="DA40" s="24" t="e">
        <f t="shared" ca="1" si="464"/>
        <v>#NAME?</v>
      </c>
      <c r="DB40" s="24" t="e">
        <f t="shared" ca="1" si="464"/>
        <v>#NAME?</v>
      </c>
      <c r="DE40" s="123"/>
      <c r="DF40" s="23">
        <v>3758.48</v>
      </c>
    </row>
    <row r="41" spans="1:110" s="46" customFormat="1" x14ac:dyDescent="0.2">
      <c r="A41" s="46" t="s">
        <v>483</v>
      </c>
      <c r="B41" s="46" t="e">
        <f t="shared" ref="B41:D41" ca="1" si="465">+B40/B147</f>
        <v>#NAME?</v>
      </c>
      <c r="C41" s="46" t="e">
        <f t="shared" ca="1" si="465"/>
        <v>#NAME?</v>
      </c>
      <c r="D41" s="46" t="e">
        <f t="shared" ca="1" si="465"/>
        <v>#NAME?</v>
      </c>
      <c r="E41" s="46" t="e">
        <f t="shared" ref="E41:AE41" ca="1" si="466">+E40/E147</f>
        <v>#NAME?</v>
      </c>
      <c r="F41" s="46" t="e">
        <f t="shared" ca="1" si="466"/>
        <v>#NAME?</v>
      </c>
      <c r="G41" s="46" t="e">
        <f t="shared" ca="1" si="466"/>
        <v>#NAME?</v>
      </c>
      <c r="H41" s="46" t="e">
        <f t="shared" ca="1" si="466"/>
        <v>#NAME?</v>
      </c>
      <c r="I41" s="46" t="e">
        <f t="shared" ca="1" si="466"/>
        <v>#NAME?</v>
      </c>
      <c r="J41" s="46" t="e">
        <f t="shared" ca="1" si="466"/>
        <v>#NAME?</v>
      </c>
      <c r="K41" s="46" t="e">
        <f t="shared" ca="1" si="466"/>
        <v>#NAME?</v>
      </c>
      <c r="L41" s="46" t="e">
        <f t="shared" ca="1" si="466"/>
        <v>#NAME?</v>
      </c>
      <c r="M41" s="46" t="e">
        <f t="shared" ca="1" si="466"/>
        <v>#NAME?</v>
      </c>
      <c r="N41" s="46" t="e">
        <f t="shared" ca="1" si="466"/>
        <v>#NAME?</v>
      </c>
      <c r="O41" s="46" t="e">
        <f t="shared" ca="1" si="466"/>
        <v>#NAME?</v>
      </c>
      <c r="P41" s="46" t="e">
        <f t="shared" ca="1" si="466"/>
        <v>#NAME?</v>
      </c>
      <c r="Q41" s="46" t="e">
        <f t="shared" ca="1" si="466"/>
        <v>#NAME?</v>
      </c>
      <c r="R41" s="46" t="e">
        <f t="shared" ca="1" si="466"/>
        <v>#NAME?</v>
      </c>
      <c r="S41" s="46" t="e">
        <f t="shared" ca="1" si="466"/>
        <v>#NAME?</v>
      </c>
      <c r="T41" s="46" t="e">
        <f t="shared" ca="1" si="466"/>
        <v>#NAME?</v>
      </c>
      <c r="U41" s="46" t="e">
        <f t="shared" ca="1" si="466"/>
        <v>#NAME?</v>
      </c>
      <c r="V41" s="46" t="e">
        <f t="shared" ca="1" si="466"/>
        <v>#NAME?</v>
      </c>
      <c r="W41" s="46" t="e">
        <f t="shared" ca="1" si="466"/>
        <v>#NAME?</v>
      </c>
      <c r="X41" s="46" t="e">
        <f t="shared" ca="1" si="466"/>
        <v>#NAME?</v>
      </c>
      <c r="Y41" s="46" t="e">
        <f t="shared" ca="1" si="466"/>
        <v>#NAME?</v>
      </c>
      <c r="Z41" s="46" t="e">
        <f t="shared" ca="1" si="466"/>
        <v>#NAME?</v>
      </c>
      <c r="AA41" s="46" t="e">
        <f t="shared" ref="AA41" ca="1" si="467">+AA40/AA147</f>
        <v>#NAME?</v>
      </c>
      <c r="AB41" s="110" t="e">
        <f t="shared" ca="1" si="466"/>
        <v>#NAME?</v>
      </c>
      <c r="AC41" s="110" t="e">
        <f t="shared" ca="1" si="466"/>
        <v>#NAME?</v>
      </c>
      <c r="AD41" s="110" t="e">
        <f t="shared" ca="1" si="466"/>
        <v>#NAME?</v>
      </c>
      <c r="AE41" s="110" t="e">
        <f t="shared" ca="1" si="466"/>
        <v>#NAME?</v>
      </c>
      <c r="AI41" s="46" t="e">
        <f t="shared" ref="AI41:BN41" ca="1" si="468">+AI40/AH147</f>
        <v>#NAME?</v>
      </c>
      <c r="AJ41" s="46" t="e">
        <f t="shared" ca="1" si="468"/>
        <v>#NAME?</v>
      </c>
      <c r="AK41" s="46" t="e">
        <f t="shared" ca="1" si="468"/>
        <v>#NAME?</v>
      </c>
      <c r="AL41" s="46" t="e">
        <f t="shared" ca="1" si="468"/>
        <v>#NAME?</v>
      </c>
      <c r="AM41" s="46" t="e">
        <f t="shared" ca="1" si="468"/>
        <v>#NAME?</v>
      </c>
      <c r="AN41" s="46" t="e">
        <f t="shared" ca="1" si="468"/>
        <v>#NAME?</v>
      </c>
      <c r="AO41" s="46" t="e">
        <f t="shared" ca="1" si="468"/>
        <v>#NAME?</v>
      </c>
      <c r="AP41" s="46" t="e">
        <f t="shared" ca="1" si="468"/>
        <v>#NAME?</v>
      </c>
      <c r="AQ41" s="46" t="e">
        <f t="shared" ca="1" si="468"/>
        <v>#NAME?</v>
      </c>
      <c r="AR41" s="46" t="e">
        <f t="shared" ca="1" si="468"/>
        <v>#NAME?</v>
      </c>
      <c r="AS41" s="46" t="e">
        <f t="shared" ca="1" si="468"/>
        <v>#NAME?</v>
      </c>
      <c r="AT41" s="46" t="e">
        <f t="shared" ca="1" si="468"/>
        <v>#NAME?</v>
      </c>
      <c r="AU41" s="46" t="e">
        <f t="shared" ca="1" si="468"/>
        <v>#NAME?</v>
      </c>
      <c r="AV41" s="46" t="e">
        <f t="shared" ca="1" si="468"/>
        <v>#NAME?</v>
      </c>
      <c r="AW41" s="46" t="e">
        <f t="shared" ca="1" si="468"/>
        <v>#NAME?</v>
      </c>
      <c r="AX41" s="46" t="e">
        <f t="shared" ca="1" si="468"/>
        <v>#NAME?</v>
      </c>
      <c r="AY41" s="46" t="e">
        <f t="shared" ca="1" si="468"/>
        <v>#NAME?</v>
      </c>
      <c r="AZ41" s="46" t="e">
        <f t="shared" ca="1" si="468"/>
        <v>#NAME?</v>
      </c>
      <c r="BA41" s="46" t="e">
        <f t="shared" ca="1" si="468"/>
        <v>#NAME?</v>
      </c>
      <c r="BB41" s="46" t="e">
        <f t="shared" ca="1" si="468"/>
        <v>#NAME?</v>
      </c>
      <c r="BC41" s="46" t="e">
        <f t="shared" ca="1" si="468"/>
        <v>#NAME?</v>
      </c>
      <c r="BD41" s="46" t="e">
        <f t="shared" ca="1" si="468"/>
        <v>#NAME?</v>
      </c>
      <c r="BE41" s="46" t="e">
        <f t="shared" ca="1" si="468"/>
        <v>#NAME?</v>
      </c>
      <c r="BF41" s="46" t="e">
        <f t="shared" ca="1" si="468"/>
        <v>#NAME?</v>
      </c>
      <c r="BG41" s="46" t="e">
        <f t="shared" ca="1" si="468"/>
        <v>#NAME?</v>
      </c>
      <c r="BH41" s="46" t="e">
        <f t="shared" ca="1" si="468"/>
        <v>#NAME?</v>
      </c>
      <c r="BI41" s="46" t="e">
        <f t="shared" ca="1" si="468"/>
        <v>#NAME?</v>
      </c>
      <c r="BJ41" s="46" t="e">
        <f t="shared" ca="1" si="468"/>
        <v>#NAME?</v>
      </c>
      <c r="BK41" s="46" t="e">
        <f t="shared" ca="1" si="468"/>
        <v>#NAME?</v>
      </c>
      <c r="BL41" s="46" t="e">
        <f t="shared" ca="1" si="468"/>
        <v>#NAME?</v>
      </c>
      <c r="BM41" s="46" t="e">
        <f t="shared" ca="1" si="468"/>
        <v>#NAME?</v>
      </c>
      <c r="BN41" s="46" t="e">
        <f t="shared" ca="1" si="468"/>
        <v>#NAME?</v>
      </c>
      <c r="BO41" s="46" t="e">
        <f t="shared" ref="BO41:CL41" ca="1" si="469">+BO40/BN147</f>
        <v>#NAME?</v>
      </c>
      <c r="BP41" s="46" t="e">
        <f t="shared" ca="1" si="469"/>
        <v>#NAME?</v>
      </c>
      <c r="BQ41" s="46" t="e">
        <f t="shared" ca="1" si="469"/>
        <v>#NAME?</v>
      </c>
      <c r="BR41" s="46" t="e">
        <f t="shared" ca="1" si="469"/>
        <v>#NAME?</v>
      </c>
      <c r="BS41" s="46" t="e">
        <f t="shared" ca="1" si="469"/>
        <v>#NAME?</v>
      </c>
      <c r="BT41" s="46" t="e">
        <f t="shared" ca="1" si="469"/>
        <v>#NAME?</v>
      </c>
      <c r="BU41" s="46" t="e">
        <f t="shared" ca="1" si="469"/>
        <v>#NAME?</v>
      </c>
      <c r="BV41" s="46" t="e">
        <f t="shared" ca="1" si="469"/>
        <v>#NAME?</v>
      </c>
      <c r="BW41" s="46" t="e">
        <f t="shared" ca="1" si="469"/>
        <v>#NAME?</v>
      </c>
      <c r="BX41" s="46" t="e">
        <f t="shared" ca="1" si="469"/>
        <v>#NAME?</v>
      </c>
      <c r="BY41" s="46" t="e">
        <f t="shared" ca="1" si="469"/>
        <v>#NAME?</v>
      </c>
      <c r="BZ41" s="46" t="e">
        <f t="shared" ca="1" si="469"/>
        <v>#NAME?</v>
      </c>
      <c r="CA41" s="46" t="e">
        <f t="shared" ca="1" si="469"/>
        <v>#NAME?</v>
      </c>
      <c r="CB41" s="46" t="e">
        <f t="shared" ca="1" si="469"/>
        <v>#NAME?</v>
      </c>
      <c r="CC41" s="46" t="e">
        <f t="shared" ca="1" si="469"/>
        <v>#NAME?</v>
      </c>
      <c r="CD41" s="46" t="e">
        <f t="shared" ca="1" si="469"/>
        <v>#NAME?</v>
      </c>
      <c r="CE41" s="46" t="e">
        <f t="shared" ca="1" si="469"/>
        <v>#NAME?</v>
      </c>
      <c r="CF41" s="46" t="e">
        <f t="shared" ca="1" si="469"/>
        <v>#NAME?</v>
      </c>
      <c r="CG41" s="46" t="e">
        <f t="shared" ca="1" si="469"/>
        <v>#NAME?</v>
      </c>
      <c r="CH41" s="46" t="e">
        <f t="shared" ca="1" si="469"/>
        <v>#NAME?</v>
      </c>
      <c r="CI41" s="46" t="e">
        <f t="shared" ca="1" si="469"/>
        <v>#NAME?</v>
      </c>
      <c r="CJ41" s="46" t="e">
        <f t="shared" ca="1" si="469"/>
        <v>#NAME?</v>
      </c>
      <c r="CK41" s="46" t="e">
        <f t="shared" ca="1" si="469"/>
        <v>#NAME?</v>
      </c>
      <c r="CL41" s="46" t="e">
        <f t="shared" ca="1" si="469"/>
        <v>#NAME?</v>
      </c>
      <c r="CM41" s="47" t="e">
        <f t="shared" ref="CM41" ca="1" si="470">CL41</f>
        <v>#NAME?</v>
      </c>
      <c r="CN41" s="47" t="e">
        <f t="shared" ref="CN41" ca="1" si="471">CM41</f>
        <v>#NAME?</v>
      </c>
      <c r="CO41" s="47" t="e">
        <f t="shared" ref="CO41" ca="1" si="472">CN41</f>
        <v>#NAME?</v>
      </c>
      <c r="CP41" s="47" t="e">
        <f t="shared" ref="CP41" ca="1" si="473">CO41</f>
        <v>#NAME?</v>
      </c>
      <c r="CQ41" s="47">
        <v>2.5000000000000001E-2</v>
      </c>
      <c r="CR41" s="47">
        <f t="shared" ref="CR41" si="474">CQ41</f>
        <v>2.5000000000000001E-2</v>
      </c>
      <c r="CS41" s="47">
        <f t="shared" ref="CS41" si="475">CR41</f>
        <v>2.5000000000000001E-2</v>
      </c>
      <c r="CT41" s="47">
        <f t="shared" ref="CT41" si="476">CS41</f>
        <v>2.5000000000000001E-2</v>
      </c>
      <c r="CU41" s="47">
        <f t="shared" ref="CU41" si="477">CT41</f>
        <v>2.5000000000000001E-2</v>
      </c>
      <c r="CV41" s="47">
        <f t="shared" ref="CV41" si="478">CU41</f>
        <v>2.5000000000000001E-2</v>
      </c>
      <c r="CW41" s="47">
        <f t="shared" ref="CW41" si="479">CV41</f>
        <v>2.5000000000000001E-2</v>
      </c>
      <c r="CX41" s="47">
        <f t="shared" ref="CX41" si="480">CW41</f>
        <v>2.5000000000000001E-2</v>
      </c>
      <c r="CY41" s="47">
        <f t="shared" ref="CY41" si="481">CX41</f>
        <v>2.5000000000000001E-2</v>
      </c>
      <c r="CZ41" s="47">
        <f t="shared" ref="CZ41" si="482">CY41</f>
        <v>2.5000000000000001E-2</v>
      </c>
      <c r="DA41" s="47">
        <f t="shared" ref="DA41" si="483">CZ41</f>
        <v>2.5000000000000001E-2</v>
      </c>
      <c r="DB41" s="47">
        <f t="shared" ref="DB41" si="484">DA41</f>
        <v>2.5000000000000001E-2</v>
      </c>
      <c r="DE41" s="130"/>
      <c r="DF41" s="46">
        <v>8.6860020697684864E-2</v>
      </c>
    </row>
    <row r="42" spans="1:110" s="26" customFormat="1" x14ac:dyDescent="0.2">
      <c r="A42" s="34" t="s">
        <v>16</v>
      </c>
      <c r="B42" s="26" t="e">
        <f ca="1">B36-B40</f>
        <v>#NAME?</v>
      </c>
      <c r="C42" s="26" t="e">
        <f t="shared" ref="C42:T42" ca="1" si="485">C36-C40</f>
        <v>#NAME?</v>
      </c>
      <c r="D42" s="26" t="e">
        <f ca="1">D36-D40</f>
        <v>#NAME?</v>
      </c>
      <c r="E42" s="26" t="e">
        <f t="shared" ca="1" si="485"/>
        <v>#NAME?</v>
      </c>
      <c r="F42" s="26" t="e">
        <f t="shared" ca="1" si="485"/>
        <v>#NAME?</v>
      </c>
      <c r="G42" s="26" t="e">
        <f t="shared" ca="1" si="485"/>
        <v>#NAME?</v>
      </c>
      <c r="H42" s="26" t="e">
        <f t="shared" ca="1" si="485"/>
        <v>#NAME?</v>
      </c>
      <c r="I42" s="26" t="e">
        <f t="shared" ca="1" si="485"/>
        <v>#NAME?</v>
      </c>
      <c r="J42" s="26" t="e">
        <f t="shared" ca="1" si="485"/>
        <v>#NAME?</v>
      </c>
      <c r="K42" s="26" t="e">
        <f t="shared" ca="1" si="485"/>
        <v>#NAME?</v>
      </c>
      <c r="L42" s="26" t="e">
        <f t="shared" ca="1" si="485"/>
        <v>#NAME?</v>
      </c>
      <c r="M42" s="26" t="e">
        <f t="shared" ca="1" si="485"/>
        <v>#NAME?</v>
      </c>
      <c r="N42" s="26" t="e">
        <f t="shared" ca="1" si="485"/>
        <v>#NAME?</v>
      </c>
      <c r="O42" s="26" t="e">
        <f t="shared" ca="1" si="485"/>
        <v>#NAME?</v>
      </c>
      <c r="P42" s="26" t="e">
        <f t="shared" ca="1" si="485"/>
        <v>#NAME?</v>
      </c>
      <c r="Q42" s="26" t="e">
        <f t="shared" ca="1" si="485"/>
        <v>#NAME?</v>
      </c>
      <c r="R42" s="26" t="e">
        <f t="shared" ca="1" si="485"/>
        <v>#NAME?</v>
      </c>
      <c r="S42" s="26" t="e">
        <f t="shared" ca="1" si="485"/>
        <v>#NAME?</v>
      </c>
      <c r="T42" s="26" t="e">
        <f t="shared" ca="1" si="485"/>
        <v>#NAME?</v>
      </c>
      <c r="U42" s="26" t="e">
        <f t="shared" ref="U42:Z42" ca="1" si="486">U36-U40</f>
        <v>#NAME?</v>
      </c>
      <c r="V42" s="26" t="e">
        <f t="shared" ca="1" si="486"/>
        <v>#NAME?</v>
      </c>
      <c r="W42" s="26" t="e">
        <f t="shared" ca="1" si="486"/>
        <v>#NAME?</v>
      </c>
      <c r="X42" s="26" t="e">
        <f t="shared" ca="1" si="486"/>
        <v>#NAME?</v>
      </c>
      <c r="Y42" s="26" t="e">
        <f t="shared" ca="1" si="486"/>
        <v>#NAME?</v>
      </c>
      <c r="Z42" s="26" t="e">
        <f t="shared" ca="1" si="486"/>
        <v>#NAME?</v>
      </c>
      <c r="AA42" s="26" t="e">
        <f t="shared" ref="AA42" ca="1" si="487">AA36-AA40</f>
        <v>#NAME?</v>
      </c>
      <c r="AB42" s="27" t="e">
        <f t="shared" ref="AA42:AD42" ca="1" si="488">AB36-AB40</f>
        <v>#NAME?</v>
      </c>
      <c r="AC42" s="27" t="e">
        <f t="shared" ca="1" si="488"/>
        <v>#NAME?</v>
      </c>
      <c r="AD42" s="27" t="e">
        <f t="shared" ca="1" si="488"/>
        <v>#NAME?</v>
      </c>
      <c r="AE42" s="27" t="e">
        <f t="shared" ref="AE42" ca="1" si="489">AE36-AE40</f>
        <v>#NAME?</v>
      </c>
      <c r="AI42" s="26" t="e">
        <f t="shared" ref="AI42" ca="1" si="490">AI36-AI40</f>
        <v>#NAME?</v>
      </c>
      <c r="AJ42" s="26" t="e">
        <f t="shared" ref="AJ42" ca="1" si="491">AJ36-AJ40</f>
        <v>#NAME?</v>
      </c>
      <c r="AK42" s="26" t="e">
        <f t="shared" ref="AK42:AM42" ca="1" si="492">AK36-AK40</f>
        <v>#NAME?</v>
      </c>
      <c r="AL42" s="26" t="e">
        <f t="shared" ca="1" si="492"/>
        <v>#NAME?</v>
      </c>
      <c r="AM42" s="26" t="e">
        <f t="shared" ca="1" si="492"/>
        <v>#NAME?</v>
      </c>
      <c r="AN42" s="26" t="e">
        <f t="shared" ref="AN42:AO42" ca="1" si="493">AN36-AN40</f>
        <v>#NAME?</v>
      </c>
      <c r="AO42" s="26" t="e">
        <f t="shared" ca="1" si="493"/>
        <v>#NAME?</v>
      </c>
      <c r="AP42" s="26" t="e">
        <f t="shared" ref="AP42:CD42" ca="1" si="494">AP36-AP40</f>
        <v>#NAME?</v>
      </c>
      <c r="AQ42" s="26" t="e">
        <f t="shared" ca="1" si="494"/>
        <v>#NAME?</v>
      </c>
      <c r="AR42" s="26" t="e">
        <f t="shared" ca="1" si="494"/>
        <v>#NAME?</v>
      </c>
      <c r="AS42" s="26" t="e">
        <f t="shared" ca="1" si="494"/>
        <v>#NAME?</v>
      </c>
      <c r="AT42" s="26" t="e">
        <f t="shared" ca="1" si="494"/>
        <v>#NAME?</v>
      </c>
      <c r="AU42" s="26" t="e">
        <f t="shared" ca="1" si="494"/>
        <v>#NAME?</v>
      </c>
      <c r="AV42" s="26" t="e">
        <f t="shared" ca="1" si="494"/>
        <v>#NAME?</v>
      </c>
      <c r="AW42" s="26" t="e">
        <f t="shared" ca="1" si="494"/>
        <v>#NAME?</v>
      </c>
      <c r="AX42" s="26" t="e">
        <f t="shared" ca="1" si="494"/>
        <v>#NAME?</v>
      </c>
      <c r="AY42" s="26" t="e">
        <f t="shared" ca="1" si="494"/>
        <v>#NAME?</v>
      </c>
      <c r="AZ42" s="26" t="e">
        <f t="shared" ca="1" si="494"/>
        <v>#NAME?</v>
      </c>
      <c r="BA42" s="26" t="e">
        <f t="shared" ca="1" si="494"/>
        <v>#NAME?</v>
      </c>
      <c r="BB42" s="26" t="e">
        <f t="shared" ca="1" si="494"/>
        <v>#NAME?</v>
      </c>
      <c r="BC42" s="26" t="e">
        <f t="shared" ca="1" si="494"/>
        <v>#NAME?</v>
      </c>
      <c r="BD42" s="26" t="e">
        <f t="shared" ca="1" si="494"/>
        <v>#NAME?</v>
      </c>
      <c r="BE42" s="26" t="e">
        <f t="shared" ca="1" si="494"/>
        <v>#NAME?</v>
      </c>
      <c r="BF42" s="26" t="e">
        <f t="shared" ca="1" si="494"/>
        <v>#NAME?</v>
      </c>
      <c r="BG42" s="26" t="e">
        <f t="shared" ca="1" si="494"/>
        <v>#NAME?</v>
      </c>
      <c r="BH42" s="26" t="e">
        <f t="shared" ca="1" si="494"/>
        <v>#NAME?</v>
      </c>
      <c r="BI42" s="26" t="e">
        <f t="shared" ca="1" si="494"/>
        <v>#NAME?</v>
      </c>
      <c r="BJ42" s="26" t="e">
        <f t="shared" ca="1" si="494"/>
        <v>#NAME?</v>
      </c>
      <c r="BK42" s="26" t="e">
        <f t="shared" ca="1" si="494"/>
        <v>#NAME?</v>
      </c>
      <c r="BL42" s="26" t="e">
        <f t="shared" ca="1" si="494"/>
        <v>#NAME?</v>
      </c>
      <c r="BM42" s="26" t="e">
        <f t="shared" ca="1" si="494"/>
        <v>#NAME?</v>
      </c>
      <c r="BN42" s="26" t="e">
        <f t="shared" ca="1" si="494"/>
        <v>#NAME?</v>
      </c>
      <c r="BO42" s="26" t="e">
        <f t="shared" ca="1" si="494"/>
        <v>#NAME?</v>
      </c>
      <c r="BP42" s="26" t="e">
        <f t="shared" ca="1" si="494"/>
        <v>#NAME?</v>
      </c>
      <c r="BQ42" s="26" t="e">
        <f t="shared" ca="1" si="494"/>
        <v>#NAME?</v>
      </c>
      <c r="BR42" s="26" t="e">
        <f t="shared" ca="1" si="494"/>
        <v>#NAME?</v>
      </c>
      <c r="BS42" s="26" t="e">
        <f t="shared" ca="1" si="494"/>
        <v>#NAME?</v>
      </c>
      <c r="BT42" s="26" t="e">
        <f t="shared" ca="1" si="494"/>
        <v>#NAME?</v>
      </c>
      <c r="BU42" s="26" t="e">
        <f t="shared" ca="1" si="494"/>
        <v>#NAME?</v>
      </c>
      <c r="BV42" s="26" t="e">
        <f t="shared" ca="1" si="494"/>
        <v>#NAME?</v>
      </c>
      <c r="BW42" s="26" t="e">
        <f t="shared" ca="1" si="494"/>
        <v>#NAME?</v>
      </c>
      <c r="BX42" s="26" t="e">
        <f t="shared" ca="1" si="494"/>
        <v>#NAME?</v>
      </c>
      <c r="BY42" s="26" t="e">
        <f t="shared" ca="1" si="494"/>
        <v>#NAME?</v>
      </c>
      <c r="BZ42" s="26" t="e">
        <f t="shared" ca="1" si="494"/>
        <v>#NAME?</v>
      </c>
      <c r="CA42" s="26" t="e">
        <f t="shared" ca="1" si="494"/>
        <v>#NAME?</v>
      </c>
      <c r="CB42" s="26" t="e">
        <f t="shared" ca="1" si="494"/>
        <v>#NAME?</v>
      </c>
      <c r="CC42" s="26" t="e">
        <f t="shared" ca="1" si="494"/>
        <v>#NAME?</v>
      </c>
      <c r="CD42" s="26" t="e">
        <f t="shared" ca="1" si="494"/>
        <v>#NAME?</v>
      </c>
      <c r="CE42" s="26" t="e">
        <f t="shared" ref="CE42:CF42" ca="1" si="495">CE36-CE40</f>
        <v>#NAME?</v>
      </c>
      <c r="CF42" s="26" t="e">
        <f t="shared" ca="1" si="495"/>
        <v>#NAME?</v>
      </c>
      <c r="CG42" s="26" t="e">
        <f t="shared" ref="CG42:CH42" ca="1" si="496">CG36-CG40</f>
        <v>#NAME?</v>
      </c>
      <c r="CH42" s="26" t="e">
        <f t="shared" ca="1" si="496"/>
        <v>#NAME?</v>
      </c>
      <c r="CI42" s="26" t="e">
        <f t="shared" ref="CI42:CJ42" ca="1" si="497">CI36-CI40</f>
        <v>#NAME?</v>
      </c>
      <c r="CJ42" s="26" t="e">
        <f t="shared" ca="1" si="497"/>
        <v>#NAME?</v>
      </c>
      <c r="CK42" s="26" t="e">
        <f t="shared" ref="CK42:CL42" ca="1" si="498">CK36-CK40</f>
        <v>#NAME?</v>
      </c>
      <c r="CL42" s="26" t="e">
        <f t="shared" ca="1" si="498"/>
        <v>#NAME?</v>
      </c>
      <c r="CM42" s="27" t="e">
        <f t="shared" ref="CM42:DB42" ca="1" si="499">CM36-CM40</f>
        <v>#NAME?</v>
      </c>
      <c r="CN42" s="27" t="e">
        <f t="shared" ca="1" si="499"/>
        <v>#NAME?</v>
      </c>
      <c r="CO42" s="27" t="e">
        <f t="shared" ca="1" si="499"/>
        <v>#NAME?</v>
      </c>
      <c r="CP42" s="27" t="e">
        <f t="shared" ca="1" si="499"/>
        <v>#NAME?</v>
      </c>
      <c r="CQ42" s="27" t="e">
        <f t="shared" ca="1" si="499"/>
        <v>#NAME?</v>
      </c>
      <c r="CR42" s="27" t="e">
        <f t="shared" ca="1" si="499"/>
        <v>#NAME?</v>
      </c>
      <c r="CS42" s="27" t="e">
        <f t="shared" ca="1" si="499"/>
        <v>#NAME?</v>
      </c>
      <c r="CT42" s="27" t="e">
        <f t="shared" ca="1" si="499"/>
        <v>#NAME?</v>
      </c>
      <c r="CU42" s="27" t="e">
        <f t="shared" ca="1" si="499"/>
        <v>#NAME?</v>
      </c>
      <c r="CV42" s="27" t="e">
        <f t="shared" ca="1" si="499"/>
        <v>#NAME?</v>
      </c>
      <c r="CW42" s="27" t="e">
        <f t="shared" ca="1" si="499"/>
        <v>#NAME?</v>
      </c>
      <c r="CX42" s="27" t="e">
        <f t="shared" ca="1" si="499"/>
        <v>#NAME?</v>
      </c>
      <c r="CY42" s="27" t="e">
        <f t="shared" ca="1" si="499"/>
        <v>#NAME?</v>
      </c>
      <c r="CZ42" s="27" t="e">
        <f t="shared" ca="1" si="499"/>
        <v>#NAME?</v>
      </c>
      <c r="DA42" s="27" t="e">
        <f t="shared" ca="1" si="499"/>
        <v>#NAME?</v>
      </c>
      <c r="DB42" s="27" t="e">
        <f t="shared" ca="1" si="499"/>
        <v>#NAME?</v>
      </c>
      <c r="DE42" s="121"/>
      <c r="DF42" s="26">
        <v>2780.4600000000023</v>
      </c>
    </row>
    <row r="43" spans="1:110" s="23" customFormat="1" x14ac:dyDescent="0.2">
      <c r="A43" s="23" t="s">
        <v>17</v>
      </c>
      <c r="B43" s="23" t="e">
        <f ca="1">'Annual Raw'!C23</f>
        <v>#NAME?</v>
      </c>
      <c r="C43" s="23" t="e">
        <f ca="1">'Annual Raw'!D23</f>
        <v>#NAME?</v>
      </c>
      <c r="D43" s="23" t="e">
        <f ca="1">'Annual Raw'!E23</f>
        <v>#NAME?</v>
      </c>
      <c r="E43" s="23" t="e">
        <f ca="1">'Annual Raw'!F23</f>
        <v>#NAME?</v>
      </c>
      <c r="F43" s="23" t="e">
        <f ca="1">'Annual Raw'!G23</f>
        <v>#NAME?</v>
      </c>
      <c r="G43" s="23" t="e">
        <f ca="1">'Annual Raw'!H23</f>
        <v>#NAME?</v>
      </c>
      <c r="H43" s="23" t="e">
        <f ca="1">'Annual Raw'!I23</f>
        <v>#NAME?</v>
      </c>
      <c r="I43" s="23" t="e">
        <f ca="1">'Annual Raw'!J23</f>
        <v>#NAME?</v>
      </c>
      <c r="J43" s="23" t="e">
        <f ca="1">'Annual Raw'!K23</f>
        <v>#NAME?</v>
      </c>
      <c r="K43" s="23" t="e">
        <f ca="1">'Annual Raw'!L23</f>
        <v>#NAME?</v>
      </c>
      <c r="L43" s="23" t="e">
        <f ca="1">'Annual Raw'!M23</f>
        <v>#NAME?</v>
      </c>
      <c r="M43" s="23" t="e">
        <f ca="1">'Annual Raw'!N23</f>
        <v>#NAME?</v>
      </c>
      <c r="N43" s="23" t="e">
        <f ca="1">'Annual Raw'!O23</f>
        <v>#NAME?</v>
      </c>
      <c r="O43" s="23" t="e">
        <f ca="1">'Annual Raw'!P23</f>
        <v>#NAME?</v>
      </c>
      <c r="P43" s="23" t="e">
        <f ca="1">'Annual Raw'!Q23</f>
        <v>#NAME?</v>
      </c>
      <c r="Q43" s="23" t="e">
        <f ca="1">'Annual Raw'!R23</f>
        <v>#NAME?</v>
      </c>
      <c r="R43" s="23" t="e">
        <f ca="1">'Annual Raw'!S23</f>
        <v>#NAME?</v>
      </c>
      <c r="S43" s="23" t="e">
        <f ca="1">'Annual Raw'!T23</f>
        <v>#NAME?</v>
      </c>
      <c r="T43" s="23" t="e">
        <f ca="1">'Annual Raw'!U23</f>
        <v>#NAME?</v>
      </c>
      <c r="U43" s="23" t="e">
        <f ca="1">'Annual Raw'!V23</f>
        <v>#NAME?</v>
      </c>
      <c r="V43" s="23" t="e">
        <f ca="1">'Annual Raw'!W23</f>
        <v>#NAME?</v>
      </c>
      <c r="W43" s="23" t="e">
        <f ca="1">'Annual Raw'!X23</f>
        <v>#NAME?</v>
      </c>
      <c r="X43" s="23" t="e">
        <f ca="1">'Annual Raw'!Y23</f>
        <v>#NAME?</v>
      </c>
      <c r="Y43" s="23" t="e">
        <f ca="1">'Annual Raw'!Z23</f>
        <v>#NAME?</v>
      </c>
      <c r="Z43" s="23" t="e">
        <f ca="1">'Annual Raw'!AA23</f>
        <v>#NAME?</v>
      </c>
      <c r="AA43" s="23" t="e">
        <f ca="1">'Annual Raw'!AB23</f>
        <v>#NAME?</v>
      </c>
      <c r="AB43" s="76">
        <f t="shared" ref="AB43:AB44" si="500">+SUM(CM43:CP43)</f>
        <v>0</v>
      </c>
      <c r="AC43" s="76">
        <f t="shared" ref="AC43:AC44" si="501">+SUM(CQ43:CT43)</f>
        <v>0</v>
      </c>
      <c r="AD43" s="76">
        <f t="shared" ref="AD43:AD44" si="502">+SUM(CU43:CX43)</f>
        <v>0</v>
      </c>
      <c r="AE43" s="76">
        <f t="shared" ref="AE43:AE44" si="503">+SUM(CY43:DB43)</f>
        <v>0</v>
      </c>
      <c r="AI43" s="23" t="e">
        <f ca="1">'QTR Raw'!C23</f>
        <v>#NAME?</v>
      </c>
      <c r="AJ43" s="23" t="e">
        <f ca="1">'QTR Raw'!D23</f>
        <v>#NAME?</v>
      </c>
      <c r="AK43" s="23" t="e">
        <f ca="1">'QTR Raw'!E23</f>
        <v>#NAME?</v>
      </c>
      <c r="AL43" s="23" t="e">
        <f ca="1">'QTR Raw'!F23</f>
        <v>#NAME?</v>
      </c>
      <c r="AM43" s="23" t="e">
        <f ca="1">'QTR Raw'!G23</f>
        <v>#NAME?</v>
      </c>
      <c r="AN43" s="23" t="e">
        <f ca="1">'QTR Raw'!H23</f>
        <v>#NAME?</v>
      </c>
      <c r="AO43" s="23" t="e">
        <f ca="1">'QTR Raw'!I23</f>
        <v>#NAME?</v>
      </c>
      <c r="AP43" s="23" t="e">
        <f ca="1">'QTR Raw'!J23</f>
        <v>#NAME?</v>
      </c>
      <c r="AQ43" s="23" t="e">
        <f ca="1">'QTR Raw'!K23</f>
        <v>#NAME?</v>
      </c>
      <c r="AR43" s="23" t="e">
        <f ca="1">'QTR Raw'!L23</f>
        <v>#NAME?</v>
      </c>
      <c r="AS43" s="23" t="e">
        <f ca="1">'QTR Raw'!M23</f>
        <v>#NAME?</v>
      </c>
      <c r="AT43" s="23" t="e">
        <f ca="1">'QTR Raw'!N23</f>
        <v>#NAME?</v>
      </c>
      <c r="AU43" s="23" t="e">
        <f ca="1">'QTR Raw'!O23</f>
        <v>#NAME?</v>
      </c>
      <c r="AV43" s="23" t="e">
        <f ca="1">'QTR Raw'!P23</f>
        <v>#NAME?</v>
      </c>
      <c r="AW43" s="23" t="e">
        <f ca="1">'QTR Raw'!Q23</f>
        <v>#NAME?</v>
      </c>
      <c r="AX43" s="23" t="e">
        <f ca="1">'QTR Raw'!R23</f>
        <v>#NAME?</v>
      </c>
      <c r="AY43" s="23" t="e">
        <f ca="1">'QTR Raw'!S23</f>
        <v>#NAME?</v>
      </c>
      <c r="AZ43" s="23" t="e">
        <f ca="1">'QTR Raw'!T23</f>
        <v>#NAME?</v>
      </c>
      <c r="BA43" s="23" t="e">
        <f ca="1">'QTR Raw'!U23</f>
        <v>#NAME?</v>
      </c>
      <c r="BB43" s="23" t="e">
        <f ca="1">'QTR Raw'!V23</f>
        <v>#NAME?</v>
      </c>
      <c r="BC43" s="23" t="e">
        <f ca="1">'QTR Raw'!W23</f>
        <v>#NAME?</v>
      </c>
      <c r="BD43" s="23" t="e">
        <f ca="1">'QTR Raw'!X23</f>
        <v>#NAME?</v>
      </c>
      <c r="BE43" s="23" t="e">
        <f ca="1">'QTR Raw'!Y23</f>
        <v>#NAME?</v>
      </c>
      <c r="BF43" s="23" t="e">
        <f ca="1">'QTR Raw'!Z23</f>
        <v>#NAME?</v>
      </c>
      <c r="BG43" s="23" t="e">
        <f ca="1">'QTR Raw'!AA23</f>
        <v>#NAME?</v>
      </c>
      <c r="BH43" s="23" t="e">
        <f ca="1">'QTR Raw'!AB23</f>
        <v>#NAME?</v>
      </c>
      <c r="BI43" s="23" t="e">
        <f ca="1">'QTR Raw'!AC23</f>
        <v>#NAME?</v>
      </c>
      <c r="BJ43" s="23" t="e">
        <f ca="1">'QTR Raw'!AD23</f>
        <v>#NAME?</v>
      </c>
      <c r="BK43" s="23" t="e">
        <f ca="1">'QTR Raw'!AE23</f>
        <v>#NAME?</v>
      </c>
      <c r="BL43" s="23" t="e">
        <f ca="1">'QTR Raw'!AF23</f>
        <v>#NAME?</v>
      </c>
      <c r="BM43" s="23" t="e">
        <f ca="1">'QTR Raw'!AG23</f>
        <v>#NAME?</v>
      </c>
      <c r="BN43" s="23" t="e">
        <f ca="1">'QTR Raw'!AH23</f>
        <v>#NAME?</v>
      </c>
      <c r="BO43" s="23" t="e">
        <f ca="1">'QTR Raw'!AI23</f>
        <v>#NAME?</v>
      </c>
      <c r="BP43" s="23" t="e">
        <f ca="1">'QTR Raw'!AJ23</f>
        <v>#NAME?</v>
      </c>
      <c r="BQ43" s="23" t="e">
        <f ca="1">'QTR Raw'!AK23</f>
        <v>#NAME?</v>
      </c>
      <c r="BR43" s="23" t="e">
        <f ca="1">'QTR Raw'!AL23</f>
        <v>#NAME?</v>
      </c>
      <c r="BS43" s="23" t="e">
        <f ca="1">'QTR Raw'!AM23</f>
        <v>#NAME?</v>
      </c>
      <c r="BT43" s="23" t="e">
        <f ca="1">'QTR Raw'!AN23</f>
        <v>#NAME?</v>
      </c>
      <c r="BU43" s="23" t="e">
        <f ca="1">'QTR Raw'!AO23</f>
        <v>#NAME?</v>
      </c>
      <c r="BV43" s="23" t="e">
        <f ca="1">'QTR Raw'!AP23</f>
        <v>#NAME?</v>
      </c>
      <c r="BW43" s="23" t="e">
        <f ca="1">'QTR Raw'!AQ23</f>
        <v>#NAME?</v>
      </c>
      <c r="BX43" s="23" t="e">
        <f ca="1">'QTR Raw'!AR23</f>
        <v>#NAME?</v>
      </c>
      <c r="BY43" s="23" t="e">
        <f ca="1">'QTR Raw'!AS23</f>
        <v>#NAME?</v>
      </c>
      <c r="BZ43" s="23" t="e">
        <f ca="1">'QTR Raw'!AT23</f>
        <v>#NAME?</v>
      </c>
      <c r="CA43" s="23" t="e">
        <f ca="1">'QTR Raw'!AU23</f>
        <v>#NAME?</v>
      </c>
      <c r="CB43" s="23" t="e">
        <f ca="1">'QTR Raw'!AV23</f>
        <v>#NAME?</v>
      </c>
      <c r="CC43" s="23" t="e">
        <f ca="1">'QTR Raw'!AW23</f>
        <v>#NAME?</v>
      </c>
      <c r="CD43" s="23" t="e">
        <f ca="1">'QTR Raw'!AX23</f>
        <v>#NAME?</v>
      </c>
      <c r="CE43" s="23" t="e">
        <f ca="1">'QTR Raw'!AY23</f>
        <v>#NAME?</v>
      </c>
      <c r="CF43" s="23" t="e">
        <f ca="1">'QTR Raw'!AZ23</f>
        <v>#NAME?</v>
      </c>
      <c r="CG43" s="23" t="e">
        <f ca="1">'QTR Raw'!BA23</f>
        <v>#NAME?</v>
      </c>
      <c r="CH43" s="23" t="e">
        <f ca="1">'QTR Raw'!BB23</f>
        <v>#NAME?</v>
      </c>
      <c r="CI43" s="23" t="e">
        <f ca="1">'QTR Raw'!BC23</f>
        <v>#NAME?</v>
      </c>
      <c r="CJ43" s="23" t="e">
        <f ca="1">'QTR Raw'!BD23</f>
        <v>#NAME?</v>
      </c>
      <c r="CK43" s="23" t="e">
        <f ca="1">'QTR Raw'!BE23</f>
        <v>#NAME?</v>
      </c>
      <c r="CL43" s="23" t="e">
        <f ca="1">'QTR Raw'!BF23</f>
        <v>#NAME?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3"/>
      <c r="DF43" s="23">
        <v>834.34</v>
      </c>
    </row>
    <row r="44" spans="1:110" s="23" customFormat="1" x14ac:dyDescent="0.2">
      <c r="A44" s="23" t="s">
        <v>18</v>
      </c>
      <c r="B44" s="23" t="e">
        <f ca="1">'Annual Raw'!C25</f>
        <v>#NAME?</v>
      </c>
      <c r="C44" s="23" t="e">
        <f ca="1">'Annual Raw'!D25</f>
        <v>#NAME?</v>
      </c>
      <c r="D44" s="23" t="e">
        <f ca="1">'Annual Raw'!E25</f>
        <v>#NAME?</v>
      </c>
      <c r="E44" s="23" t="e">
        <f ca="1">'Annual Raw'!F25</f>
        <v>#NAME?</v>
      </c>
      <c r="F44" s="23" t="e">
        <f ca="1">'Annual Raw'!G25</f>
        <v>#NAME?</v>
      </c>
      <c r="G44" s="23" t="e">
        <f ca="1">'Annual Raw'!H25</f>
        <v>#NAME?</v>
      </c>
      <c r="H44" s="23" t="e">
        <f ca="1">'Annual Raw'!I25</f>
        <v>#NAME?</v>
      </c>
      <c r="I44" s="23" t="e">
        <f ca="1">'Annual Raw'!J25</f>
        <v>#NAME?</v>
      </c>
      <c r="J44" s="23" t="e">
        <f ca="1">'Annual Raw'!K25</f>
        <v>#NAME?</v>
      </c>
      <c r="K44" s="23" t="e">
        <f ca="1">'Annual Raw'!L25</f>
        <v>#NAME?</v>
      </c>
      <c r="L44" s="23" t="e">
        <f ca="1">'Annual Raw'!M25</f>
        <v>#NAME?</v>
      </c>
      <c r="M44" s="23" t="e">
        <f ca="1">'Annual Raw'!N25</f>
        <v>#NAME?</v>
      </c>
      <c r="N44" s="23" t="e">
        <f ca="1">'Annual Raw'!O25</f>
        <v>#NAME?</v>
      </c>
      <c r="O44" s="23" t="e">
        <f ca="1">'Annual Raw'!P25</f>
        <v>#NAME?</v>
      </c>
      <c r="P44" s="23" t="e">
        <f ca="1">'Annual Raw'!Q25</f>
        <v>#NAME?</v>
      </c>
      <c r="Q44" s="23" t="e">
        <f ca="1">'Annual Raw'!R25</f>
        <v>#NAME?</v>
      </c>
      <c r="R44" s="23" t="e">
        <f ca="1">'Annual Raw'!S25</f>
        <v>#NAME?</v>
      </c>
      <c r="S44" s="23" t="e">
        <f ca="1">'Annual Raw'!T25</f>
        <v>#NAME?</v>
      </c>
      <c r="T44" s="23" t="e">
        <f ca="1">'Annual Raw'!U25</f>
        <v>#NAME?</v>
      </c>
      <c r="U44" s="23" t="e">
        <f ca="1">'Annual Raw'!V25</f>
        <v>#NAME?</v>
      </c>
      <c r="V44" s="23" t="e">
        <f ca="1">'Annual Raw'!W25</f>
        <v>#NAME?</v>
      </c>
      <c r="W44" s="23" t="e">
        <f ca="1">'Annual Raw'!X25</f>
        <v>#NAME?</v>
      </c>
      <c r="X44" s="23" t="e">
        <f ca="1">'Annual Raw'!Y25</f>
        <v>#NAME?</v>
      </c>
      <c r="Y44" s="23" t="e">
        <f ca="1">'Annual Raw'!Z25</f>
        <v>#NAME?</v>
      </c>
      <c r="Z44" s="23" t="e">
        <f ca="1">'Annual Raw'!AA25</f>
        <v>#NAME?</v>
      </c>
      <c r="AA44" s="23" t="e">
        <f ca="1">'Annual Raw'!AB25</f>
        <v>#NAME?</v>
      </c>
      <c r="AB44" s="76" t="e">
        <f t="shared" ca="1" si="500"/>
        <v>#NAME?</v>
      </c>
      <c r="AC44" s="76" t="e">
        <f t="shared" ca="1" si="501"/>
        <v>#NAME?</v>
      </c>
      <c r="AD44" s="76" t="e">
        <f t="shared" ca="1" si="502"/>
        <v>#NAME?</v>
      </c>
      <c r="AE44" s="76" t="e">
        <f t="shared" ca="1" si="503"/>
        <v>#NAME?</v>
      </c>
      <c r="AI44" s="23" t="e">
        <f ca="1">'QTR Raw'!C25</f>
        <v>#NAME?</v>
      </c>
      <c r="AJ44" s="23" t="e">
        <f ca="1">'QTR Raw'!D25</f>
        <v>#NAME?</v>
      </c>
      <c r="AK44" s="23" t="e">
        <f ca="1">'QTR Raw'!E25</f>
        <v>#NAME?</v>
      </c>
      <c r="AL44" s="23" t="e">
        <f ca="1">'QTR Raw'!F25</f>
        <v>#NAME?</v>
      </c>
      <c r="AM44" s="23" t="e">
        <f ca="1">'QTR Raw'!G25</f>
        <v>#NAME?</v>
      </c>
      <c r="AN44" s="23" t="e">
        <f ca="1">'QTR Raw'!H25</f>
        <v>#NAME?</v>
      </c>
      <c r="AO44" s="23" t="e">
        <f ca="1">'QTR Raw'!I25</f>
        <v>#NAME?</v>
      </c>
      <c r="AP44" s="23" t="e">
        <f ca="1">'QTR Raw'!J25</f>
        <v>#NAME?</v>
      </c>
      <c r="AQ44" s="23" t="e">
        <f ca="1">'QTR Raw'!K25</f>
        <v>#NAME?</v>
      </c>
      <c r="AR44" s="23" t="e">
        <f ca="1">'QTR Raw'!L25</f>
        <v>#NAME?</v>
      </c>
      <c r="AS44" s="23" t="e">
        <f ca="1">'QTR Raw'!M25</f>
        <v>#NAME?</v>
      </c>
      <c r="AT44" s="23" t="e">
        <f ca="1">'QTR Raw'!N25</f>
        <v>#NAME?</v>
      </c>
      <c r="AU44" s="23" t="e">
        <f ca="1">'QTR Raw'!O25</f>
        <v>#NAME?</v>
      </c>
      <c r="AV44" s="23" t="e">
        <f ca="1">'QTR Raw'!P25</f>
        <v>#NAME?</v>
      </c>
      <c r="AW44" s="23" t="e">
        <f ca="1">'QTR Raw'!Q25</f>
        <v>#NAME?</v>
      </c>
      <c r="AX44" s="23" t="e">
        <f ca="1">'QTR Raw'!R25</f>
        <v>#NAME?</v>
      </c>
      <c r="AY44" s="23" t="e">
        <f ca="1">'QTR Raw'!S25</f>
        <v>#NAME?</v>
      </c>
      <c r="AZ44" s="23" t="e">
        <f ca="1">'QTR Raw'!T25</f>
        <v>#NAME?</v>
      </c>
      <c r="BA44" s="23" t="e">
        <f ca="1">'QTR Raw'!U25</f>
        <v>#NAME?</v>
      </c>
      <c r="BB44" s="23" t="e">
        <f ca="1">'QTR Raw'!V25</f>
        <v>#NAME?</v>
      </c>
      <c r="BC44" s="23" t="e">
        <f ca="1">'QTR Raw'!W25</f>
        <v>#NAME?</v>
      </c>
      <c r="BD44" s="23" t="e">
        <f ca="1">'QTR Raw'!X25</f>
        <v>#NAME?</v>
      </c>
      <c r="BE44" s="23" t="e">
        <f ca="1">'QTR Raw'!Y25</f>
        <v>#NAME?</v>
      </c>
      <c r="BF44" s="23" t="e">
        <f ca="1">'QTR Raw'!Z25</f>
        <v>#NAME?</v>
      </c>
      <c r="BG44" s="23" t="e">
        <f ca="1">'QTR Raw'!AA25</f>
        <v>#NAME?</v>
      </c>
      <c r="BH44" s="23" t="e">
        <f ca="1">'QTR Raw'!AB25</f>
        <v>#NAME?</v>
      </c>
      <c r="BI44" s="23" t="e">
        <f ca="1">'QTR Raw'!AC25</f>
        <v>#NAME?</v>
      </c>
      <c r="BJ44" s="23" t="e">
        <f ca="1">'QTR Raw'!AD25</f>
        <v>#NAME?</v>
      </c>
      <c r="BK44" s="23" t="e">
        <f ca="1">'QTR Raw'!AE25</f>
        <v>#NAME?</v>
      </c>
      <c r="BL44" s="23" t="e">
        <f ca="1">'QTR Raw'!AF25</f>
        <v>#NAME?</v>
      </c>
      <c r="BM44" s="23" t="e">
        <f ca="1">'QTR Raw'!AG25</f>
        <v>#NAME?</v>
      </c>
      <c r="BN44" s="23" t="e">
        <f ca="1">'QTR Raw'!AH25</f>
        <v>#NAME?</v>
      </c>
      <c r="BO44" s="23" t="e">
        <f ca="1">'QTR Raw'!AI25</f>
        <v>#NAME?</v>
      </c>
      <c r="BP44" s="23" t="e">
        <f ca="1">'QTR Raw'!AJ25</f>
        <v>#NAME?</v>
      </c>
      <c r="BQ44" s="23" t="e">
        <f ca="1">'QTR Raw'!AK25</f>
        <v>#NAME?</v>
      </c>
      <c r="BR44" s="23" t="e">
        <f ca="1">'QTR Raw'!AL25</f>
        <v>#NAME?</v>
      </c>
      <c r="BS44" s="23" t="e">
        <f ca="1">'QTR Raw'!AM25</f>
        <v>#NAME?</v>
      </c>
      <c r="BT44" s="23" t="e">
        <f ca="1">'QTR Raw'!AN25</f>
        <v>#NAME?</v>
      </c>
      <c r="BU44" s="23" t="e">
        <f ca="1">'QTR Raw'!AO25</f>
        <v>#NAME?</v>
      </c>
      <c r="BV44" s="23" t="e">
        <f ca="1">'QTR Raw'!AP25</f>
        <v>#NAME?</v>
      </c>
      <c r="BW44" s="23" t="e">
        <f ca="1">'QTR Raw'!AQ25</f>
        <v>#NAME?</v>
      </c>
      <c r="BX44" s="23" t="e">
        <f ca="1">'QTR Raw'!AR25</f>
        <v>#NAME?</v>
      </c>
      <c r="BY44" s="23" t="e">
        <f ca="1">'QTR Raw'!AS25</f>
        <v>#NAME?</v>
      </c>
      <c r="BZ44" s="23" t="e">
        <f ca="1">'QTR Raw'!AT25</f>
        <v>#NAME?</v>
      </c>
      <c r="CA44" s="23" t="e">
        <f ca="1">'QTR Raw'!AU25</f>
        <v>#NAME?</v>
      </c>
      <c r="CB44" s="23" t="e">
        <f ca="1">'QTR Raw'!AV25</f>
        <v>#NAME?</v>
      </c>
      <c r="CC44" s="23" t="e">
        <f ca="1">'QTR Raw'!AW25</f>
        <v>#NAME?</v>
      </c>
      <c r="CD44" s="23" t="e">
        <f ca="1">'QTR Raw'!AX25</f>
        <v>#NAME?</v>
      </c>
      <c r="CE44" s="23" t="e">
        <f ca="1">'QTR Raw'!AY25</f>
        <v>#NAME?</v>
      </c>
      <c r="CF44" s="23" t="e">
        <f ca="1">'QTR Raw'!AZ25</f>
        <v>#NAME?</v>
      </c>
      <c r="CG44" s="23" t="e">
        <f ca="1">'QTR Raw'!BA25</f>
        <v>#NAME?</v>
      </c>
      <c r="CH44" s="23" t="e">
        <f ca="1">'QTR Raw'!BB25</f>
        <v>#NAME?</v>
      </c>
      <c r="CI44" s="23" t="e">
        <f ca="1">'QTR Raw'!BC25</f>
        <v>#NAME?</v>
      </c>
      <c r="CJ44" s="23" t="e">
        <f ca="1">'QTR Raw'!BD25</f>
        <v>#NAME?</v>
      </c>
      <c r="CK44" s="23" t="e">
        <f ca="1">'QTR Raw'!BE25</f>
        <v>#NAME?</v>
      </c>
      <c r="CL44" s="23" t="e">
        <f ca="1">'QTR Raw'!BF25</f>
        <v>#NAME?</v>
      </c>
      <c r="CM44" s="24" t="e">
        <f t="shared" ref="CM44:DB44" ca="1" si="504">CM45*CL181</f>
        <v>#NAME?</v>
      </c>
      <c r="CN44" s="24" t="e">
        <f t="shared" ca="1" si="504"/>
        <v>#NAME?</v>
      </c>
      <c r="CO44" s="24" t="e">
        <f t="shared" ca="1" si="504"/>
        <v>#NAME?</v>
      </c>
      <c r="CP44" s="24" t="e">
        <f t="shared" ca="1" si="504"/>
        <v>#NAME?</v>
      </c>
      <c r="CQ44" s="24" t="e">
        <f t="shared" ca="1" si="504"/>
        <v>#NAME?</v>
      </c>
      <c r="CR44" s="24" t="e">
        <f t="shared" ca="1" si="504"/>
        <v>#NAME?</v>
      </c>
      <c r="CS44" s="24" t="e">
        <f t="shared" ca="1" si="504"/>
        <v>#NAME?</v>
      </c>
      <c r="CT44" s="24" t="e">
        <f t="shared" ca="1" si="504"/>
        <v>#NAME?</v>
      </c>
      <c r="CU44" s="24" t="e">
        <f t="shared" ca="1" si="504"/>
        <v>#NAME?</v>
      </c>
      <c r="CV44" s="24" t="e">
        <f t="shared" ca="1" si="504"/>
        <v>#NAME?</v>
      </c>
      <c r="CW44" s="24" t="e">
        <f t="shared" ca="1" si="504"/>
        <v>#NAME?</v>
      </c>
      <c r="CX44" s="24" t="e">
        <f t="shared" ca="1" si="504"/>
        <v>#NAME?</v>
      </c>
      <c r="CY44" s="24" t="e">
        <f t="shared" ca="1" si="504"/>
        <v>#NAME?</v>
      </c>
      <c r="CZ44" s="24" t="e">
        <f t="shared" ca="1" si="504"/>
        <v>#NAME?</v>
      </c>
      <c r="DA44" s="24" t="e">
        <f t="shared" ca="1" si="504"/>
        <v>#NAME?</v>
      </c>
      <c r="DB44" s="24" t="e">
        <f t="shared" ca="1" si="504"/>
        <v>#NAME?</v>
      </c>
      <c r="DE44" s="123"/>
      <c r="DF44" s="23">
        <v>223.60999999999999</v>
      </c>
    </row>
    <row r="45" spans="1:110" s="46" customFormat="1" x14ac:dyDescent="0.2">
      <c r="A45" s="46" t="s">
        <v>482</v>
      </c>
      <c r="B45" s="46" t="e">
        <f t="shared" ref="B45:D45" ca="1" si="505">+B44/B141</f>
        <v>#NAME?</v>
      </c>
      <c r="C45" s="46" t="e">
        <f t="shared" ca="1" si="505"/>
        <v>#NAME?</v>
      </c>
      <c r="D45" s="46" t="e">
        <f t="shared" ca="1" si="505"/>
        <v>#NAME?</v>
      </c>
      <c r="E45" s="46" t="e">
        <f t="shared" ref="E45:AE45" ca="1" si="506">+E44/E141</f>
        <v>#NAME?</v>
      </c>
      <c r="F45" s="46" t="e">
        <f t="shared" ca="1" si="506"/>
        <v>#NAME?</v>
      </c>
      <c r="G45" s="46" t="e">
        <f t="shared" ca="1" si="506"/>
        <v>#NAME?</v>
      </c>
      <c r="H45" s="46" t="e">
        <f t="shared" ca="1" si="506"/>
        <v>#NAME?</v>
      </c>
      <c r="I45" s="46" t="e">
        <f t="shared" ca="1" si="506"/>
        <v>#NAME?</v>
      </c>
      <c r="J45" s="46" t="e">
        <f t="shared" ca="1" si="506"/>
        <v>#NAME?</v>
      </c>
      <c r="K45" s="46" t="e">
        <f t="shared" ca="1" si="506"/>
        <v>#NAME?</v>
      </c>
      <c r="L45" s="46" t="e">
        <f t="shared" ca="1" si="506"/>
        <v>#NAME?</v>
      </c>
      <c r="M45" s="46" t="e">
        <f t="shared" ca="1" si="506"/>
        <v>#NAME?</v>
      </c>
      <c r="N45" s="46" t="e">
        <f t="shared" ca="1" si="506"/>
        <v>#NAME?</v>
      </c>
      <c r="O45" s="46" t="e">
        <f t="shared" ca="1" si="506"/>
        <v>#NAME?</v>
      </c>
      <c r="P45" s="46" t="e">
        <f t="shared" ca="1" si="506"/>
        <v>#NAME?</v>
      </c>
      <c r="Q45" s="46" t="e">
        <f t="shared" ca="1" si="506"/>
        <v>#NAME?</v>
      </c>
      <c r="R45" s="46" t="e">
        <f t="shared" ca="1" si="506"/>
        <v>#NAME?</v>
      </c>
      <c r="S45" s="46" t="e">
        <f t="shared" ca="1" si="506"/>
        <v>#NAME?</v>
      </c>
      <c r="T45" s="46" t="e">
        <f t="shared" ca="1" si="506"/>
        <v>#NAME?</v>
      </c>
      <c r="U45" s="46" t="e">
        <f t="shared" ca="1" si="506"/>
        <v>#NAME?</v>
      </c>
      <c r="V45" s="46" t="e">
        <f t="shared" ca="1" si="506"/>
        <v>#NAME?</v>
      </c>
      <c r="W45" s="46" t="e">
        <f t="shared" ca="1" si="506"/>
        <v>#NAME?</v>
      </c>
      <c r="X45" s="46" t="e">
        <f t="shared" ca="1" si="506"/>
        <v>#NAME?</v>
      </c>
      <c r="Y45" s="46" t="e">
        <f t="shared" ca="1" si="506"/>
        <v>#NAME?</v>
      </c>
      <c r="Z45" s="46" t="e">
        <f t="shared" ca="1" si="506"/>
        <v>#NAME?</v>
      </c>
      <c r="AA45" s="46" t="e">
        <f t="shared" ref="AA45" ca="1" si="507">+AA44/AA141</f>
        <v>#NAME?</v>
      </c>
      <c r="AB45" s="110" t="e">
        <f t="shared" ca="1" si="506"/>
        <v>#NAME?</v>
      </c>
      <c r="AC45" s="110" t="e">
        <f t="shared" ca="1" si="506"/>
        <v>#NAME?</v>
      </c>
      <c r="AD45" s="110" t="e">
        <f t="shared" ca="1" si="506"/>
        <v>#NAME?</v>
      </c>
      <c r="AE45" s="110" t="e">
        <f t="shared" ca="1" si="506"/>
        <v>#NAME?</v>
      </c>
      <c r="AI45" s="46" t="e">
        <f t="shared" ref="AI45:BN45" ca="1" si="508">(AI44-AI43)/AH181</f>
        <v>#NAME?</v>
      </c>
      <c r="AJ45" s="46" t="e">
        <f t="shared" ca="1" si="508"/>
        <v>#NAME?</v>
      </c>
      <c r="AK45" s="46" t="e">
        <f t="shared" ca="1" si="508"/>
        <v>#NAME?</v>
      </c>
      <c r="AL45" s="46" t="e">
        <f t="shared" ca="1" si="508"/>
        <v>#NAME?</v>
      </c>
      <c r="AM45" s="46" t="e">
        <f t="shared" ca="1" si="508"/>
        <v>#NAME?</v>
      </c>
      <c r="AN45" s="46" t="e">
        <f t="shared" ca="1" si="508"/>
        <v>#NAME?</v>
      </c>
      <c r="AO45" s="46" t="e">
        <f t="shared" ca="1" si="508"/>
        <v>#NAME?</v>
      </c>
      <c r="AP45" s="46" t="e">
        <f t="shared" ca="1" si="508"/>
        <v>#NAME?</v>
      </c>
      <c r="AQ45" s="46" t="e">
        <f t="shared" ca="1" si="508"/>
        <v>#NAME?</v>
      </c>
      <c r="AR45" s="46" t="e">
        <f t="shared" ca="1" si="508"/>
        <v>#NAME?</v>
      </c>
      <c r="AS45" s="46" t="e">
        <f t="shared" ca="1" si="508"/>
        <v>#NAME?</v>
      </c>
      <c r="AT45" s="46" t="e">
        <f t="shared" ca="1" si="508"/>
        <v>#NAME?</v>
      </c>
      <c r="AU45" s="46" t="e">
        <f t="shared" ca="1" si="508"/>
        <v>#NAME?</v>
      </c>
      <c r="AV45" s="46" t="e">
        <f t="shared" ca="1" si="508"/>
        <v>#NAME?</v>
      </c>
      <c r="AW45" s="46" t="e">
        <f t="shared" ca="1" si="508"/>
        <v>#NAME?</v>
      </c>
      <c r="AX45" s="46" t="e">
        <f t="shared" ca="1" si="508"/>
        <v>#NAME?</v>
      </c>
      <c r="AY45" s="46" t="e">
        <f t="shared" ca="1" si="508"/>
        <v>#NAME?</v>
      </c>
      <c r="AZ45" s="46" t="e">
        <f t="shared" ca="1" si="508"/>
        <v>#NAME?</v>
      </c>
      <c r="BA45" s="46" t="e">
        <f t="shared" ca="1" si="508"/>
        <v>#NAME?</v>
      </c>
      <c r="BB45" s="46" t="e">
        <f t="shared" ca="1" si="508"/>
        <v>#NAME?</v>
      </c>
      <c r="BC45" s="46" t="e">
        <f t="shared" ca="1" si="508"/>
        <v>#NAME?</v>
      </c>
      <c r="BD45" s="46" t="e">
        <f t="shared" ca="1" si="508"/>
        <v>#NAME?</v>
      </c>
      <c r="BE45" s="46" t="e">
        <f t="shared" ca="1" si="508"/>
        <v>#NAME?</v>
      </c>
      <c r="BF45" s="46" t="e">
        <f t="shared" ca="1" si="508"/>
        <v>#NAME?</v>
      </c>
      <c r="BG45" s="46" t="e">
        <f t="shared" ca="1" si="508"/>
        <v>#NAME?</v>
      </c>
      <c r="BH45" s="46" t="e">
        <f t="shared" ca="1" si="508"/>
        <v>#NAME?</v>
      </c>
      <c r="BI45" s="46" t="e">
        <f t="shared" ca="1" si="508"/>
        <v>#NAME?</v>
      </c>
      <c r="BJ45" s="46" t="e">
        <f t="shared" ca="1" si="508"/>
        <v>#NAME?</v>
      </c>
      <c r="BK45" s="46" t="e">
        <f t="shared" ca="1" si="508"/>
        <v>#NAME?</v>
      </c>
      <c r="BL45" s="46" t="e">
        <f t="shared" ca="1" si="508"/>
        <v>#NAME?</v>
      </c>
      <c r="BM45" s="46" t="e">
        <f t="shared" ca="1" si="508"/>
        <v>#NAME?</v>
      </c>
      <c r="BN45" s="46" t="e">
        <f t="shared" ca="1" si="508"/>
        <v>#NAME?</v>
      </c>
      <c r="BO45" s="46" t="e">
        <f t="shared" ref="BO45:CL45" ca="1" si="509">(BO44-BO43)/BN181</f>
        <v>#NAME?</v>
      </c>
      <c r="BP45" s="46" t="e">
        <f t="shared" ca="1" si="509"/>
        <v>#NAME?</v>
      </c>
      <c r="BQ45" s="46" t="e">
        <f t="shared" ca="1" si="509"/>
        <v>#NAME?</v>
      </c>
      <c r="BR45" s="46" t="e">
        <f t="shared" ca="1" si="509"/>
        <v>#NAME?</v>
      </c>
      <c r="BS45" s="46" t="e">
        <f t="shared" ca="1" si="509"/>
        <v>#NAME?</v>
      </c>
      <c r="BT45" s="46" t="e">
        <f t="shared" ca="1" si="509"/>
        <v>#NAME?</v>
      </c>
      <c r="BU45" s="46" t="e">
        <f t="shared" ca="1" si="509"/>
        <v>#NAME?</v>
      </c>
      <c r="BV45" s="46" t="e">
        <f t="shared" ca="1" si="509"/>
        <v>#NAME?</v>
      </c>
      <c r="BW45" s="46" t="e">
        <f t="shared" ca="1" si="509"/>
        <v>#NAME?</v>
      </c>
      <c r="BX45" s="46" t="e">
        <f t="shared" ca="1" si="509"/>
        <v>#NAME?</v>
      </c>
      <c r="BY45" s="46" t="e">
        <f t="shared" ca="1" si="509"/>
        <v>#NAME?</v>
      </c>
      <c r="BZ45" s="46" t="e">
        <f t="shared" ca="1" si="509"/>
        <v>#NAME?</v>
      </c>
      <c r="CA45" s="46" t="e">
        <f t="shared" ca="1" si="509"/>
        <v>#NAME?</v>
      </c>
      <c r="CB45" s="46" t="e">
        <f t="shared" ca="1" si="509"/>
        <v>#NAME?</v>
      </c>
      <c r="CC45" s="46" t="e">
        <f t="shared" ca="1" si="509"/>
        <v>#NAME?</v>
      </c>
      <c r="CD45" s="46" t="e">
        <f t="shared" ca="1" si="509"/>
        <v>#NAME?</v>
      </c>
      <c r="CE45" s="46" t="e">
        <f t="shared" ca="1" si="509"/>
        <v>#NAME?</v>
      </c>
      <c r="CF45" s="46" t="e">
        <f t="shared" ca="1" si="509"/>
        <v>#NAME?</v>
      </c>
      <c r="CG45" s="46" t="e">
        <f t="shared" ca="1" si="509"/>
        <v>#NAME?</v>
      </c>
      <c r="CH45" s="46" t="e">
        <f t="shared" ca="1" si="509"/>
        <v>#NAME?</v>
      </c>
      <c r="CI45" s="46" t="e">
        <f t="shared" ca="1" si="509"/>
        <v>#NAME?</v>
      </c>
      <c r="CJ45" s="46" t="e">
        <f t="shared" ca="1" si="509"/>
        <v>#NAME?</v>
      </c>
      <c r="CK45" s="46" t="e">
        <f t="shared" ca="1" si="509"/>
        <v>#NAME?</v>
      </c>
      <c r="CL45" s="46" t="e">
        <f t="shared" ca="1" si="509"/>
        <v>#NAME?</v>
      </c>
      <c r="CM45" s="47">
        <v>0.02</v>
      </c>
      <c r="CN45" s="47">
        <f t="shared" ref="CN45" si="510">+CM45</f>
        <v>0.02</v>
      </c>
      <c r="CO45" s="47">
        <f t="shared" ref="CO45" si="511">+CN45</f>
        <v>0.02</v>
      </c>
      <c r="CP45" s="47">
        <v>1.4999999999999999E-2</v>
      </c>
      <c r="CQ45" s="47">
        <v>0.02</v>
      </c>
      <c r="CR45" s="47">
        <f t="shared" ref="CR45" si="512">+CQ45</f>
        <v>0.02</v>
      </c>
      <c r="CS45" s="47">
        <f t="shared" ref="CS45" si="513">+CR45</f>
        <v>0.02</v>
      </c>
      <c r="CT45" s="47">
        <f t="shared" ref="CT45" si="514">+CS45</f>
        <v>0.02</v>
      </c>
      <c r="CU45" s="47">
        <f t="shared" ref="CU45" si="515">+CT45</f>
        <v>0.02</v>
      </c>
      <c r="CV45" s="47">
        <f t="shared" ref="CV45" si="516">+CU45</f>
        <v>0.02</v>
      </c>
      <c r="CW45" s="47">
        <f t="shared" ref="CW45" si="517">+CV45</f>
        <v>0.02</v>
      </c>
      <c r="CX45" s="47">
        <f t="shared" ref="CX45" si="518">+CW45</f>
        <v>0.02</v>
      </c>
      <c r="CY45" s="47">
        <f t="shared" ref="CY45" si="519">+CX45</f>
        <v>0.02</v>
      </c>
      <c r="CZ45" s="47">
        <f t="shared" ref="CZ45" si="520">+CY45</f>
        <v>0.02</v>
      </c>
      <c r="DA45" s="47">
        <f t="shared" ref="DA45" si="521">+CZ45</f>
        <v>0.02</v>
      </c>
      <c r="DB45" s="47">
        <f t="shared" ref="DB45" si="522">+DA45</f>
        <v>0.02</v>
      </c>
      <c r="DE45" s="130"/>
      <c r="DF45" s="46">
        <v>4.2366426676771498</v>
      </c>
    </row>
    <row r="46" spans="1:110" s="26" customFormat="1" x14ac:dyDescent="0.2">
      <c r="A46" s="26" t="s">
        <v>20</v>
      </c>
      <c r="B46" s="26" t="e">
        <f ca="1">B42+B43-B44</f>
        <v>#NAME?</v>
      </c>
      <c r="C46" s="26" t="e">
        <f t="shared" ref="C46:T46" ca="1" si="523">C42+C43-C44</f>
        <v>#NAME?</v>
      </c>
      <c r="D46" s="26" t="e">
        <f ca="1">D42+D43-D44</f>
        <v>#NAME?</v>
      </c>
      <c r="E46" s="26" t="e">
        <f t="shared" ca="1" si="523"/>
        <v>#NAME?</v>
      </c>
      <c r="F46" s="26" t="e">
        <f t="shared" ca="1" si="523"/>
        <v>#NAME?</v>
      </c>
      <c r="G46" s="26" t="e">
        <f t="shared" ca="1" si="523"/>
        <v>#NAME?</v>
      </c>
      <c r="H46" s="26" t="e">
        <f t="shared" ca="1" si="523"/>
        <v>#NAME?</v>
      </c>
      <c r="I46" s="26" t="e">
        <f t="shared" ca="1" si="523"/>
        <v>#NAME?</v>
      </c>
      <c r="J46" s="26" t="e">
        <f t="shared" ca="1" si="523"/>
        <v>#NAME?</v>
      </c>
      <c r="K46" s="26" t="e">
        <f t="shared" ca="1" si="523"/>
        <v>#NAME?</v>
      </c>
      <c r="L46" s="26" t="e">
        <f t="shared" ca="1" si="523"/>
        <v>#NAME?</v>
      </c>
      <c r="M46" s="26" t="e">
        <f t="shared" ca="1" si="523"/>
        <v>#NAME?</v>
      </c>
      <c r="N46" s="26" t="e">
        <f t="shared" ca="1" si="523"/>
        <v>#NAME?</v>
      </c>
      <c r="O46" s="26" t="e">
        <f t="shared" ca="1" si="523"/>
        <v>#NAME?</v>
      </c>
      <c r="P46" s="26" t="e">
        <f t="shared" ca="1" si="523"/>
        <v>#NAME?</v>
      </c>
      <c r="Q46" s="26" t="e">
        <f t="shared" ca="1" si="523"/>
        <v>#NAME?</v>
      </c>
      <c r="R46" s="26" t="e">
        <f t="shared" ca="1" si="523"/>
        <v>#NAME?</v>
      </c>
      <c r="S46" s="26" t="e">
        <f t="shared" ca="1" si="523"/>
        <v>#NAME?</v>
      </c>
      <c r="T46" s="26" t="e">
        <f t="shared" ca="1" si="523"/>
        <v>#NAME?</v>
      </c>
      <c r="U46" s="26" t="e">
        <f t="shared" ref="U46:Z46" ca="1" si="524">U42+U43-U44</f>
        <v>#NAME?</v>
      </c>
      <c r="V46" s="26" t="e">
        <f t="shared" ca="1" si="524"/>
        <v>#NAME?</v>
      </c>
      <c r="W46" s="26" t="e">
        <f t="shared" ca="1" si="524"/>
        <v>#NAME?</v>
      </c>
      <c r="X46" s="26" t="e">
        <f t="shared" ca="1" si="524"/>
        <v>#NAME?</v>
      </c>
      <c r="Y46" s="26" t="e">
        <f t="shared" ca="1" si="524"/>
        <v>#NAME?</v>
      </c>
      <c r="Z46" s="26" t="e">
        <f t="shared" ca="1" si="524"/>
        <v>#NAME?</v>
      </c>
      <c r="AA46" s="26" t="e">
        <f t="shared" ref="AA46" ca="1" si="525">AA42+AA43-AA44</f>
        <v>#NAME?</v>
      </c>
      <c r="AB46" s="27" t="e">
        <f t="shared" ref="AB46:AD46" ca="1" si="526">AB42+AB43-AB44</f>
        <v>#NAME?</v>
      </c>
      <c r="AC46" s="27" t="e">
        <f t="shared" ca="1" si="526"/>
        <v>#NAME?</v>
      </c>
      <c r="AD46" s="27" t="e">
        <f t="shared" ca="1" si="526"/>
        <v>#NAME?</v>
      </c>
      <c r="AE46" s="27" t="e">
        <f t="shared" ref="AE46" ca="1" si="527">AE42+AE43-AE44</f>
        <v>#NAME?</v>
      </c>
      <c r="AI46" s="26" t="e">
        <f ca="1">AI42+AI43-AI44</f>
        <v>#NAME?</v>
      </c>
      <c r="AJ46" s="26" t="e">
        <f t="shared" ref="AJ46" ca="1" si="528">AJ42+AJ43-AJ44</f>
        <v>#NAME?</v>
      </c>
      <c r="AK46" s="26" t="e">
        <f t="shared" ref="AK46:AM46" ca="1" si="529">AK42+AK43-AK44</f>
        <v>#NAME?</v>
      </c>
      <c r="AL46" s="26" t="e">
        <f t="shared" ca="1" si="529"/>
        <v>#NAME?</v>
      </c>
      <c r="AM46" s="26" t="e">
        <f t="shared" ca="1" si="529"/>
        <v>#NAME?</v>
      </c>
      <c r="AN46" s="26" t="e">
        <f t="shared" ref="AN46:AO46" ca="1" si="530">AN42+AN43-AN44</f>
        <v>#NAME?</v>
      </c>
      <c r="AO46" s="26" t="e">
        <f t="shared" ca="1" si="530"/>
        <v>#NAME?</v>
      </c>
      <c r="AP46" s="26" t="e">
        <f t="shared" ref="AP46:CD46" ca="1" si="531">AP42+AP43-AP44</f>
        <v>#NAME?</v>
      </c>
      <c r="AQ46" s="26" t="e">
        <f t="shared" ca="1" si="531"/>
        <v>#NAME?</v>
      </c>
      <c r="AR46" s="26" t="e">
        <f t="shared" ca="1" si="531"/>
        <v>#NAME?</v>
      </c>
      <c r="AS46" s="26" t="e">
        <f t="shared" ca="1" si="531"/>
        <v>#NAME?</v>
      </c>
      <c r="AT46" s="26" t="e">
        <f t="shared" ca="1" si="531"/>
        <v>#NAME?</v>
      </c>
      <c r="AU46" s="26" t="e">
        <f t="shared" ca="1" si="531"/>
        <v>#NAME?</v>
      </c>
      <c r="AV46" s="26" t="e">
        <f t="shared" ca="1" si="531"/>
        <v>#NAME?</v>
      </c>
      <c r="AW46" s="26" t="e">
        <f t="shared" ca="1" si="531"/>
        <v>#NAME?</v>
      </c>
      <c r="AX46" s="26" t="e">
        <f t="shared" ca="1" si="531"/>
        <v>#NAME?</v>
      </c>
      <c r="AY46" s="26" t="e">
        <f t="shared" ca="1" si="531"/>
        <v>#NAME?</v>
      </c>
      <c r="AZ46" s="26" t="e">
        <f t="shared" ca="1" si="531"/>
        <v>#NAME?</v>
      </c>
      <c r="BA46" s="26" t="e">
        <f t="shared" ca="1" si="531"/>
        <v>#NAME?</v>
      </c>
      <c r="BB46" s="26" t="e">
        <f t="shared" ca="1" si="531"/>
        <v>#NAME?</v>
      </c>
      <c r="BC46" s="26" t="e">
        <f t="shared" ca="1" si="531"/>
        <v>#NAME?</v>
      </c>
      <c r="BD46" s="26" t="e">
        <f t="shared" ca="1" si="531"/>
        <v>#NAME?</v>
      </c>
      <c r="BE46" s="26" t="e">
        <f t="shared" ca="1" si="531"/>
        <v>#NAME?</v>
      </c>
      <c r="BF46" s="26" t="e">
        <f t="shared" ca="1" si="531"/>
        <v>#NAME?</v>
      </c>
      <c r="BG46" s="26" t="e">
        <f t="shared" ca="1" si="531"/>
        <v>#NAME?</v>
      </c>
      <c r="BH46" s="26" t="e">
        <f t="shared" ca="1" si="531"/>
        <v>#NAME?</v>
      </c>
      <c r="BI46" s="26" t="e">
        <f t="shared" ca="1" si="531"/>
        <v>#NAME?</v>
      </c>
      <c r="BJ46" s="26" t="e">
        <f t="shared" ca="1" si="531"/>
        <v>#NAME?</v>
      </c>
      <c r="BK46" s="26" t="e">
        <f t="shared" ca="1" si="531"/>
        <v>#NAME?</v>
      </c>
      <c r="BL46" s="26" t="e">
        <f t="shared" ca="1" si="531"/>
        <v>#NAME?</v>
      </c>
      <c r="BM46" s="26" t="e">
        <f t="shared" ca="1" si="531"/>
        <v>#NAME?</v>
      </c>
      <c r="BN46" s="26" t="e">
        <f t="shared" ca="1" si="531"/>
        <v>#NAME?</v>
      </c>
      <c r="BO46" s="26" t="e">
        <f t="shared" ca="1" si="531"/>
        <v>#NAME?</v>
      </c>
      <c r="BP46" s="26" t="e">
        <f t="shared" ca="1" si="531"/>
        <v>#NAME?</v>
      </c>
      <c r="BQ46" s="26" t="e">
        <f t="shared" ca="1" si="531"/>
        <v>#NAME?</v>
      </c>
      <c r="BR46" s="26" t="e">
        <f t="shared" ca="1" si="531"/>
        <v>#NAME?</v>
      </c>
      <c r="BS46" s="26" t="e">
        <f t="shared" ca="1" si="531"/>
        <v>#NAME?</v>
      </c>
      <c r="BT46" s="26" t="e">
        <f t="shared" ca="1" si="531"/>
        <v>#NAME?</v>
      </c>
      <c r="BU46" s="26" t="e">
        <f t="shared" ca="1" si="531"/>
        <v>#NAME?</v>
      </c>
      <c r="BV46" s="26" t="e">
        <f t="shared" ca="1" si="531"/>
        <v>#NAME?</v>
      </c>
      <c r="BW46" s="26" t="e">
        <f t="shared" ca="1" si="531"/>
        <v>#NAME?</v>
      </c>
      <c r="BX46" s="26" t="e">
        <f t="shared" ca="1" si="531"/>
        <v>#NAME?</v>
      </c>
      <c r="BY46" s="26" t="e">
        <f t="shared" ca="1" si="531"/>
        <v>#NAME?</v>
      </c>
      <c r="BZ46" s="26" t="e">
        <f t="shared" ca="1" si="531"/>
        <v>#NAME?</v>
      </c>
      <c r="CA46" s="26" t="e">
        <f t="shared" ca="1" si="531"/>
        <v>#NAME?</v>
      </c>
      <c r="CB46" s="26" t="e">
        <f t="shared" ca="1" si="531"/>
        <v>#NAME?</v>
      </c>
      <c r="CC46" s="26" t="e">
        <f t="shared" ca="1" si="531"/>
        <v>#NAME?</v>
      </c>
      <c r="CD46" s="26" t="e">
        <f t="shared" ca="1" si="531"/>
        <v>#NAME?</v>
      </c>
      <c r="CE46" s="26" t="e">
        <f t="shared" ref="CE46:CF46" ca="1" si="532">CE42+CE43-CE44</f>
        <v>#NAME?</v>
      </c>
      <c r="CF46" s="26" t="e">
        <f t="shared" ca="1" si="532"/>
        <v>#NAME?</v>
      </c>
      <c r="CG46" s="26" t="e">
        <f t="shared" ref="CG46:CH46" ca="1" si="533">CG42+CG43-CG44</f>
        <v>#NAME?</v>
      </c>
      <c r="CH46" s="26" t="e">
        <f t="shared" ca="1" si="533"/>
        <v>#NAME?</v>
      </c>
      <c r="CI46" s="26" t="e">
        <f t="shared" ref="CI46:CJ46" ca="1" si="534">CI42+CI43-CI44</f>
        <v>#NAME?</v>
      </c>
      <c r="CJ46" s="26" t="e">
        <f t="shared" ca="1" si="534"/>
        <v>#NAME?</v>
      </c>
      <c r="CK46" s="26" t="e">
        <f t="shared" ref="CK46:CL46" ca="1" si="535">CK42+CK43-CK44</f>
        <v>#NAME?</v>
      </c>
      <c r="CL46" s="26" t="e">
        <f t="shared" ca="1" si="535"/>
        <v>#NAME?</v>
      </c>
      <c r="CM46" s="27" t="e">
        <f t="shared" ref="CM46:DB46" ca="1" si="536">CM42+CM43-CM44</f>
        <v>#NAME?</v>
      </c>
      <c r="CN46" s="27" t="e">
        <f t="shared" ca="1" si="536"/>
        <v>#NAME?</v>
      </c>
      <c r="CO46" s="27" t="e">
        <f t="shared" ca="1" si="536"/>
        <v>#NAME?</v>
      </c>
      <c r="CP46" s="27" t="e">
        <f t="shared" ca="1" si="536"/>
        <v>#NAME?</v>
      </c>
      <c r="CQ46" s="27" t="e">
        <f t="shared" ca="1" si="536"/>
        <v>#NAME?</v>
      </c>
      <c r="CR46" s="27" t="e">
        <f t="shared" ca="1" si="536"/>
        <v>#NAME?</v>
      </c>
      <c r="CS46" s="27" t="e">
        <f t="shared" ca="1" si="536"/>
        <v>#NAME?</v>
      </c>
      <c r="CT46" s="27" t="e">
        <f t="shared" ca="1" si="536"/>
        <v>#NAME?</v>
      </c>
      <c r="CU46" s="27" t="e">
        <f t="shared" ca="1" si="536"/>
        <v>#NAME?</v>
      </c>
      <c r="CV46" s="27" t="e">
        <f t="shared" ca="1" si="536"/>
        <v>#NAME?</v>
      </c>
      <c r="CW46" s="27" t="e">
        <f t="shared" ca="1" si="536"/>
        <v>#NAME?</v>
      </c>
      <c r="CX46" s="27" t="e">
        <f t="shared" ca="1" si="536"/>
        <v>#NAME?</v>
      </c>
      <c r="CY46" s="27" t="e">
        <f t="shared" ca="1" si="536"/>
        <v>#NAME?</v>
      </c>
      <c r="CZ46" s="27" t="e">
        <f t="shared" ca="1" si="536"/>
        <v>#NAME?</v>
      </c>
      <c r="DA46" s="27" t="e">
        <f t="shared" ca="1" si="536"/>
        <v>#NAME?</v>
      </c>
      <c r="DB46" s="27" t="e">
        <f t="shared" ca="1" si="536"/>
        <v>#NAME?</v>
      </c>
      <c r="DE46" s="121"/>
      <c r="DF46" s="26">
        <v>3391.1900000000023</v>
      </c>
    </row>
    <row r="47" spans="1:110" s="23" customFormat="1" x14ac:dyDescent="0.2">
      <c r="A47" s="23" t="s">
        <v>21</v>
      </c>
      <c r="B47" s="23" t="e">
        <f ca="1">'Annual Raw'!C30</f>
        <v>#NAME?</v>
      </c>
      <c r="C47" s="23" t="e">
        <f ca="1">'Annual Raw'!D30</f>
        <v>#NAME?</v>
      </c>
      <c r="D47" s="23" t="e">
        <f ca="1">'Annual Raw'!E30</f>
        <v>#NAME?</v>
      </c>
      <c r="E47" s="23" t="e">
        <f ca="1">'Annual Raw'!F30</f>
        <v>#NAME?</v>
      </c>
      <c r="F47" s="23" t="e">
        <f ca="1">'Annual Raw'!G30</f>
        <v>#NAME?</v>
      </c>
      <c r="G47" s="23" t="e">
        <f ca="1">'Annual Raw'!H30</f>
        <v>#NAME?</v>
      </c>
      <c r="H47" s="23" t="e">
        <f ca="1">'Annual Raw'!I30</f>
        <v>#NAME?</v>
      </c>
      <c r="I47" s="23" t="e">
        <f ca="1">'Annual Raw'!J30</f>
        <v>#NAME?</v>
      </c>
      <c r="J47" s="23" t="e">
        <f ca="1">'Annual Raw'!K30</f>
        <v>#NAME?</v>
      </c>
      <c r="K47" s="23" t="e">
        <f ca="1">'Annual Raw'!L30</f>
        <v>#NAME?</v>
      </c>
      <c r="L47" s="23" t="e">
        <f ca="1">'Annual Raw'!M30</f>
        <v>#NAME?</v>
      </c>
      <c r="M47" s="23" t="e">
        <f ca="1">'Annual Raw'!N30</f>
        <v>#NAME?</v>
      </c>
      <c r="N47" s="23" t="e">
        <f ca="1">'Annual Raw'!O30</f>
        <v>#NAME?</v>
      </c>
      <c r="O47" s="23" t="e">
        <f ca="1">'Annual Raw'!P30</f>
        <v>#NAME?</v>
      </c>
      <c r="P47" s="23" t="e">
        <f ca="1">'Annual Raw'!Q30</f>
        <v>#NAME?</v>
      </c>
      <c r="Q47" s="23" t="e">
        <f ca="1">'Annual Raw'!R30</f>
        <v>#NAME?</v>
      </c>
      <c r="R47" s="23" t="e">
        <f ca="1">'Annual Raw'!S30</f>
        <v>#NAME?</v>
      </c>
      <c r="S47" s="23" t="e">
        <f ca="1">'Annual Raw'!T30</f>
        <v>#NAME?</v>
      </c>
      <c r="T47" s="23" t="e">
        <f ca="1">'Annual Raw'!U30</f>
        <v>#NAME?</v>
      </c>
      <c r="U47" s="23" t="e">
        <f ca="1">'Annual Raw'!V30</f>
        <v>#NAME?</v>
      </c>
      <c r="V47" s="23" t="e">
        <f ca="1">'Annual Raw'!W30</f>
        <v>#NAME?</v>
      </c>
      <c r="W47" s="23" t="e">
        <f ca="1">'Annual Raw'!X30</f>
        <v>#NAME?</v>
      </c>
      <c r="X47" s="23" t="e">
        <f ca="1">'Annual Raw'!Y30</f>
        <v>#NAME?</v>
      </c>
      <c r="Y47" s="23" t="e">
        <f ca="1">'Annual Raw'!Z30</f>
        <v>#NAME?</v>
      </c>
      <c r="Z47" s="23" t="e">
        <f ca="1">'Annual Raw'!AA30</f>
        <v>#NAME?</v>
      </c>
      <c r="AA47" s="23" t="e">
        <f ca="1">'Annual Raw'!AB30</f>
        <v>#NAME?</v>
      </c>
      <c r="AB47" s="24" t="e">
        <f ca="1">+SUM(CM47:CP47)</f>
        <v>#NAME?</v>
      </c>
      <c r="AC47" s="24" t="e">
        <f ca="1">+SUM(CQ47:CT47)</f>
        <v>#NAME?</v>
      </c>
      <c r="AD47" s="24" t="e">
        <f ca="1">+SUM(CU47:CX47)</f>
        <v>#NAME?</v>
      </c>
      <c r="AE47" s="24" t="e">
        <f ca="1">+SUM(CY47:DB47)</f>
        <v>#NAME?</v>
      </c>
      <c r="AI47" s="23" t="e">
        <f ca="1">'QTR Raw'!C29</f>
        <v>#NAME?</v>
      </c>
      <c r="AJ47" s="23" t="e">
        <f ca="1">'QTR Raw'!D29</f>
        <v>#NAME?</v>
      </c>
      <c r="AK47" s="23" t="e">
        <f ca="1">'QTR Raw'!E29</f>
        <v>#NAME?</v>
      </c>
      <c r="AL47" s="23" t="e">
        <f ca="1">'QTR Raw'!F29</f>
        <v>#NAME?</v>
      </c>
      <c r="AM47" s="23" t="e">
        <f ca="1">'QTR Raw'!G29</f>
        <v>#NAME?</v>
      </c>
      <c r="AN47" s="23" t="e">
        <f ca="1">'QTR Raw'!H29</f>
        <v>#NAME?</v>
      </c>
      <c r="AO47" s="23" t="e">
        <f ca="1">'QTR Raw'!I29</f>
        <v>#NAME?</v>
      </c>
      <c r="AP47" s="23" t="e">
        <f ca="1">'QTR Raw'!J29</f>
        <v>#NAME?</v>
      </c>
      <c r="AQ47" s="23" t="e">
        <f ca="1">'QTR Raw'!K29</f>
        <v>#NAME?</v>
      </c>
      <c r="AR47" s="23" t="e">
        <f ca="1">'QTR Raw'!L29</f>
        <v>#NAME?</v>
      </c>
      <c r="AS47" s="23" t="e">
        <f ca="1">'QTR Raw'!M29</f>
        <v>#NAME?</v>
      </c>
      <c r="AT47" s="23" t="e">
        <f ca="1">'QTR Raw'!N29</f>
        <v>#NAME?</v>
      </c>
      <c r="AU47" s="23" t="e">
        <f ca="1">'QTR Raw'!O29</f>
        <v>#NAME?</v>
      </c>
      <c r="AV47" s="23" t="e">
        <f ca="1">'QTR Raw'!P29</f>
        <v>#NAME?</v>
      </c>
      <c r="AW47" s="23" t="e">
        <f ca="1">'QTR Raw'!Q29</f>
        <v>#NAME?</v>
      </c>
      <c r="AX47" s="23" t="e">
        <f ca="1">'QTR Raw'!R29</f>
        <v>#NAME?</v>
      </c>
      <c r="AY47" s="23" t="e">
        <f ca="1">'QTR Raw'!S29</f>
        <v>#NAME?</v>
      </c>
      <c r="AZ47" s="23" t="e">
        <f ca="1">'QTR Raw'!T29</f>
        <v>#NAME?</v>
      </c>
      <c r="BA47" s="23" t="e">
        <f ca="1">'QTR Raw'!U29</f>
        <v>#NAME?</v>
      </c>
      <c r="BB47" s="23" t="e">
        <f ca="1">'QTR Raw'!V29</f>
        <v>#NAME?</v>
      </c>
      <c r="BC47" s="23" t="e">
        <f ca="1">'QTR Raw'!W29</f>
        <v>#NAME?</v>
      </c>
      <c r="BD47" s="23" t="e">
        <f ca="1">'QTR Raw'!X29</f>
        <v>#NAME?</v>
      </c>
      <c r="BE47" s="23" t="e">
        <f ca="1">'QTR Raw'!Y29</f>
        <v>#NAME?</v>
      </c>
      <c r="BF47" s="23" t="e">
        <f ca="1">'QTR Raw'!Z29</f>
        <v>#NAME?</v>
      </c>
      <c r="BG47" s="23" t="e">
        <f ca="1">'QTR Raw'!AA29</f>
        <v>#NAME?</v>
      </c>
      <c r="BH47" s="23" t="e">
        <f ca="1">'QTR Raw'!AB29</f>
        <v>#NAME?</v>
      </c>
      <c r="BI47" s="23" t="e">
        <f ca="1">'QTR Raw'!AC29</f>
        <v>#NAME?</v>
      </c>
      <c r="BJ47" s="23" t="e">
        <f ca="1">'QTR Raw'!AD29</f>
        <v>#NAME?</v>
      </c>
      <c r="BK47" s="23" t="e">
        <f ca="1">'QTR Raw'!AE29</f>
        <v>#NAME?</v>
      </c>
      <c r="BL47" s="23" t="e">
        <f ca="1">'QTR Raw'!AF29</f>
        <v>#NAME?</v>
      </c>
      <c r="BM47" s="23" t="e">
        <f ca="1">'QTR Raw'!AG29</f>
        <v>#NAME?</v>
      </c>
      <c r="BN47" s="23" t="e">
        <f ca="1">'QTR Raw'!AH29</f>
        <v>#NAME?</v>
      </c>
      <c r="BO47" s="23" t="e">
        <f ca="1">'QTR Raw'!AI29</f>
        <v>#NAME?</v>
      </c>
      <c r="BP47" s="23" t="e">
        <f ca="1">'QTR Raw'!AJ29</f>
        <v>#NAME?</v>
      </c>
      <c r="BQ47" s="23" t="e">
        <f ca="1">'QTR Raw'!AK29</f>
        <v>#NAME?</v>
      </c>
      <c r="BR47" s="23" t="e">
        <f ca="1">'QTR Raw'!AL29</f>
        <v>#NAME?</v>
      </c>
      <c r="BS47" s="23" t="e">
        <f ca="1">'QTR Raw'!AM29</f>
        <v>#NAME?</v>
      </c>
      <c r="BT47" s="23" t="e">
        <f ca="1">'QTR Raw'!AN29</f>
        <v>#NAME?</v>
      </c>
      <c r="BU47" s="23" t="e">
        <f ca="1">'QTR Raw'!AO29</f>
        <v>#NAME?</v>
      </c>
      <c r="BV47" s="23" t="e">
        <f ca="1">'QTR Raw'!AP29</f>
        <v>#NAME?</v>
      </c>
      <c r="BW47" s="23" t="e">
        <f ca="1">'QTR Raw'!AQ29</f>
        <v>#NAME?</v>
      </c>
      <c r="BX47" s="23" t="e">
        <f ca="1">'QTR Raw'!AR29</f>
        <v>#NAME?</v>
      </c>
      <c r="BY47" s="23" t="e">
        <f ca="1">'QTR Raw'!AS29</f>
        <v>#NAME?</v>
      </c>
      <c r="BZ47" s="23" t="e">
        <f ca="1">'QTR Raw'!AT29</f>
        <v>#NAME?</v>
      </c>
      <c r="CA47" s="23" t="e">
        <f ca="1">'QTR Raw'!AU29</f>
        <v>#NAME?</v>
      </c>
      <c r="CB47" s="23" t="e">
        <f ca="1">'QTR Raw'!AV29</f>
        <v>#NAME?</v>
      </c>
      <c r="CC47" s="23" t="e">
        <f ca="1">'QTR Raw'!AW29</f>
        <v>#NAME?</v>
      </c>
      <c r="CD47" s="23" t="e">
        <f ca="1">'QTR Raw'!AX29</f>
        <v>#NAME?</v>
      </c>
      <c r="CE47" s="23" t="e">
        <f ca="1">'QTR Raw'!AY29</f>
        <v>#NAME?</v>
      </c>
      <c r="CF47" s="23" t="e">
        <f ca="1">'QTR Raw'!AZ29</f>
        <v>#NAME?</v>
      </c>
      <c r="CG47" s="23" t="e">
        <f ca="1">'QTR Raw'!BA29</f>
        <v>#NAME?</v>
      </c>
      <c r="CH47" s="23" t="e">
        <f ca="1">'QTR Raw'!BB29</f>
        <v>#NAME?</v>
      </c>
      <c r="CI47" s="23" t="e">
        <f ca="1">'QTR Raw'!BC29</f>
        <v>#NAME?</v>
      </c>
      <c r="CJ47" s="23" t="e">
        <f ca="1">'QTR Raw'!BD29</f>
        <v>#NAME?</v>
      </c>
      <c r="CK47" s="23" t="e">
        <f ca="1">'QTR Raw'!BE29</f>
        <v>#NAME?</v>
      </c>
      <c r="CL47" s="23" t="e">
        <f ca="1">'QTR Raw'!BF29</f>
        <v>#NAME?</v>
      </c>
      <c r="CM47" s="24" t="e">
        <f t="shared" ref="CM47:DB47" ca="1" si="537">+CM46*CM48</f>
        <v>#NAME?</v>
      </c>
      <c r="CN47" s="24" t="e">
        <f t="shared" ca="1" si="537"/>
        <v>#NAME?</v>
      </c>
      <c r="CO47" s="24" t="e">
        <f t="shared" ca="1" si="537"/>
        <v>#NAME?</v>
      </c>
      <c r="CP47" s="24" t="e">
        <f t="shared" ca="1" si="537"/>
        <v>#NAME?</v>
      </c>
      <c r="CQ47" s="24" t="e">
        <f t="shared" ca="1" si="537"/>
        <v>#NAME?</v>
      </c>
      <c r="CR47" s="24" t="e">
        <f t="shared" ca="1" si="537"/>
        <v>#NAME?</v>
      </c>
      <c r="CS47" s="24" t="e">
        <f t="shared" ca="1" si="537"/>
        <v>#NAME?</v>
      </c>
      <c r="CT47" s="24" t="e">
        <f t="shared" ca="1" si="537"/>
        <v>#NAME?</v>
      </c>
      <c r="CU47" s="24" t="e">
        <f t="shared" ca="1" si="537"/>
        <v>#NAME?</v>
      </c>
      <c r="CV47" s="24" t="e">
        <f t="shared" ca="1" si="537"/>
        <v>#NAME?</v>
      </c>
      <c r="CW47" s="24" t="e">
        <f t="shared" ca="1" si="537"/>
        <v>#NAME?</v>
      </c>
      <c r="CX47" s="24" t="e">
        <f t="shared" ca="1" si="537"/>
        <v>#NAME?</v>
      </c>
      <c r="CY47" s="24" t="e">
        <f t="shared" ca="1" si="537"/>
        <v>#NAME?</v>
      </c>
      <c r="CZ47" s="24" t="e">
        <f t="shared" ca="1" si="537"/>
        <v>#NAME?</v>
      </c>
      <c r="DA47" s="24" t="e">
        <f t="shared" ca="1" si="537"/>
        <v>#NAME?</v>
      </c>
      <c r="DB47" s="24" t="e">
        <f t="shared" ca="1" si="537"/>
        <v>#NAME?</v>
      </c>
      <c r="DE47" s="123"/>
      <c r="DF47" s="23">
        <v>-2385.64</v>
      </c>
    </row>
    <row r="48" spans="1:110" s="90" customFormat="1" x14ac:dyDescent="0.2">
      <c r="A48" s="90" t="s">
        <v>106</v>
      </c>
      <c r="B48" s="90" t="e">
        <f t="shared" ref="B48:E48" ca="1" si="538">B47/B46</f>
        <v>#NAME?</v>
      </c>
      <c r="C48" s="90" t="e">
        <f t="shared" ca="1" si="538"/>
        <v>#NAME?</v>
      </c>
      <c r="D48" s="90" t="e">
        <f t="shared" ca="1" si="538"/>
        <v>#NAME?</v>
      </c>
      <c r="E48" s="90" t="e">
        <f t="shared" ca="1" si="538"/>
        <v>#NAME?</v>
      </c>
      <c r="F48" s="90" t="e">
        <f t="shared" ref="F48:T48" ca="1" si="539">F47/F46</f>
        <v>#NAME?</v>
      </c>
      <c r="G48" s="90" t="e">
        <f t="shared" ca="1" si="539"/>
        <v>#NAME?</v>
      </c>
      <c r="H48" s="90" t="e">
        <f t="shared" ca="1" si="539"/>
        <v>#NAME?</v>
      </c>
      <c r="I48" s="90" t="e">
        <f t="shared" ca="1" si="539"/>
        <v>#NAME?</v>
      </c>
      <c r="J48" s="90" t="e">
        <f t="shared" ca="1" si="539"/>
        <v>#NAME?</v>
      </c>
      <c r="K48" s="90" t="e">
        <f t="shared" ca="1" si="539"/>
        <v>#NAME?</v>
      </c>
      <c r="L48" s="90" t="e">
        <f t="shared" ca="1" si="539"/>
        <v>#NAME?</v>
      </c>
      <c r="M48" s="90" t="e">
        <f t="shared" ca="1" si="539"/>
        <v>#NAME?</v>
      </c>
      <c r="N48" s="90" t="e">
        <f t="shared" ca="1" si="539"/>
        <v>#NAME?</v>
      </c>
      <c r="O48" s="90" t="e">
        <f t="shared" ca="1" si="539"/>
        <v>#NAME?</v>
      </c>
      <c r="P48" s="90" t="e">
        <f t="shared" ca="1" si="539"/>
        <v>#NAME?</v>
      </c>
      <c r="Q48" s="90" t="e">
        <f t="shared" ca="1" si="539"/>
        <v>#NAME?</v>
      </c>
      <c r="R48" s="90" t="e">
        <f t="shared" ca="1" si="539"/>
        <v>#NAME?</v>
      </c>
      <c r="S48" s="90" t="e">
        <f t="shared" ca="1" si="539"/>
        <v>#NAME?</v>
      </c>
      <c r="T48" s="90" t="e">
        <f t="shared" ca="1" si="539"/>
        <v>#NAME?</v>
      </c>
      <c r="U48" s="90" t="e">
        <f t="shared" ref="U48:Z48" ca="1" si="540">U47/U46</f>
        <v>#NAME?</v>
      </c>
      <c r="V48" s="90" t="e">
        <f t="shared" ca="1" si="540"/>
        <v>#NAME?</v>
      </c>
      <c r="W48" s="90" t="e">
        <f t="shared" ca="1" si="540"/>
        <v>#NAME?</v>
      </c>
      <c r="X48" s="90" t="e">
        <f t="shared" ca="1" si="540"/>
        <v>#NAME?</v>
      </c>
      <c r="Y48" s="90" t="e">
        <f t="shared" ca="1" si="540"/>
        <v>#NAME?</v>
      </c>
      <c r="Z48" s="90" t="e">
        <f t="shared" ca="1" si="540"/>
        <v>#NAME?</v>
      </c>
      <c r="AA48" s="90" t="e">
        <f t="shared" ref="AA48" ca="1" si="541">AA47/AA46</f>
        <v>#NAME?</v>
      </c>
      <c r="AB48" s="91" t="e">
        <f t="shared" ref="AA48:AD48" ca="1" si="542">AB47/AB46</f>
        <v>#NAME?</v>
      </c>
      <c r="AC48" s="91" t="e">
        <f t="shared" ca="1" si="542"/>
        <v>#NAME?</v>
      </c>
      <c r="AD48" s="91" t="e">
        <f t="shared" ca="1" si="542"/>
        <v>#NAME?</v>
      </c>
      <c r="AE48" s="91" t="e">
        <f t="shared" ref="AE48" ca="1" si="543">AE47/AE46</f>
        <v>#NAME?</v>
      </c>
      <c r="AI48" s="90" t="e">
        <f t="shared" ref="AI48" ca="1" si="544">AI47/AI46</f>
        <v>#NAME?</v>
      </c>
      <c r="AJ48" s="90" t="e">
        <f t="shared" ref="AJ48" ca="1" si="545">AJ47/AJ46</f>
        <v>#NAME?</v>
      </c>
      <c r="AK48" s="90" t="e">
        <f t="shared" ref="AK48:AM48" ca="1" si="546">AK47/AK46</f>
        <v>#NAME?</v>
      </c>
      <c r="AL48" s="90" t="e">
        <f t="shared" ca="1" si="546"/>
        <v>#NAME?</v>
      </c>
      <c r="AM48" s="90" t="e">
        <f t="shared" ca="1" si="546"/>
        <v>#NAME?</v>
      </c>
      <c r="AN48" s="90" t="e">
        <f t="shared" ref="AN48:AO48" ca="1" si="547">AN47/AN46</f>
        <v>#NAME?</v>
      </c>
      <c r="AO48" s="90" t="e">
        <f t="shared" ca="1" si="547"/>
        <v>#NAME?</v>
      </c>
      <c r="AP48" s="90" t="e">
        <f t="shared" ref="AP48:CD48" ca="1" si="548">AP47/AP46</f>
        <v>#NAME?</v>
      </c>
      <c r="AQ48" s="90" t="e">
        <f t="shared" ca="1" si="548"/>
        <v>#NAME?</v>
      </c>
      <c r="AR48" s="90" t="e">
        <f t="shared" ca="1" si="548"/>
        <v>#NAME?</v>
      </c>
      <c r="AS48" s="90" t="e">
        <f t="shared" ca="1" si="548"/>
        <v>#NAME?</v>
      </c>
      <c r="AT48" s="90" t="e">
        <f t="shared" ca="1" si="548"/>
        <v>#NAME?</v>
      </c>
      <c r="AU48" s="90" t="e">
        <f t="shared" ca="1" si="548"/>
        <v>#NAME?</v>
      </c>
      <c r="AV48" s="90" t="e">
        <f t="shared" ca="1" si="548"/>
        <v>#NAME?</v>
      </c>
      <c r="AW48" s="90" t="e">
        <f t="shared" ca="1" si="548"/>
        <v>#NAME?</v>
      </c>
      <c r="AX48" s="90" t="e">
        <f t="shared" ca="1" si="548"/>
        <v>#NAME?</v>
      </c>
      <c r="AY48" s="90" t="e">
        <f t="shared" ca="1" si="548"/>
        <v>#NAME?</v>
      </c>
      <c r="AZ48" s="90" t="e">
        <f t="shared" ca="1" si="548"/>
        <v>#NAME?</v>
      </c>
      <c r="BA48" s="90" t="e">
        <f t="shared" ca="1" si="548"/>
        <v>#NAME?</v>
      </c>
      <c r="BB48" s="90" t="e">
        <f t="shared" ca="1" si="548"/>
        <v>#NAME?</v>
      </c>
      <c r="BC48" s="90" t="e">
        <f t="shared" ca="1" si="548"/>
        <v>#NAME?</v>
      </c>
      <c r="BD48" s="90" t="e">
        <f t="shared" ca="1" si="548"/>
        <v>#NAME?</v>
      </c>
      <c r="BE48" s="90" t="e">
        <f t="shared" ca="1" si="548"/>
        <v>#NAME?</v>
      </c>
      <c r="BF48" s="90" t="e">
        <f t="shared" ca="1" si="548"/>
        <v>#NAME?</v>
      </c>
      <c r="BG48" s="90" t="e">
        <f t="shared" ca="1" si="548"/>
        <v>#NAME?</v>
      </c>
      <c r="BH48" s="90" t="e">
        <f t="shared" ca="1" si="548"/>
        <v>#NAME?</v>
      </c>
      <c r="BI48" s="90" t="e">
        <f t="shared" ca="1" si="548"/>
        <v>#NAME?</v>
      </c>
      <c r="BJ48" s="90" t="e">
        <f t="shared" ca="1" si="548"/>
        <v>#NAME?</v>
      </c>
      <c r="BK48" s="90" t="e">
        <f t="shared" ca="1" si="548"/>
        <v>#NAME?</v>
      </c>
      <c r="BL48" s="90" t="e">
        <f t="shared" ca="1" si="548"/>
        <v>#NAME?</v>
      </c>
      <c r="BM48" s="90" t="e">
        <f t="shared" ca="1" si="548"/>
        <v>#NAME?</v>
      </c>
      <c r="BN48" s="90" t="e">
        <f t="shared" ca="1" si="548"/>
        <v>#NAME?</v>
      </c>
      <c r="BO48" s="90" t="e">
        <f t="shared" ca="1" si="548"/>
        <v>#NAME?</v>
      </c>
      <c r="BP48" s="90" t="e">
        <f t="shared" ca="1" si="548"/>
        <v>#NAME?</v>
      </c>
      <c r="BQ48" s="90" t="e">
        <f t="shared" ca="1" si="548"/>
        <v>#NAME?</v>
      </c>
      <c r="BR48" s="90" t="e">
        <f t="shared" ca="1" si="548"/>
        <v>#NAME?</v>
      </c>
      <c r="BS48" s="90" t="e">
        <f t="shared" ca="1" si="548"/>
        <v>#NAME?</v>
      </c>
      <c r="BT48" s="90" t="e">
        <f t="shared" ca="1" si="548"/>
        <v>#NAME?</v>
      </c>
      <c r="BU48" s="90" t="e">
        <f t="shared" ca="1" si="548"/>
        <v>#NAME?</v>
      </c>
      <c r="BV48" s="90" t="e">
        <f t="shared" ca="1" si="548"/>
        <v>#NAME?</v>
      </c>
      <c r="BW48" s="90" t="e">
        <f t="shared" ca="1" si="548"/>
        <v>#NAME?</v>
      </c>
      <c r="BX48" s="90" t="e">
        <f t="shared" ca="1" si="548"/>
        <v>#NAME?</v>
      </c>
      <c r="BY48" s="90" t="e">
        <f t="shared" ca="1" si="548"/>
        <v>#NAME?</v>
      </c>
      <c r="BZ48" s="90" t="e">
        <f t="shared" ca="1" si="548"/>
        <v>#NAME?</v>
      </c>
      <c r="CA48" s="90" t="e">
        <f t="shared" ca="1" si="548"/>
        <v>#NAME?</v>
      </c>
      <c r="CB48" s="90" t="e">
        <f t="shared" ca="1" si="548"/>
        <v>#NAME?</v>
      </c>
      <c r="CC48" s="90" t="e">
        <f t="shared" ca="1" si="548"/>
        <v>#NAME?</v>
      </c>
      <c r="CD48" s="90" t="e">
        <f t="shared" ca="1" si="548"/>
        <v>#NAME?</v>
      </c>
      <c r="CE48" s="90" t="e">
        <f t="shared" ref="CE48:CF48" ca="1" si="549">CE47/CE46</f>
        <v>#NAME?</v>
      </c>
      <c r="CF48" s="90" t="e">
        <f t="shared" ca="1" si="549"/>
        <v>#NAME?</v>
      </c>
      <c r="CG48" s="90" t="e">
        <f t="shared" ref="CG48:CH48" ca="1" si="550">CG47/CG46</f>
        <v>#NAME?</v>
      </c>
      <c r="CH48" s="90" t="e">
        <f t="shared" ca="1" si="550"/>
        <v>#NAME?</v>
      </c>
      <c r="CI48" s="90" t="e">
        <f t="shared" ref="CI48:CJ48" ca="1" si="551">CI47/CI46</f>
        <v>#NAME?</v>
      </c>
      <c r="CJ48" s="90" t="e">
        <f t="shared" ca="1" si="551"/>
        <v>#NAME?</v>
      </c>
      <c r="CK48" s="90" t="e">
        <f t="shared" ref="CK48:CL48" ca="1" si="552">CK47/CK46</f>
        <v>#NAME?</v>
      </c>
      <c r="CL48" s="90" t="e">
        <f t="shared" ca="1" si="552"/>
        <v>#NAME?</v>
      </c>
      <c r="CM48" s="91">
        <v>0.18</v>
      </c>
      <c r="CN48" s="91">
        <f t="shared" ref="CN48:CP48" si="553">+CM48</f>
        <v>0.18</v>
      </c>
      <c r="CO48" s="91">
        <f t="shared" si="553"/>
        <v>0.18</v>
      </c>
      <c r="CP48" s="91">
        <f t="shared" si="553"/>
        <v>0.18</v>
      </c>
      <c r="CQ48" s="91">
        <f>AVERAGE(CM48:CP48)</f>
        <v>0.18</v>
      </c>
      <c r="CR48" s="91">
        <f t="shared" ref="CR48:DB48" si="554">AVERAGE(CN48:CQ48)</f>
        <v>0.18</v>
      </c>
      <c r="CS48" s="91">
        <f t="shared" si="554"/>
        <v>0.18</v>
      </c>
      <c r="CT48" s="91">
        <f t="shared" si="554"/>
        <v>0.18</v>
      </c>
      <c r="CU48" s="91">
        <f t="shared" si="554"/>
        <v>0.18</v>
      </c>
      <c r="CV48" s="91">
        <f t="shared" si="554"/>
        <v>0.18</v>
      </c>
      <c r="CW48" s="91">
        <f t="shared" si="554"/>
        <v>0.18</v>
      </c>
      <c r="CX48" s="91">
        <f t="shared" si="554"/>
        <v>0.18</v>
      </c>
      <c r="CY48" s="91">
        <f t="shared" si="554"/>
        <v>0.18</v>
      </c>
      <c r="CZ48" s="91">
        <f t="shared" si="554"/>
        <v>0.18</v>
      </c>
      <c r="DA48" s="91">
        <f t="shared" si="554"/>
        <v>0.18</v>
      </c>
      <c r="DB48" s="91">
        <f t="shared" si="554"/>
        <v>0.18</v>
      </c>
      <c r="DE48" s="127"/>
      <c r="DF48" s="90">
        <v>-0.70348166867677664</v>
      </c>
    </row>
    <row r="49" spans="1:110" s="26" customFormat="1" x14ac:dyDescent="0.2">
      <c r="A49" s="26" t="s">
        <v>22</v>
      </c>
      <c r="B49" s="26" t="e">
        <f t="shared" ref="B49:E49" ca="1" si="555">B46-B47</f>
        <v>#NAME?</v>
      </c>
      <c r="C49" s="26" t="e">
        <f t="shared" ca="1" si="555"/>
        <v>#NAME?</v>
      </c>
      <c r="D49" s="26" t="e">
        <f t="shared" ca="1" si="555"/>
        <v>#NAME?</v>
      </c>
      <c r="E49" s="26" t="e">
        <f t="shared" ca="1" si="555"/>
        <v>#NAME?</v>
      </c>
      <c r="F49" s="26" t="e">
        <f t="shared" ref="F49:T49" ca="1" si="556">F46-F47</f>
        <v>#NAME?</v>
      </c>
      <c r="G49" s="26" t="e">
        <f t="shared" ca="1" si="556"/>
        <v>#NAME?</v>
      </c>
      <c r="H49" s="26" t="e">
        <f t="shared" ca="1" si="556"/>
        <v>#NAME?</v>
      </c>
      <c r="I49" s="26" t="e">
        <f t="shared" ca="1" si="556"/>
        <v>#NAME?</v>
      </c>
      <c r="J49" s="26" t="e">
        <f t="shared" ca="1" si="556"/>
        <v>#NAME?</v>
      </c>
      <c r="K49" s="26" t="e">
        <f t="shared" ca="1" si="556"/>
        <v>#NAME?</v>
      </c>
      <c r="L49" s="26" t="e">
        <f t="shared" ca="1" si="556"/>
        <v>#NAME?</v>
      </c>
      <c r="M49" s="26" t="e">
        <f t="shared" ca="1" si="556"/>
        <v>#NAME?</v>
      </c>
      <c r="N49" s="26" t="e">
        <f t="shared" ca="1" si="556"/>
        <v>#NAME?</v>
      </c>
      <c r="O49" s="26" t="e">
        <f t="shared" ca="1" si="556"/>
        <v>#NAME?</v>
      </c>
      <c r="P49" s="26" t="e">
        <f t="shared" ca="1" si="556"/>
        <v>#NAME?</v>
      </c>
      <c r="Q49" s="26" t="e">
        <f t="shared" ca="1" si="556"/>
        <v>#NAME?</v>
      </c>
      <c r="R49" s="26" t="e">
        <f t="shared" ca="1" si="556"/>
        <v>#NAME?</v>
      </c>
      <c r="S49" s="26" t="e">
        <f t="shared" ca="1" si="556"/>
        <v>#NAME?</v>
      </c>
      <c r="T49" s="26" t="e">
        <f t="shared" ca="1" si="556"/>
        <v>#NAME?</v>
      </c>
      <c r="U49" s="26" t="e">
        <f t="shared" ref="U49:Z49" ca="1" si="557">U46-U47</f>
        <v>#NAME?</v>
      </c>
      <c r="V49" s="26" t="e">
        <f t="shared" ca="1" si="557"/>
        <v>#NAME?</v>
      </c>
      <c r="W49" s="26" t="e">
        <f t="shared" ca="1" si="557"/>
        <v>#NAME?</v>
      </c>
      <c r="X49" s="26" t="e">
        <f t="shared" ca="1" si="557"/>
        <v>#NAME?</v>
      </c>
      <c r="Y49" s="26" t="e">
        <f t="shared" ca="1" si="557"/>
        <v>#NAME?</v>
      </c>
      <c r="Z49" s="26" t="e">
        <f t="shared" ca="1" si="557"/>
        <v>#NAME?</v>
      </c>
      <c r="AA49" s="26" t="e">
        <f t="shared" ref="AA49" ca="1" si="558">AA46-AA47</f>
        <v>#NAME?</v>
      </c>
      <c r="AB49" s="27" t="e">
        <f t="shared" ref="AA49:AD49" ca="1" si="559">AB46-AB47</f>
        <v>#NAME?</v>
      </c>
      <c r="AC49" s="27" t="e">
        <f t="shared" ca="1" si="559"/>
        <v>#NAME?</v>
      </c>
      <c r="AD49" s="27" t="e">
        <f t="shared" ca="1" si="559"/>
        <v>#NAME?</v>
      </c>
      <c r="AE49" s="27" t="e">
        <f t="shared" ref="AE49" ca="1" si="560">AE46-AE47</f>
        <v>#NAME?</v>
      </c>
      <c r="AI49" s="26" t="e">
        <f ca="1">AI46-AI47</f>
        <v>#NAME?</v>
      </c>
      <c r="AJ49" s="26" t="e">
        <f t="shared" ref="AJ49" ca="1" si="561">AJ46-AJ47</f>
        <v>#NAME?</v>
      </c>
      <c r="AK49" s="26" t="e">
        <f t="shared" ref="AK49:AM49" ca="1" si="562">AK46-AK47</f>
        <v>#NAME?</v>
      </c>
      <c r="AL49" s="26" t="e">
        <f t="shared" ca="1" si="562"/>
        <v>#NAME?</v>
      </c>
      <c r="AM49" s="26" t="e">
        <f t="shared" ca="1" si="562"/>
        <v>#NAME?</v>
      </c>
      <c r="AN49" s="26" t="e">
        <f t="shared" ref="AN49:AO49" ca="1" si="563">AN46-AN47</f>
        <v>#NAME?</v>
      </c>
      <c r="AO49" s="26" t="e">
        <f t="shared" ca="1" si="563"/>
        <v>#NAME?</v>
      </c>
      <c r="AP49" s="26" t="e">
        <f t="shared" ref="AP49:CD49" ca="1" si="564">AP46-AP47</f>
        <v>#NAME?</v>
      </c>
      <c r="AQ49" s="26" t="e">
        <f t="shared" ca="1" si="564"/>
        <v>#NAME?</v>
      </c>
      <c r="AR49" s="26" t="e">
        <f t="shared" ca="1" si="564"/>
        <v>#NAME?</v>
      </c>
      <c r="AS49" s="26" t="e">
        <f t="shared" ca="1" si="564"/>
        <v>#NAME?</v>
      </c>
      <c r="AT49" s="26" t="e">
        <f t="shared" ca="1" si="564"/>
        <v>#NAME?</v>
      </c>
      <c r="AU49" s="26" t="e">
        <f t="shared" ca="1" si="564"/>
        <v>#NAME?</v>
      </c>
      <c r="AV49" s="26" t="e">
        <f t="shared" ca="1" si="564"/>
        <v>#NAME?</v>
      </c>
      <c r="AW49" s="26" t="e">
        <f t="shared" ca="1" si="564"/>
        <v>#NAME?</v>
      </c>
      <c r="AX49" s="26" t="e">
        <f t="shared" ca="1" si="564"/>
        <v>#NAME?</v>
      </c>
      <c r="AY49" s="26" t="e">
        <f t="shared" ca="1" si="564"/>
        <v>#NAME?</v>
      </c>
      <c r="AZ49" s="26" t="e">
        <f t="shared" ca="1" si="564"/>
        <v>#NAME?</v>
      </c>
      <c r="BA49" s="26" t="e">
        <f t="shared" ca="1" si="564"/>
        <v>#NAME?</v>
      </c>
      <c r="BB49" s="26" t="e">
        <f t="shared" ca="1" si="564"/>
        <v>#NAME?</v>
      </c>
      <c r="BC49" s="26" t="e">
        <f t="shared" ca="1" si="564"/>
        <v>#NAME?</v>
      </c>
      <c r="BD49" s="26" t="e">
        <f t="shared" ca="1" si="564"/>
        <v>#NAME?</v>
      </c>
      <c r="BE49" s="26" t="e">
        <f t="shared" ca="1" si="564"/>
        <v>#NAME?</v>
      </c>
      <c r="BF49" s="26" t="e">
        <f t="shared" ca="1" si="564"/>
        <v>#NAME?</v>
      </c>
      <c r="BG49" s="26" t="e">
        <f t="shared" ca="1" si="564"/>
        <v>#NAME?</v>
      </c>
      <c r="BH49" s="26" t="e">
        <f t="shared" ca="1" si="564"/>
        <v>#NAME?</v>
      </c>
      <c r="BI49" s="26" t="e">
        <f t="shared" ca="1" si="564"/>
        <v>#NAME?</v>
      </c>
      <c r="BJ49" s="26" t="e">
        <f t="shared" ca="1" si="564"/>
        <v>#NAME?</v>
      </c>
      <c r="BK49" s="26" t="e">
        <f t="shared" ca="1" si="564"/>
        <v>#NAME?</v>
      </c>
      <c r="BL49" s="26" t="e">
        <f t="shared" ca="1" si="564"/>
        <v>#NAME?</v>
      </c>
      <c r="BM49" s="26" t="e">
        <f t="shared" ca="1" si="564"/>
        <v>#NAME?</v>
      </c>
      <c r="BN49" s="26" t="e">
        <f t="shared" ca="1" si="564"/>
        <v>#NAME?</v>
      </c>
      <c r="BO49" s="26" t="e">
        <f t="shared" ca="1" si="564"/>
        <v>#NAME?</v>
      </c>
      <c r="BP49" s="26" t="e">
        <f t="shared" ca="1" si="564"/>
        <v>#NAME?</v>
      </c>
      <c r="BQ49" s="26" t="e">
        <f t="shared" ca="1" si="564"/>
        <v>#NAME?</v>
      </c>
      <c r="BR49" s="26" t="e">
        <f t="shared" ca="1" si="564"/>
        <v>#NAME?</v>
      </c>
      <c r="BS49" s="26" t="e">
        <f t="shared" ca="1" si="564"/>
        <v>#NAME?</v>
      </c>
      <c r="BT49" s="26" t="e">
        <f t="shared" ca="1" si="564"/>
        <v>#NAME?</v>
      </c>
      <c r="BU49" s="26" t="e">
        <f t="shared" ca="1" si="564"/>
        <v>#NAME?</v>
      </c>
      <c r="BV49" s="26" t="e">
        <f t="shared" ca="1" si="564"/>
        <v>#NAME?</v>
      </c>
      <c r="BW49" s="26" t="e">
        <f t="shared" ca="1" si="564"/>
        <v>#NAME?</v>
      </c>
      <c r="BX49" s="26" t="e">
        <f t="shared" ca="1" si="564"/>
        <v>#NAME?</v>
      </c>
      <c r="BY49" s="26" t="e">
        <f t="shared" ca="1" si="564"/>
        <v>#NAME?</v>
      </c>
      <c r="BZ49" s="26" t="e">
        <f t="shared" ca="1" si="564"/>
        <v>#NAME?</v>
      </c>
      <c r="CA49" s="26" t="e">
        <f t="shared" ca="1" si="564"/>
        <v>#NAME?</v>
      </c>
      <c r="CB49" s="26" t="e">
        <f t="shared" ca="1" si="564"/>
        <v>#NAME?</v>
      </c>
      <c r="CC49" s="26" t="e">
        <f t="shared" ca="1" si="564"/>
        <v>#NAME?</v>
      </c>
      <c r="CD49" s="26" t="e">
        <f t="shared" ca="1" si="564"/>
        <v>#NAME?</v>
      </c>
      <c r="CE49" s="26" t="e">
        <f t="shared" ref="CE49:CF49" ca="1" si="565">CE46-CE47</f>
        <v>#NAME?</v>
      </c>
      <c r="CF49" s="26" t="e">
        <f t="shared" ca="1" si="565"/>
        <v>#NAME?</v>
      </c>
      <c r="CG49" s="26" t="e">
        <f t="shared" ref="CG49:CH49" ca="1" si="566">CG46-CG47</f>
        <v>#NAME?</v>
      </c>
      <c r="CH49" s="26" t="e">
        <f t="shared" ca="1" si="566"/>
        <v>#NAME?</v>
      </c>
      <c r="CI49" s="26" t="e">
        <f t="shared" ref="CI49:CJ49" ca="1" si="567">CI46-CI47</f>
        <v>#NAME?</v>
      </c>
      <c r="CJ49" s="26" t="e">
        <f t="shared" ca="1" si="567"/>
        <v>#NAME?</v>
      </c>
      <c r="CK49" s="26" t="e">
        <f t="shared" ref="CK49:CL49" ca="1" si="568">CK46-CK47</f>
        <v>#NAME?</v>
      </c>
      <c r="CL49" s="26" t="e">
        <f t="shared" ca="1" si="568"/>
        <v>#NAME?</v>
      </c>
      <c r="CM49" s="27" t="e">
        <f t="shared" ref="CM49:DB49" ca="1" si="569">CM46-CM47</f>
        <v>#NAME?</v>
      </c>
      <c r="CN49" s="27" t="e">
        <f t="shared" ca="1" si="569"/>
        <v>#NAME?</v>
      </c>
      <c r="CO49" s="27" t="e">
        <f t="shared" ca="1" si="569"/>
        <v>#NAME?</v>
      </c>
      <c r="CP49" s="27" t="e">
        <f t="shared" ca="1" si="569"/>
        <v>#NAME?</v>
      </c>
      <c r="CQ49" s="27" t="e">
        <f t="shared" ca="1" si="569"/>
        <v>#NAME?</v>
      </c>
      <c r="CR49" s="27" t="e">
        <f t="shared" ca="1" si="569"/>
        <v>#NAME?</v>
      </c>
      <c r="CS49" s="27" t="e">
        <f t="shared" ca="1" si="569"/>
        <v>#NAME?</v>
      </c>
      <c r="CT49" s="27" t="e">
        <f t="shared" ca="1" si="569"/>
        <v>#NAME?</v>
      </c>
      <c r="CU49" s="27" t="e">
        <f t="shared" ca="1" si="569"/>
        <v>#NAME?</v>
      </c>
      <c r="CV49" s="27" t="e">
        <f t="shared" ca="1" si="569"/>
        <v>#NAME?</v>
      </c>
      <c r="CW49" s="27" t="e">
        <f t="shared" ca="1" si="569"/>
        <v>#NAME?</v>
      </c>
      <c r="CX49" s="27" t="e">
        <f t="shared" ca="1" si="569"/>
        <v>#NAME?</v>
      </c>
      <c r="CY49" s="27" t="e">
        <f t="shared" ca="1" si="569"/>
        <v>#NAME?</v>
      </c>
      <c r="CZ49" s="27" t="e">
        <f t="shared" ca="1" si="569"/>
        <v>#NAME?</v>
      </c>
      <c r="DA49" s="27" t="e">
        <f t="shared" ca="1" si="569"/>
        <v>#NAME?</v>
      </c>
      <c r="DB49" s="27" t="e">
        <f t="shared" ca="1" si="569"/>
        <v>#NAME?</v>
      </c>
      <c r="DE49" s="121"/>
      <c r="DF49" s="26">
        <v>5776.8300000000017</v>
      </c>
    </row>
    <row r="50" spans="1:110" s="45" customFormat="1" x14ac:dyDescent="0.2">
      <c r="A50" s="45" t="s">
        <v>107</v>
      </c>
      <c r="B50" s="45" t="e">
        <f t="shared" ref="B50:E50" ca="1" si="570">+B49/B18</f>
        <v>#NAME?</v>
      </c>
      <c r="C50" s="45" t="e">
        <f t="shared" ca="1" si="570"/>
        <v>#NAME?</v>
      </c>
      <c r="D50" s="45" t="e">
        <f t="shared" ca="1" si="570"/>
        <v>#NAME?</v>
      </c>
      <c r="E50" s="45" t="e">
        <f t="shared" ca="1" si="570"/>
        <v>#NAME?</v>
      </c>
      <c r="F50" s="45" t="e">
        <f t="shared" ref="F50:AE50" ca="1" si="571">+F49/F18</f>
        <v>#NAME?</v>
      </c>
      <c r="G50" s="45" t="e">
        <f t="shared" ca="1" si="571"/>
        <v>#NAME?</v>
      </c>
      <c r="H50" s="45" t="e">
        <f t="shared" ca="1" si="571"/>
        <v>#NAME?</v>
      </c>
      <c r="I50" s="45" t="e">
        <f t="shared" ca="1" si="571"/>
        <v>#NAME?</v>
      </c>
      <c r="J50" s="45" t="e">
        <f t="shared" ca="1" si="571"/>
        <v>#NAME?</v>
      </c>
      <c r="K50" s="45" t="e">
        <f t="shared" ca="1" si="571"/>
        <v>#NAME?</v>
      </c>
      <c r="L50" s="45" t="e">
        <f t="shared" ca="1" si="571"/>
        <v>#NAME?</v>
      </c>
      <c r="M50" s="45" t="e">
        <f t="shared" ca="1" si="571"/>
        <v>#NAME?</v>
      </c>
      <c r="N50" s="45" t="e">
        <f t="shared" ca="1" si="571"/>
        <v>#NAME?</v>
      </c>
      <c r="O50" s="45" t="e">
        <f t="shared" ca="1" si="571"/>
        <v>#NAME?</v>
      </c>
      <c r="P50" s="45" t="e">
        <f t="shared" ca="1" si="571"/>
        <v>#NAME?</v>
      </c>
      <c r="Q50" s="45" t="e">
        <f t="shared" ca="1" si="571"/>
        <v>#NAME?</v>
      </c>
      <c r="R50" s="45" t="e">
        <f t="shared" ca="1" si="571"/>
        <v>#NAME?</v>
      </c>
      <c r="S50" s="45" t="e">
        <f t="shared" ca="1" si="571"/>
        <v>#NAME?</v>
      </c>
      <c r="T50" s="45" t="e">
        <f t="shared" ca="1" si="571"/>
        <v>#NAME?</v>
      </c>
      <c r="U50" s="45" t="e">
        <f t="shared" ca="1" si="571"/>
        <v>#NAME?</v>
      </c>
      <c r="V50" s="45" t="e">
        <f t="shared" ca="1" si="571"/>
        <v>#NAME?</v>
      </c>
      <c r="W50" s="45" t="e">
        <f t="shared" ca="1" si="571"/>
        <v>#NAME?</v>
      </c>
      <c r="X50" s="45" t="e">
        <f t="shared" ca="1" si="571"/>
        <v>#NAME?</v>
      </c>
      <c r="Y50" s="45" t="e">
        <f t="shared" ca="1" si="571"/>
        <v>#NAME?</v>
      </c>
      <c r="Z50" s="45" t="e">
        <f t="shared" ref="Z50:AA50" ca="1" si="572">+Z49/Z18</f>
        <v>#NAME?</v>
      </c>
      <c r="AA50" s="45" t="e">
        <f t="shared" ca="1" si="572"/>
        <v>#NAME?</v>
      </c>
      <c r="AB50" s="48" t="e">
        <f t="shared" ca="1" si="571"/>
        <v>#NAME?</v>
      </c>
      <c r="AC50" s="48" t="e">
        <f t="shared" ca="1" si="571"/>
        <v>#NAME?</v>
      </c>
      <c r="AD50" s="48" t="e">
        <f t="shared" ca="1" si="571"/>
        <v>#NAME?</v>
      </c>
      <c r="AE50" s="48" t="e">
        <f t="shared" ca="1" si="571"/>
        <v>#NAME?</v>
      </c>
      <c r="AI50" s="45" t="e">
        <f t="shared" ref="AI50:BN50" ca="1" si="573">+AI49/AI18</f>
        <v>#NAME?</v>
      </c>
      <c r="AJ50" s="45" t="e">
        <f t="shared" ca="1" si="573"/>
        <v>#NAME?</v>
      </c>
      <c r="AK50" s="45" t="e">
        <f t="shared" ca="1" si="573"/>
        <v>#NAME?</v>
      </c>
      <c r="AL50" s="45" t="e">
        <f t="shared" ca="1" si="573"/>
        <v>#NAME?</v>
      </c>
      <c r="AM50" s="45" t="e">
        <f t="shared" ca="1" si="573"/>
        <v>#NAME?</v>
      </c>
      <c r="AN50" s="45" t="e">
        <f t="shared" ca="1" si="573"/>
        <v>#NAME?</v>
      </c>
      <c r="AO50" s="45" t="e">
        <f t="shared" ca="1" si="573"/>
        <v>#NAME?</v>
      </c>
      <c r="AP50" s="45" t="e">
        <f t="shared" ca="1" si="573"/>
        <v>#NAME?</v>
      </c>
      <c r="AQ50" s="45" t="e">
        <f t="shared" ca="1" si="573"/>
        <v>#NAME?</v>
      </c>
      <c r="AR50" s="45" t="e">
        <f t="shared" ca="1" si="573"/>
        <v>#NAME?</v>
      </c>
      <c r="AS50" s="45" t="e">
        <f t="shared" ca="1" si="573"/>
        <v>#NAME?</v>
      </c>
      <c r="AT50" s="45" t="e">
        <f t="shared" ca="1" si="573"/>
        <v>#NAME?</v>
      </c>
      <c r="AU50" s="45" t="e">
        <f t="shared" ca="1" si="573"/>
        <v>#NAME?</v>
      </c>
      <c r="AV50" s="45" t="e">
        <f t="shared" ca="1" si="573"/>
        <v>#NAME?</v>
      </c>
      <c r="AW50" s="45" t="e">
        <f t="shared" ca="1" si="573"/>
        <v>#NAME?</v>
      </c>
      <c r="AX50" s="45" t="e">
        <f t="shared" ca="1" si="573"/>
        <v>#NAME?</v>
      </c>
      <c r="AY50" s="45" t="e">
        <f t="shared" ca="1" si="573"/>
        <v>#NAME?</v>
      </c>
      <c r="AZ50" s="45" t="e">
        <f t="shared" ca="1" si="573"/>
        <v>#NAME?</v>
      </c>
      <c r="BA50" s="45" t="e">
        <f t="shared" ca="1" si="573"/>
        <v>#NAME?</v>
      </c>
      <c r="BB50" s="45" t="e">
        <f t="shared" ca="1" si="573"/>
        <v>#NAME?</v>
      </c>
      <c r="BC50" s="45" t="e">
        <f t="shared" ca="1" si="573"/>
        <v>#NAME?</v>
      </c>
      <c r="BD50" s="45" t="e">
        <f t="shared" ca="1" si="573"/>
        <v>#NAME?</v>
      </c>
      <c r="BE50" s="45" t="e">
        <f t="shared" ca="1" si="573"/>
        <v>#NAME?</v>
      </c>
      <c r="BF50" s="45" t="e">
        <f t="shared" ca="1" si="573"/>
        <v>#NAME?</v>
      </c>
      <c r="BG50" s="45" t="e">
        <f t="shared" ca="1" si="573"/>
        <v>#NAME?</v>
      </c>
      <c r="BH50" s="45" t="e">
        <f t="shared" ca="1" si="573"/>
        <v>#NAME?</v>
      </c>
      <c r="BI50" s="45" t="e">
        <f t="shared" ca="1" si="573"/>
        <v>#NAME?</v>
      </c>
      <c r="BJ50" s="45" t="e">
        <f t="shared" ca="1" si="573"/>
        <v>#NAME?</v>
      </c>
      <c r="BK50" s="45" t="e">
        <f t="shared" ca="1" si="573"/>
        <v>#NAME?</v>
      </c>
      <c r="BL50" s="45" t="e">
        <f t="shared" ca="1" si="573"/>
        <v>#NAME?</v>
      </c>
      <c r="BM50" s="45" t="e">
        <f t="shared" ca="1" si="573"/>
        <v>#NAME?</v>
      </c>
      <c r="BN50" s="45" t="e">
        <f t="shared" ca="1" si="573"/>
        <v>#NAME?</v>
      </c>
      <c r="BO50" s="45" t="e">
        <f t="shared" ref="BO50:CT50" ca="1" si="574">+BO49/BO18</f>
        <v>#NAME?</v>
      </c>
      <c r="BP50" s="45" t="e">
        <f t="shared" ca="1" si="574"/>
        <v>#NAME?</v>
      </c>
      <c r="BQ50" s="45" t="e">
        <f t="shared" ca="1" si="574"/>
        <v>#NAME?</v>
      </c>
      <c r="BR50" s="45" t="e">
        <f t="shared" ca="1" si="574"/>
        <v>#NAME?</v>
      </c>
      <c r="BS50" s="45" t="e">
        <f t="shared" ca="1" si="574"/>
        <v>#NAME?</v>
      </c>
      <c r="BT50" s="45" t="e">
        <f t="shared" ca="1" si="574"/>
        <v>#NAME?</v>
      </c>
      <c r="BU50" s="45" t="e">
        <f t="shared" ca="1" si="574"/>
        <v>#NAME?</v>
      </c>
      <c r="BV50" s="45" t="e">
        <f t="shared" ca="1" si="574"/>
        <v>#NAME?</v>
      </c>
      <c r="BW50" s="45" t="e">
        <f t="shared" ca="1" si="574"/>
        <v>#NAME?</v>
      </c>
      <c r="BX50" s="45" t="e">
        <f t="shared" ca="1" si="574"/>
        <v>#NAME?</v>
      </c>
      <c r="BY50" s="45" t="e">
        <f t="shared" ca="1" si="574"/>
        <v>#NAME?</v>
      </c>
      <c r="BZ50" s="45" t="e">
        <f t="shared" ca="1" si="574"/>
        <v>#NAME?</v>
      </c>
      <c r="CA50" s="45" t="e">
        <f t="shared" ca="1" si="574"/>
        <v>#NAME?</v>
      </c>
      <c r="CB50" s="45" t="e">
        <f t="shared" ca="1" si="574"/>
        <v>#NAME?</v>
      </c>
      <c r="CC50" s="45" t="e">
        <f t="shared" ca="1" si="574"/>
        <v>#NAME?</v>
      </c>
      <c r="CD50" s="45" t="e">
        <f t="shared" ca="1" si="574"/>
        <v>#NAME?</v>
      </c>
      <c r="CE50" s="45" t="e">
        <f t="shared" ca="1" si="574"/>
        <v>#NAME?</v>
      </c>
      <c r="CF50" s="45" t="e">
        <f t="shared" ca="1" si="574"/>
        <v>#NAME?</v>
      </c>
      <c r="CG50" s="45" t="e">
        <f t="shared" ca="1" si="574"/>
        <v>#NAME?</v>
      </c>
      <c r="CH50" s="45" t="e">
        <f t="shared" ca="1" si="574"/>
        <v>#NAME?</v>
      </c>
      <c r="CI50" s="45" t="e">
        <f t="shared" ref="CI50:CJ50" ca="1" si="575">+CI49/CI18</f>
        <v>#NAME?</v>
      </c>
      <c r="CJ50" s="45" t="e">
        <f t="shared" ca="1" si="575"/>
        <v>#NAME?</v>
      </c>
      <c r="CK50" s="45" t="e">
        <f t="shared" ref="CK50:CL50" ca="1" si="576">+CK49/CK18</f>
        <v>#NAME?</v>
      </c>
      <c r="CL50" s="45" t="e">
        <f t="shared" ca="1" si="576"/>
        <v>#NAME?</v>
      </c>
      <c r="CM50" s="48" t="e">
        <f t="shared" ca="1" si="574"/>
        <v>#NAME?</v>
      </c>
      <c r="CN50" s="48" t="e">
        <f t="shared" ca="1" si="574"/>
        <v>#NAME?</v>
      </c>
      <c r="CO50" s="48" t="e">
        <f t="shared" ca="1" si="574"/>
        <v>#NAME?</v>
      </c>
      <c r="CP50" s="48" t="e">
        <f t="shared" ca="1" si="574"/>
        <v>#NAME?</v>
      </c>
      <c r="CQ50" s="48" t="e">
        <f t="shared" ca="1" si="574"/>
        <v>#NAME?</v>
      </c>
      <c r="CR50" s="48" t="e">
        <f t="shared" ca="1" si="574"/>
        <v>#NAME?</v>
      </c>
      <c r="CS50" s="48" t="e">
        <f t="shared" ca="1" si="574"/>
        <v>#NAME?</v>
      </c>
      <c r="CT50" s="48" t="e">
        <f t="shared" ca="1" si="574"/>
        <v>#NAME?</v>
      </c>
      <c r="CU50" s="48" t="e">
        <f t="shared" ref="CU50:DB50" ca="1" si="577">+CU49/CU18</f>
        <v>#NAME?</v>
      </c>
      <c r="CV50" s="48" t="e">
        <f t="shared" ca="1" si="577"/>
        <v>#NAME?</v>
      </c>
      <c r="CW50" s="48" t="e">
        <f t="shared" ca="1" si="577"/>
        <v>#NAME?</v>
      </c>
      <c r="CX50" s="48" t="e">
        <f t="shared" ca="1" si="577"/>
        <v>#NAME?</v>
      </c>
      <c r="CY50" s="48" t="e">
        <f t="shared" ca="1" si="577"/>
        <v>#NAME?</v>
      </c>
      <c r="CZ50" s="48" t="e">
        <f t="shared" ca="1" si="577"/>
        <v>#NAME?</v>
      </c>
      <c r="DA50" s="48" t="e">
        <f t="shared" ca="1" si="577"/>
        <v>#NAME?</v>
      </c>
      <c r="DB50" s="48" t="e">
        <f t="shared" ca="1" si="577"/>
        <v>#NAME?</v>
      </c>
      <c r="DE50" s="129"/>
      <c r="DF50" s="45">
        <v>0.14209158474289452</v>
      </c>
    </row>
    <row r="51" spans="1:110" s="39" customFormat="1" x14ac:dyDescent="0.2">
      <c r="A51" s="39" t="s">
        <v>451</v>
      </c>
      <c r="C51" s="39" t="e">
        <f t="shared" ref="C51:E51" ca="1" si="578">+IF(B49&lt;0,1-C49/B49,C49/B49-1)</f>
        <v>#NAME?</v>
      </c>
      <c r="D51" s="39" t="e">
        <f t="shared" ca="1" si="578"/>
        <v>#NAME?</v>
      </c>
      <c r="E51" s="39" t="e">
        <f t="shared" ca="1" si="578"/>
        <v>#NAME?</v>
      </c>
      <c r="F51" s="39" t="e">
        <f t="shared" ref="F51:AE51" ca="1" si="579">+IF(E49&lt;0,1-F49/E49,F49/E49-1)</f>
        <v>#NAME?</v>
      </c>
      <c r="G51" s="39" t="e">
        <f t="shared" ca="1" si="579"/>
        <v>#NAME?</v>
      </c>
      <c r="H51" s="39" t="e">
        <f t="shared" ca="1" si="579"/>
        <v>#NAME?</v>
      </c>
      <c r="I51" s="39" t="e">
        <f t="shared" ca="1" si="579"/>
        <v>#NAME?</v>
      </c>
      <c r="J51" s="39" t="e">
        <f t="shared" ca="1" si="579"/>
        <v>#NAME?</v>
      </c>
      <c r="K51" s="39" t="e">
        <f t="shared" ca="1" si="579"/>
        <v>#NAME?</v>
      </c>
      <c r="L51" s="39" t="e">
        <f t="shared" ca="1" si="579"/>
        <v>#NAME?</v>
      </c>
      <c r="M51" s="39" t="e">
        <f t="shared" ca="1" si="579"/>
        <v>#NAME?</v>
      </c>
      <c r="N51" s="39" t="e">
        <f t="shared" ca="1" si="579"/>
        <v>#NAME?</v>
      </c>
      <c r="O51" s="39" t="e">
        <f t="shared" ca="1" si="579"/>
        <v>#NAME?</v>
      </c>
      <c r="P51" s="39" t="e">
        <f t="shared" ca="1" si="579"/>
        <v>#NAME?</v>
      </c>
      <c r="Q51" s="39" t="e">
        <f t="shared" ca="1" si="579"/>
        <v>#NAME?</v>
      </c>
      <c r="R51" s="39" t="e">
        <f t="shared" ca="1" si="579"/>
        <v>#NAME?</v>
      </c>
      <c r="S51" s="39" t="e">
        <f t="shared" ca="1" si="579"/>
        <v>#NAME?</v>
      </c>
      <c r="T51" s="39" t="e">
        <f t="shared" ca="1" si="579"/>
        <v>#NAME?</v>
      </c>
      <c r="U51" s="39" t="e">
        <f t="shared" ca="1" si="579"/>
        <v>#NAME?</v>
      </c>
      <c r="V51" s="39" t="e">
        <f t="shared" ca="1" si="579"/>
        <v>#NAME?</v>
      </c>
      <c r="W51" s="39" t="e">
        <f t="shared" ca="1" si="579"/>
        <v>#NAME?</v>
      </c>
      <c r="X51" s="39" t="e">
        <f t="shared" ca="1" si="579"/>
        <v>#NAME?</v>
      </c>
      <c r="Y51" s="39" t="e">
        <f t="shared" ca="1" si="579"/>
        <v>#NAME?</v>
      </c>
      <c r="Z51" s="39" t="e">
        <f t="shared" ref="Z51:AA51" ca="1" si="580">+IF(Y49&lt;0,1-Z49/Y49,Z49/Y49-1)</f>
        <v>#NAME?</v>
      </c>
      <c r="AA51" s="39" t="e">
        <f t="shared" ca="1" si="580"/>
        <v>#NAME?</v>
      </c>
      <c r="AB51" s="40" t="e">
        <f t="shared" ca="1" si="579"/>
        <v>#NAME?</v>
      </c>
      <c r="AC51" s="40" t="e">
        <f t="shared" ca="1" si="579"/>
        <v>#NAME?</v>
      </c>
      <c r="AD51" s="40" t="e">
        <f t="shared" ca="1" si="579"/>
        <v>#NAME?</v>
      </c>
      <c r="AE51" s="40" t="e">
        <f t="shared" ca="1" si="579"/>
        <v>#NAME?</v>
      </c>
      <c r="AM51" s="39" t="e">
        <f ca="1">+IF(AI49&lt;0,1-AM49/AI49,AM49/AI49-1)</f>
        <v>#NAME?</v>
      </c>
      <c r="AN51" s="39" t="e">
        <f t="shared" ref="AN51" ca="1" si="581">+IF(AJ49&lt;0,1-AN49/AJ49,AN49/AJ49-1)</f>
        <v>#NAME?</v>
      </c>
      <c r="AO51" s="39" t="e">
        <f t="shared" ref="AO51" ca="1" si="582">+IF(AK49&lt;0,1-AO49/AK49,AO49/AK49-1)</f>
        <v>#NAME?</v>
      </c>
      <c r="AP51" s="39" t="e">
        <f t="shared" ref="AP51" ca="1" si="583">+IF(AL49&lt;0,1-AP49/AL49,AP49/AL49-1)</f>
        <v>#NAME?</v>
      </c>
      <c r="AQ51" s="39" t="e">
        <f t="shared" ref="AQ51" ca="1" si="584">+IF(AM49&lt;0,1-AQ49/AM49,AQ49/AM49-1)</f>
        <v>#NAME?</v>
      </c>
      <c r="AR51" s="39" t="e">
        <f t="shared" ref="AR51" ca="1" si="585">+IF(AN49&lt;0,1-AR49/AN49,AR49/AN49-1)</f>
        <v>#NAME?</v>
      </c>
      <c r="AS51" s="39" t="e">
        <f t="shared" ref="AS51" ca="1" si="586">+IF(AO49&lt;0,1-AS49/AO49,AS49/AO49-1)</f>
        <v>#NAME?</v>
      </c>
      <c r="AT51" s="39" t="e">
        <f t="shared" ref="AT51" ca="1" si="587">+IF(AP49&lt;0,1-AT49/AP49,AT49/AP49-1)</f>
        <v>#NAME?</v>
      </c>
      <c r="AU51" s="39" t="e">
        <f t="shared" ref="AU51" ca="1" si="588">+IF(AQ49&lt;0,1-AU49/AQ49,AU49/AQ49-1)</f>
        <v>#NAME?</v>
      </c>
      <c r="AV51" s="39" t="e">
        <f t="shared" ref="AV51" ca="1" si="589">+IF(AR49&lt;0,1-AV49/AR49,AV49/AR49-1)</f>
        <v>#NAME?</v>
      </c>
      <c r="AW51" s="39" t="e">
        <f t="shared" ref="AW51" ca="1" si="590">+IF(AS49&lt;0,1-AW49/AS49,AW49/AS49-1)</f>
        <v>#NAME?</v>
      </c>
      <c r="AX51" s="39" t="e">
        <f t="shared" ref="AX51" ca="1" si="591">+IF(AT49&lt;0,1-AX49/AT49,AX49/AT49-1)</f>
        <v>#NAME?</v>
      </c>
      <c r="AY51" s="39" t="e">
        <f t="shared" ref="AY51" ca="1" si="592">+IF(AU49&lt;0,1-AY49/AU49,AY49/AU49-1)</f>
        <v>#NAME?</v>
      </c>
      <c r="AZ51" s="39" t="e">
        <f t="shared" ref="AZ51" ca="1" si="593">+IF(AV49&lt;0,1-AZ49/AV49,AZ49/AV49-1)</f>
        <v>#NAME?</v>
      </c>
      <c r="BA51" s="39" t="e">
        <f t="shared" ref="BA51" ca="1" si="594">+IF(AW49&lt;0,1-BA49/AW49,BA49/AW49-1)</f>
        <v>#NAME?</v>
      </c>
      <c r="BB51" s="39" t="e">
        <f t="shared" ref="BB51" ca="1" si="595">+IF(AX49&lt;0,1-BB49/AX49,BB49/AX49-1)</f>
        <v>#NAME?</v>
      </c>
      <c r="BC51" s="39" t="e">
        <f t="shared" ref="BC51" ca="1" si="596">+IF(AY49&lt;0,1-BC49/AY49,BC49/AY49-1)</f>
        <v>#NAME?</v>
      </c>
      <c r="BD51" s="39" t="e">
        <f t="shared" ref="BD51" ca="1" si="597">+IF(AZ49&lt;0,1-BD49/AZ49,BD49/AZ49-1)</f>
        <v>#NAME?</v>
      </c>
      <c r="BE51" s="39" t="e">
        <f t="shared" ref="BE51" ca="1" si="598">+IF(BA49&lt;0,1-BE49/BA49,BE49/BA49-1)</f>
        <v>#NAME?</v>
      </c>
      <c r="BF51" s="39" t="e">
        <f t="shared" ref="BF51" ca="1" si="599">+IF(BB49&lt;0,1-BF49/BB49,BF49/BB49-1)</f>
        <v>#NAME?</v>
      </c>
      <c r="BG51" s="39" t="e">
        <f t="shared" ref="BG51" ca="1" si="600">+IF(BC49&lt;0,1-BG49/BC49,BG49/BC49-1)</f>
        <v>#NAME?</v>
      </c>
      <c r="BH51" s="39" t="e">
        <f t="shared" ref="BH51" ca="1" si="601">+IF(BD49&lt;0,1-BH49/BD49,BH49/BD49-1)</f>
        <v>#NAME?</v>
      </c>
      <c r="BI51" s="39" t="e">
        <f t="shared" ref="BI51" ca="1" si="602">+IF(BE49&lt;0,1-BI49/BE49,BI49/BE49-1)</f>
        <v>#NAME?</v>
      </c>
      <c r="BJ51" s="39" t="e">
        <f t="shared" ref="BJ51" ca="1" si="603">+IF(BF49&lt;0,1-BJ49/BF49,BJ49/BF49-1)</f>
        <v>#NAME?</v>
      </c>
      <c r="BK51" s="39" t="e">
        <f t="shared" ref="BK51" ca="1" si="604">+IF(BG49&lt;0,1-BK49/BG49,BK49/BG49-1)</f>
        <v>#NAME?</v>
      </c>
      <c r="BL51" s="39" t="e">
        <f t="shared" ref="BL51" ca="1" si="605">+IF(BH49&lt;0,1-BL49/BH49,BL49/BH49-1)</f>
        <v>#NAME?</v>
      </c>
      <c r="BM51" s="39" t="e">
        <f t="shared" ref="BM51" ca="1" si="606">+IF(BI49&lt;0,1-BM49/BI49,BM49/BI49-1)</f>
        <v>#NAME?</v>
      </c>
      <c r="BN51" s="39" t="e">
        <f t="shared" ref="BN51" ca="1" si="607">+IF(BJ49&lt;0,1-BN49/BJ49,BN49/BJ49-1)</f>
        <v>#NAME?</v>
      </c>
      <c r="BO51" s="39" t="e">
        <f t="shared" ref="BO51" ca="1" si="608">+IF(BK49&lt;0,1-BO49/BK49,BO49/BK49-1)</f>
        <v>#NAME?</v>
      </c>
      <c r="BP51" s="39" t="e">
        <f t="shared" ref="BP51" ca="1" si="609">+IF(BL49&lt;0,1-BP49/BL49,BP49/BL49-1)</f>
        <v>#NAME?</v>
      </c>
      <c r="BQ51" s="39" t="e">
        <f t="shared" ref="BQ51" ca="1" si="610">+IF(BM49&lt;0,1-BQ49/BM49,BQ49/BM49-1)</f>
        <v>#NAME?</v>
      </c>
      <c r="BR51" s="39" t="e">
        <f t="shared" ref="BR51" ca="1" si="611">+IF(BN49&lt;0,1-BR49/BN49,BR49/BN49-1)</f>
        <v>#NAME?</v>
      </c>
      <c r="BS51" s="39" t="e">
        <f t="shared" ref="BS51" ca="1" si="612">+IF(BO49&lt;0,1-BS49/BO49,BS49/BO49-1)</f>
        <v>#NAME?</v>
      </c>
      <c r="BT51" s="39" t="e">
        <f t="shared" ref="BT51" ca="1" si="613">+IF(BP49&lt;0,1-BT49/BP49,BT49/BP49-1)</f>
        <v>#NAME?</v>
      </c>
      <c r="BU51" s="39" t="e">
        <f t="shared" ref="BU51" ca="1" si="614">+IF(BQ49&lt;0,1-BU49/BQ49,BU49/BQ49-1)</f>
        <v>#NAME?</v>
      </c>
      <c r="BV51" s="39" t="e">
        <f t="shared" ref="BV51" ca="1" si="615">+IF(BR49&lt;0,1-BV49/BR49,BV49/BR49-1)</f>
        <v>#NAME?</v>
      </c>
      <c r="BW51" s="39" t="e">
        <f t="shared" ref="BW51" ca="1" si="616">+IF(BS49&lt;0,1-BW49/BS49,BW49/BS49-1)</f>
        <v>#NAME?</v>
      </c>
      <c r="BX51" s="39" t="e">
        <f t="shared" ref="BX51" ca="1" si="617">+IF(BT49&lt;0,1-BX49/BT49,BX49/BT49-1)</f>
        <v>#NAME?</v>
      </c>
      <c r="BY51" s="39" t="e">
        <f t="shared" ref="BY51" ca="1" si="618">+IF(BU49&lt;0,1-BY49/BU49,BY49/BU49-1)</f>
        <v>#NAME?</v>
      </c>
      <c r="BZ51" s="39" t="e">
        <f t="shared" ref="BZ51" ca="1" si="619">+IF(BV49&lt;0,1-BZ49/BV49,BZ49/BV49-1)</f>
        <v>#NAME?</v>
      </c>
      <c r="CA51" s="39" t="e">
        <f t="shared" ref="CA51" ca="1" si="620">+IF(BW49&lt;0,1-CA49/BW49,CA49/BW49-1)</f>
        <v>#NAME?</v>
      </c>
      <c r="CB51" s="39" t="e">
        <f t="shared" ref="CB51" ca="1" si="621">+IF(BX49&lt;0,1-CB49/BX49,CB49/BX49-1)</f>
        <v>#NAME?</v>
      </c>
      <c r="CC51" s="39" t="e">
        <f t="shared" ref="CC51" ca="1" si="622">+IF(BY49&lt;0,1-CC49/BY49,CC49/BY49-1)</f>
        <v>#NAME?</v>
      </c>
      <c r="CD51" s="39" t="e">
        <f t="shared" ref="CD51" ca="1" si="623">+IF(BZ49&lt;0,1-CD49/BZ49,CD49/BZ49-1)</f>
        <v>#NAME?</v>
      </c>
      <c r="CE51" s="39" t="e">
        <f t="shared" ref="CE51" ca="1" si="624">+IF(CA49&lt;0,1-CE49/CA49,CE49/CA49-1)</f>
        <v>#NAME?</v>
      </c>
      <c r="CF51" s="39" t="e">
        <f t="shared" ref="CF51" ca="1" si="625">+IF(CB49&lt;0,1-CF49/CB49,CF49/CB49-1)</f>
        <v>#NAME?</v>
      </c>
      <c r="CG51" s="39" t="e">
        <f t="shared" ref="CG51" ca="1" si="626">+IF(CC49&lt;0,1-CG49/CC49,CG49/CC49-1)</f>
        <v>#NAME?</v>
      </c>
      <c r="CH51" s="39" t="e">
        <f t="shared" ref="CH51:CL51" ca="1" si="627">+IF(CD49&lt;0,1-CH49/CD49,CH49/CD49-1)</f>
        <v>#NAME?</v>
      </c>
      <c r="CI51" s="39" t="e">
        <f t="shared" ca="1" si="627"/>
        <v>#NAME?</v>
      </c>
      <c r="CJ51" s="39" t="e">
        <f t="shared" ca="1" si="627"/>
        <v>#NAME?</v>
      </c>
      <c r="CK51" s="39" t="e">
        <f t="shared" ca="1" si="627"/>
        <v>#NAME?</v>
      </c>
      <c r="CL51" s="39" t="e">
        <f t="shared" ca="1" si="627"/>
        <v>#NAME?</v>
      </c>
      <c r="CM51" s="40" t="e">
        <f t="shared" ref="CM51" ca="1" si="628">+CM49/CI49-1</f>
        <v>#NAME?</v>
      </c>
      <c r="CN51" s="40" t="e">
        <f t="shared" ref="CN51" ca="1" si="629">+CN49/CJ49-1</f>
        <v>#NAME?</v>
      </c>
      <c r="CO51" s="40" t="e">
        <f t="shared" ref="CO51" ca="1" si="630">+CO49/CK49-1</f>
        <v>#NAME?</v>
      </c>
      <c r="CP51" s="40" t="e">
        <f t="shared" ref="CP51" ca="1" si="631">+CP49/CL49-1</f>
        <v>#NAME?</v>
      </c>
      <c r="CQ51" s="40" t="e">
        <f t="shared" ref="CQ51" ca="1" si="632">+CQ49/CM49-1</f>
        <v>#NAME?</v>
      </c>
      <c r="CR51" s="40" t="e">
        <f t="shared" ref="CR51" ca="1" si="633">+CR49/CN49-1</f>
        <v>#NAME?</v>
      </c>
      <c r="CS51" s="40" t="e">
        <f t="shared" ref="CS51" ca="1" si="634">+CS49/CO49-1</f>
        <v>#NAME?</v>
      </c>
      <c r="CT51" s="40" t="e">
        <f t="shared" ref="CT51" ca="1" si="635">+CT49/CP49-1</f>
        <v>#NAME?</v>
      </c>
      <c r="CU51" s="40" t="e">
        <f t="shared" ref="CU51" ca="1" si="636">+CU49/CQ49-1</f>
        <v>#NAME?</v>
      </c>
      <c r="CV51" s="40" t="e">
        <f t="shared" ref="CV51" ca="1" si="637">+CV49/CR49-1</f>
        <v>#NAME?</v>
      </c>
      <c r="CW51" s="40" t="e">
        <f t="shared" ref="CW51" ca="1" si="638">+CW49/CS49-1</f>
        <v>#NAME?</v>
      </c>
      <c r="CX51" s="40" t="e">
        <f t="shared" ref="CX51" ca="1" si="639">+CX49/CT49-1</f>
        <v>#NAME?</v>
      </c>
      <c r="CY51" s="40" t="e">
        <f t="shared" ref="CY51" ca="1" si="640">+CY49/CU49-1</f>
        <v>#NAME?</v>
      </c>
      <c r="CZ51" s="40" t="e">
        <f t="shared" ref="CZ51" ca="1" si="641">+CZ49/CV49-1</f>
        <v>#NAME?</v>
      </c>
      <c r="DA51" s="40" t="e">
        <f t="shared" ref="DA51" ca="1" si="642">+DA49/CW49-1</f>
        <v>#NAME?</v>
      </c>
      <c r="DB51" s="40" t="e">
        <f t="shared" ref="DB51" ca="1" si="643">+DB49/CX49-1</f>
        <v>#NAME?</v>
      </c>
      <c r="DE51" s="122"/>
      <c r="DF51" s="39">
        <v>0.11809757173880309</v>
      </c>
    </row>
    <row r="52" spans="1:110" s="39" customFormat="1" x14ac:dyDescent="0.2">
      <c r="A52" s="39" t="s">
        <v>452</v>
      </c>
      <c r="AB52" s="40"/>
      <c r="AC52" s="40"/>
      <c r="AD52" s="40"/>
      <c r="AE52" s="40"/>
      <c r="AJ52" s="39" t="e">
        <f ca="1">+IF(AI49&lt;0,1-AJ49/AI49,AJ49/AI49-1)</f>
        <v>#NAME?</v>
      </c>
      <c r="AK52" s="39" t="e">
        <f t="shared" ref="AK52:AM52" ca="1" si="644">+IF(AJ49&lt;0,1-AK49/AJ49,AK49/AJ49-1)</f>
        <v>#NAME?</v>
      </c>
      <c r="AL52" s="39" t="e">
        <f t="shared" ca="1" si="644"/>
        <v>#NAME?</v>
      </c>
      <c r="AM52" s="39" t="e">
        <f t="shared" ca="1" si="644"/>
        <v>#NAME?</v>
      </c>
      <c r="AN52" s="39" t="e">
        <f t="shared" ref="AN52" ca="1" si="645">+IF(AM49&lt;0,1-AN49/AM49,AN49/AM49-1)</f>
        <v>#NAME?</v>
      </c>
      <c r="AO52" s="39" t="e">
        <f t="shared" ref="AO52" ca="1" si="646">+IF(AN49&lt;0,1-AO49/AN49,AO49/AN49-1)</f>
        <v>#NAME?</v>
      </c>
      <c r="AP52" s="39" t="e">
        <f t="shared" ref="AP52" ca="1" si="647">+IF(AO49&lt;0,1-AP49/AO49,AP49/AO49-1)</f>
        <v>#NAME?</v>
      </c>
      <c r="AQ52" s="39" t="e">
        <f t="shared" ref="AQ52" ca="1" si="648">+IF(AP49&lt;0,1-AQ49/AP49,AQ49/AP49-1)</f>
        <v>#NAME?</v>
      </c>
      <c r="AR52" s="39" t="e">
        <f t="shared" ref="AR52" ca="1" si="649">+IF(AQ49&lt;0,1-AR49/AQ49,AR49/AQ49-1)</f>
        <v>#NAME?</v>
      </c>
      <c r="AS52" s="39" t="e">
        <f t="shared" ref="AS52" ca="1" si="650">+IF(AR49&lt;0,1-AS49/AR49,AS49/AR49-1)</f>
        <v>#NAME?</v>
      </c>
      <c r="AT52" s="39" t="e">
        <f t="shared" ref="AT52" ca="1" si="651">+IF(AS49&lt;0,1-AT49/AS49,AT49/AS49-1)</f>
        <v>#NAME?</v>
      </c>
      <c r="AU52" s="39" t="e">
        <f t="shared" ref="AU52" ca="1" si="652">+IF(AT49&lt;0,1-AU49/AT49,AU49/AT49-1)</f>
        <v>#NAME?</v>
      </c>
      <c r="AV52" s="39" t="e">
        <f t="shared" ref="AV52" ca="1" si="653">+IF(AU49&lt;0,1-AV49/AU49,AV49/AU49-1)</f>
        <v>#NAME?</v>
      </c>
      <c r="AW52" s="39" t="e">
        <f t="shared" ref="AW52" ca="1" si="654">+IF(AV49&lt;0,1-AW49/AV49,AW49/AV49-1)</f>
        <v>#NAME?</v>
      </c>
      <c r="AX52" s="39" t="e">
        <f t="shared" ref="AX52" ca="1" si="655">+IF(AW49&lt;0,1-AX49/AW49,AX49/AW49-1)</f>
        <v>#NAME?</v>
      </c>
      <c r="AY52" s="39" t="e">
        <f t="shared" ref="AY52" ca="1" si="656">+IF(AX49&lt;0,1-AY49/AX49,AY49/AX49-1)</f>
        <v>#NAME?</v>
      </c>
      <c r="AZ52" s="39" t="e">
        <f t="shared" ref="AZ52" ca="1" si="657">+IF(AY49&lt;0,1-AZ49/AY49,AZ49/AY49-1)</f>
        <v>#NAME?</v>
      </c>
      <c r="BA52" s="39" t="e">
        <f t="shared" ref="BA52" ca="1" si="658">+IF(AZ49&lt;0,1-BA49/AZ49,BA49/AZ49-1)</f>
        <v>#NAME?</v>
      </c>
      <c r="BB52" s="39" t="e">
        <f t="shared" ref="BB52" ca="1" si="659">+IF(BA49&lt;0,1-BB49/BA49,BB49/BA49-1)</f>
        <v>#NAME?</v>
      </c>
      <c r="BC52" s="39" t="e">
        <f t="shared" ref="BC52" ca="1" si="660">+IF(BB49&lt;0,1-BC49/BB49,BC49/BB49-1)</f>
        <v>#NAME?</v>
      </c>
      <c r="BD52" s="39" t="e">
        <f t="shared" ref="BD52" ca="1" si="661">+IF(BC49&lt;0,1-BD49/BC49,BD49/BC49-1)</f>
        <v>#NAME?</v>
      </c>
      <c r="BE52" s="39" t="e">
        <f t="shared" ref="BE52" ca="1" si="662">+IF(BD49&lt;0,1-BE49/BD49,BE49/BD49-1)</f>
        <v>#NAME?</v>
      </c>
      <c r="BF52" s="39" t="e">
        <f t="shared" ref="BF52" ca="1" si="663">+IF(BE49&lt;0,1-BF49/BE49,BF49/BE49-1)</f>
        <v>#NAME?</v>
      </c>
      <c r="BG52" s="39" t="e">
        <f t="shared" ref="BG52" ca="1" si="664">+IF(BF49&lt;0,1-BG49/BF49,BG49/BF49-1)</f>
        <v>#NAME?</v>
      </c>
      <c r="BH52" s="39" t="e">
        <f t="shared" ref="BH52" ca="1" si="665">+IF(BG49&lt;0,1-BH49/BG49,BH49/BG49-1)</f>
        <v>#NAME?</v>
      </c>
      <c r="BI52" s="39" t="e">
        <f t="shared" ref="BI52" ca="1" si="666">+IF(BH49&lt;0,1-BI49/BH49,BI49/BH49-1)</f>
        <v>#NAME?</v>
      </c>
      <c r="BJ52" s="39" t="e">
        <f t="shared" ref="BJ52" ca="1" si="667">+IF(BI49&lt;0,1-BJ49/BI49,BJ49/BI49-1)</f>
        <v>#NAME?</v>
      </c>
      <c r="BK52" s="39" t="e">
        <f t="shared" ref="BK52" ca="1" si="668">+IF(BJ49&lt;0,1-BK49/BJ49,BK49/BJ49-1)</f>
        <v>#NAME?</v>
      </c>
      <c r="BL52" s="39" t="e">
        <f t="shared" ref="BL52" ca="1" si="669">+IF(BK49&lt;0,1-BL49/BK49,BL49/BK49-1)</f>
        <v>#NAME?</v>
      </c>
      <c r="BM52" s="39" t="e">
        <f t="shared" ref="BM52" ca="1" si="670">+IF(BL49&lt;0,1-BM49/BL49,BM49/BL49-1)</f>
        <v>#NAME?</v>
      </c>
      <c r="BN52" s="39" t="e">
        <f t="shared" ref="BN52" ca="1" si="671">+IF(BM49&lt;0,1-BN49/BM49,BN49/BM49-1)</f>
        <v>#NAME?</v>
      </c>
      <c r="BO52" s="39" t="e">
        <f t="shared" ref="BO52" ca="1" si="672">+IF(BN49&lt;0,1-BO49/BN49,BO49/BN49-1)</f>
        <v>#NAME?</v>
      </c>
      <c r="BP52" s="39" t="e">
        <f t="shared" ref="BP52" ca="1" si="673">+IF(BO49&lt;0,1-BP49/BO49,BP49/BO49-1)</f>
        <v>#NAME?</v>
      </c>
      <c r="BQ52" s="39" t="e">
        <f t="shared" ref="BQ52" ca="1" si="674">+IF(BP49&lt;0,1-BQ49/BP49,BQ49/BP49-1)</f>
        <v>#NAME?</v>
      </c>
      <c r="BR52" s="39" t="e">
        <f t="shared" ref="BR52" ca="1" si="675">+IF(BQ49&lt;0,1-BR49/BQ49,BR49/BQ49-1)</f>
        <v>#NAME?</v>
      </c>
      <c r="BS52" s="39" t="e">
        <f t="shared" ref="BS52" ca="1" si="676">+IF(BR49&lt;0,1-BS49/BR49,BS49/BR49-1)</f>
        <v>#NAME?</v>
      </c>
      <c r="BT52" s="39" t="e">
        <f t="shared" ref="BT52" ca="1" si="677">+IF(BS49&lt;0,1-BT49/BS49,BT49/BS49-1)</f>
        <v>#NAME?</v>
      </c>
      <c r="BU52" s="39" t="e">
        <f t="shared" ref="BU52" ca="1" si="678">+IF(BT49&lt;0,1-BU49/BT49,BU49/BT49-1)</f>
        <v>#NAME?</v>
      </c>
      <c r="BV52" s="39" t="e">
        <f t="shared" ref="BV52" ca="1" si="679">+IF(BU49&lt;0,1-BV49/BU49,BV49/BU49-1)</f>
        <v>#NAME?</v>
      </c>
      <c r="BW52" s="39" t="e">
        <f t="shared" ref="BW52" ca="1" si="680">+IF(BV49&lt;0,1-BW49/BV49,BW49/BV49-1)</f>
        <v>#NAME?</v>
      </c>
      <c r="BX52" s="39" t="e">
        <f t="shared" ref="BX52" ca="1" si="681">+IF(BW49&lt;0,1-BX49/BW49,BX49/BW49-1)</f>
        <v>#NAME?</v>
      </c>
      <c r="BY52" s="39" t="e">
        <f t="shared" ref="BY52" ca="1" si="682">+IF(BX49&lt;0,1-BY49/BX49,BY49/BX49-1)</f>
        <v>#NAME?</v>
      </c>
      <c r="BZ52" s="39" t="e">
        <f t="shared" ref="BZ52" ca="1" si="683">+IF(BY49&lt;0,1-BZ49/BY49,BZ49/BY49-1)</f>
        <v>#NAME?</v>
      </c>
      <c r="CA52" s="39" t="e">
        <f t="shared" ref="CA52" ca="1" si="684">+IF(BZ49&lt;0,1-CA49/BZ49,CA49/BZ49-1)</f>
        <v>#NAME?</v>
      </c>
      <c r="CB52" s="39" t="e">
        <f t="shared" ref="CB52" ca="1" si="685">+IF(CA49&lt;0,1-CB49/CA49,CB49/CA49-1)</f>
        <v>#NAME?</v>
      </c>
      <c r="CC52" s="39" t="e">
        <f t="shared" ref="CC52" ca="1" si="686">+IF(CB49&lt;0,1-CC49/CB49,CC49/CB49-1)</f>
        <v>#NAME?</v>
      </c>
      <c r="CD52" s="39" t="e">
        <f t="shared" ref="CD52" ca="1" si="687">+IF(CC49&lt;0,1-CD49/CC49,CD49/CC49-1)</f>
        <v>#NAME?</v>
      </c>
      <c r="CE52" s="39" t="e">
        <f t="shared" ref="CE52" ca="1" si="688">+IF(CD49&lt;0,1-CE49/CD49,CE49/CD49-1)</f>
        <v>#NAME?</v>
      </c>
      <c r="CF52" s="39" t="e">
        <f t="shared" ref="CF52" ca="1" si="689">+IF(CE49&lt;0,1-CF49/CE49,CF49/CE49-1)</f>
        <v>#NAME?</v>
      </c>
      <c r="CG52" s="39" t="e">
        <f t="shared" ref="CG52" ca="1" si="690">+IF(CF49&lt;0,1-CG49/CF49,CG49/CF49-1)</f>
        <v>#NAME?</v>
      </c>
      <c r="CH52" s="39" t="e">
        <f t="shared" ref="CH52:CL52" ca="1" si="691">+IF(CG49&lt;0,1-CH49/CG49,CH49/CG49-1)</f>
        <v>#NAME?</v>
      </c>
      <c r="CI52" s="39" t="e">
        <f t="shared" ca="1" si="691"/>
        <v>#NAME?</v>
      </c>
      <c r="CJ52" s="39" t="e">
        <f t="shared" ca="1" si="691"/>
        <v>#NAME?</v>
      </c>
      <c r="CK52" s="39" t="e">
        <f t="shared" ca="1" si="691"/>
        <v>#NAME?</v>
      </c>
      <c r="CL52" s="39" t="e">
        <f t="shared" ca="1" si="691"/>
        <v>#NAME?</v>
      </c>
      <c r="CM52" s="40" t="e">
        <f t="shared" ref="CM52" ca="1" si="692">+CM49/CL49-1</f>
        <v>#NAME?</v>
      </c>
      <c r="CN52" s="40" t="e">
        <f t="shared" ref="CN52" ca="1" si="693">+CN49/CM49-1</f>
        <v>#NAME?</v>
      </c>
      <c r="CO52" s="40" t="e">
        <f t="shared" ref="CO52" ca="1" si="694">+CO49/CN49-1</f>
        <v>#NAME?</v>
      </c>
      <c r="CP52" s="40" t="e">
        <f t="shared" ref="CP52" ca="1" si="695">+CP49/CO49-1</f>
        <v>#NAME?</v>
      </c>
      <c r="CQ52" s="40" t="e">
        <f t="shared" ref="CQ52" ca="1" si="696">+CQ49/CP49-1</f>
        <v>#NAME?</v>
      </c>
      <c r="CR52" s="40" t="e">
        <f t="shared" ref="CR52" ca="1" si="697">+CR49/CQ49-1</f>
        <v>#NAME?</v>
      </c>
      <c r="CS52" s="40" t="e">
        <f t="shared" ref="CS52" ca="1" si="698">+CS49/CR49-1</f>
        <v>#NAME?</v>
      </c>
      <c r="CT52" s="40" t="e">
        <f t="shared" ref="CT52" ca="1" si="699">+CT49/CS49-1</f>
        <v>#NAME?</v>
      </c>
      <c r="CU52" s="40" t="e">
        <f t="shared" ref="CU52" ca="1" si="700">+CU49/CT49-1</f>
        <v>#NAME?</v>
      </c>
      <c r="CV52" s="40" t="e">
        <f t="shared" ref="CV52" ca="1" si="701">+CV49/CU49-1</f>
        <v>#NAME?</v>
      </c>
      <c r="CW52" s="40" t="e">
        <f t="shared" ref="CW52" ca="1" si="702">+CW49/CV49-1</f>
        <v>#NAME?</v>
      </c>
      <c r="CX52" s="40" t="e">
        <f t="shared" ref="CX52" ca="1" si="703">+CX49/CW49-1</f>
        <v>#NAME?</v>
      </c>
      <c r="CY52" s="40" t="e">
        <f t="shared" ref="CY52" ca="1" si="704">+CY49/CX49-1</f>
        <v>#NAME?</v>
      </c>
      <c r="CZ52" s="40" t="e">
        <f t="shared" ref="CZ52" ca="1" si="705">+CZ49/CY49-1</f>
        <v>#NAME?</v>
      </c>
      <c r="DA52" s="40" t="e">
        <f t="shared" ref="DA52" ca="1" si="706">+DA49/CZ49-1</f>
        <v>#NAME?</v>
      </c>
      <c r="DB52" s="40" t="e">
        <f t="shared" ref="DB52" ca="1" si="707">+DB49/DA49-1</f>
        <v>#NAME?</v>
      </c>
      <c r="DE52" s="122"/>
    </row>
    <row r="53" spans="1:110" s="75" customFormat="1" x14ac:dyDescent="0.2">
      <c r="A53" s="23" t="s">
        <v>23</v>
      </c>
      <c r="B53" s="75" t="e">
        <f ca="1">'Annual Raw'!C32</f>
        <v>#NAME?</v>
      </c>
      <c r="C53" s="75" t="e">
        <f ca="1">'Annual Raw'!D32</f>
        <v>#NAME?</v>
      </c>
      <c r="D53" s="75" t="e">
        <f ca="1">'Annual Raw'!E32</f>
        <v>#NAME?</v>
      </c>
      <c r="E53" s="75" t="e">
        <f ca="1">'Annual Raw'!F32</f>
        <v>#NAME?</v>
      </c>
      <c r="F53" s="75" t="e">
        <f ca="1">'Annual Raw'!G32</f>
        <v>#NAME?</v>
      </c>
      <c r="G53" s="75" t="e">
        <f ca="1">'Annual Raw'!H32</f>
        <v>#NAME?</v>
      </c>
      <c r="H53" s="75" t="e">
        <f ca="1">'Annual Raw'!I32</f>
        <v>#NAME?</v>
      </c>
      <c r="I53" s="75" t="e">
        <f ca="1">'Annual Raw'!J32</f>
        <v>#NAME?</v>
      </c>
      <c r="J53" s="75" t="e">
        <f ca="1">'Annual Raw'!K32</f>
        <v>#NAME?</v>
      </c>
      <c r="K53" s="75" t="e">
        <f ca="1">'Annual Raw'!L32</f>
        <v>#NAME?</v>
      </c>
      <c r="L53" s="75" t="e">
        <f ca="1">'Annual Raw'!M32</f>
        <v>#NAME?</v>
      </c>
      <c r="M53" s="75" t="e">
        <f ca="1">'Annual Raw'!N32</f>
        <v>#NAME?</v>
      </c>
      <c r="N53" s="75" t="e">
        <f ca="1">'Annual Raw'!O32</f>
        <v>#NAME?</v>
      </c>
      <c r="O53" s="75" t="e">
        <f ca="1">'Annual Raw'!P32</f>
        <v>#NAME?</v>
      </c>
      <c r="P53" s="75" t="e">
        <f ca="1">'Annual Raw'!Q32</f>
        <v>#NAME?</v>
      </c>
      <c r="Q53" s="75" t="e">
        <f ca="1">'Annual Raw'!R32</f>
        <v>#NAME?</v>
      </c>
      <c r="R53" s="75" t="e">
        <f ca="1">'Annual Raw'!S32</f>
        <v>#NAME?</v>
      </c>
      <c r="S53" s="75" t="e">
        <f ca="1">'Annual Raw'!T32</f>
        <v>#NAME?</v>
      </c>
      <c r="T53" s="75" t="e">
        <f ca="1">'Annual Raw'!U32</f>
        <v>#NAME?</v>
      </c>
      <c r="U53" s="75" t="e">
        <f ca="1">'Annual Raw'!V32</f>
        <v>#NAME?</v>
      </c>
      <c r="V53" s="75" t="e">
        <f ca="1">'Annual Raw'!W32</f>
        <v>#NAME?</v>
      </c>
      <c r="W53" s="75" t="e">
        <f ca="1">'Annual Raw'!X32</f>
        <v>#NAME?</v>
      </c>
      <c r="X53" s="75" t="e">
        <f ca="1">'Annual Raw'!Y32</f>
        <v>#NAME?</v>
      </c>
      <c r="Y53" s="75" t="e">
        <f ca="1">'Annual Raw'!Z32</f>
        <v>#NAME?</v>
      </c>
      <c r="Z53" s="75" t="e">
        <f ca="1">'Annual Raw'!AA32</f>
        <v>#NAME?</v>
      </c>
      <c r="AA53" s="75" t="e">
        <f ca="1">'Annual Raw'!AB32</f>
        <v>#NAME?</v>
      </c>
      <c r="AB53" s="76" t="e">
        <f t="shared" ref="AB53:AB54" ca="1" si="708">+SUM(CM53:CP53)</f>
        <v>#NAME?</v>
      </c>
      <c r="AC53" s="76" t="e">
        <f t="shared" ref="AC53:AC54" ca="1" si="709">+SUM(CQ53:CT53)</f>
        <v>#NAME?</v>
      </c>
      <c r="AD53" s="76" t="e">
        <f t="shared" ref="AD53:AD54" ca="1" si="710">+SUM(CU53:CX53)</f>
        <v>#NAME?</v>
      </c>
      <c r="AE53" s="76" t="e">
        <f t="shared" ref="AE53:AE54" ca="1" si="711">+SUM(CY53:DB53)</f>
        <v>#NAME?</v>
      </c>
      <c r="AI53" s="75" t="e">
        <f ca="1">'QTR Raw'!C34</f>
        <v>#NAME?</v>
      </c>
      <c r="AJ53" s="75" t="e">
        <f ca="1">'QTR Raw'!D34</f>
        <v>#NAME?</v>
      </c>
      <c r="AK53" s="75" t="e">
        <f ca="1">'QTR Raw'!E34</f>
        <v>#NAME?</v>
      </c>
      <c r="AL53" s="75" t="e">
        <f ca="1">'QTR Raw'!F34</f>
        <v>#NAME?</v>
      </c>
      <c r="AM53" s="75" t="e">
        <f ca="1">'QTR Raw'!G34</f>
        <v>#NAME?</v>
      </c>
      <c r="AN53" s="75" t="e">
        <f ca="1">'QTR Raw'!H34</f>
        <v>#NAME?</v>
      </c>
      <c r="AO53" s="75" t="e">
        <f ca="1">'QTR Raw'!I34</f>
        <v>#NAME?</v>
      </c>
      <c r="AP53" s="75" t="e">
        <f ca="1">'QTR Raw'!J34</f>
        <v>#NAME?</v>
      </c>
      <c r="AQ53" s="75" t="e">
        <f ca="1">'QTR Raw'!K34</f>
        <v>#NAME?</v>
      </c>
      <c r="AR53" s="75" t="e">
        <f ca="1">'QTR Raw'!L34</f>
        <v>#NAME?</v>
      </c>
      <c r="AS53" s="75" t="e">
        <f ca="1">'QTR Raw'!M34</f>
        <v>#NAME?</v>
      </c>
      <c r="AT53" s="75" t="e">
        <f ca="1">'QTR Raw'!N34</f>
        <v>#NAME?</v>
      </c>
      <c r="AU53" s="75" t="e">
        <f ca="1">'QTR Raw'!O34</f>
        <v>#NAME?</v>
      </c>
      <c r="AV53" s="75" t="e">
        <f ca="1">'QTR Raw'!P34</f>
        <v>#NAME?</v>
      </c>
      <c r="AW53" s="75" t="e">
        <f ca="1">'QTR Raw'!Q34</f>
        <v>#NAME?</v>
      </c>
      <c r="AX53" s="75" t="e">
        <f ca="1">'QTR Raw'!R34</f>
        <v>#NAME?</v>
      </c>
      <c r="AY53" s="75" t="e">
        <f ca="1">'QTR Raw'!S34</f>
        <v>#NAME?</v>
      </c>
      <c r="AZ53" s="75" t="e">
        <f ca="1">'QTR Raw'!T34</f>
        <v>#NAME?</v>
      </c>
      <c r="BA53" s="75" t="e">
        <f ca="1">'QTR Raw'!U34</f>
        <v>#NAME?</v>
      </c>
      <c r="BB53" s="75" t="e">
        <f ca="1">'QTR Raw'!V34</f>
        <v>#NAME?</v>
      </c>
      <c r="BC53" s="75" t="e">
        <f ca="1">'QTR Raw'!W34</f>
        <v>#NAME?</v>
      </c>
      <c r="BD53" s="75" t="e">
        <f ca="1">'QTR Raw'!X34</f>
        <v>#NAME?</v>
      </c>
      <c r="BE53" s="75" t="e">
        <f ca="1">'QTR Raw'!Y34</f>
        <v>#NAME?</v>
      </c>
      <c r="BF53" s="75" t="e">
        <f ca="1">'QTR Raw'!Z34</f>
        <v>#NAME?</v>
      </c>
      <c r="BG53" s="75" t="e">
        <f ca="1">'QTR Raw'!AA34</f>
        <v>#NAME?</v>
      </c>
      <c r="BH53" s="75" t="e">
        <f ca="1">'QTR Raw'!AB34</f>
        <v>#NAME?</v>
      </c>
      <c r="BI53" s="75" t="e">
        <f ca="1">'QTR Raw'!AC34</f>
        <v>#NAME?</v>
      </c>
      <c r="BJ53" s="75" t="e">
        <f ca="1">'QTR Raw'!AD34</f>
        <v>#NAME?</v>
      </c>
      <c r="BK53" s="75" t="e">
        <f ca="1">'QTR Raw'!AE34</f>
        <v>#NAME?</v>
      </c>
      <c r="BL53" s="75" t="e">
        <f ca="1">'QTR Raw'!AF34</f>
        <v>#NAME?</v>
      </c>
      <c r="BM53" s="75" t="e">
        <f ca="1">'QTR Raw'!AG34</f>
        <v>#NAME?</v>
      </c>
      <c r="BN53" s="75" t="e">
        <f ca="1">'QTR Raw'!AH34</f>
        <v>#NAME?</v>
      </c>
      <c r="BO53" s="75" t="e">
        <f ca="1">'QTR Raw'!AI34</f>
        <v>#NAME?</v>
      </c>
      <c r="BP53" s="75" t="e">
        <f ca="1">'QTR Raw'!AJ34</f>
        <v>#NAME?</v>
      </c>
      <c r="BQ53" s="75" t="e">
        <f ca="1">'QTR Raw'!AK34</f>
        <v>#NAME?</v>
      </c>
      <c r="BR53" s="75" t="e">
        <f ca="1">'QTR Raw'!AL34</f>
        <v>#NAME?</v>
      </c>
      <c r="BS53" s="75" t="e">
        <f ca="1">'QTR Raw'!AM34</f>
        <v>#NAME?</v>
      </c>
      <c r="BT53" s="75" t="e">
        <f ca="1">'QTR Raw'!AN34</f>
        <v>#NAME?</v>
      </c>
      <c r="BU53" s="75" t="e">
        <f ca="1">'QTR Raw'!AO34</f>
        <v>#NAME?</v>
      </c>
      <c r="BV53" s="75" t="e">
        <f ca="1">'QTR Raw'!AP34</f>
        <v>#NAME?</v>
      </c>
      <c r="BW53" s="75" t="e">
        <f ca="1">'QTR Raw'!AQ34</f>
        <v>#NAME?</v>
      </c>
      <c r="BX53" s="75" t="e">
        <f ca="1">'QTR Raw'!AR34</f>
        <v>#NAME?</v>
      </c>
      <c r="BY53" s="75" t="e">
        <f ca="1">'QTR Raw'!AS34</f>
        <v>#NAME?</v>
      </c>
      <c r="BZ53" s="75" t="e">
        <f ca="1">'QTR Raw'!AT34</f>
        <v>#NAME?</v>
      </c>
      <c r="CA53" s="75" t="e">
        <f ca="1">'QTR Raw'!AU34</f>
        <v>#NAME?</v>
      </c>
      <c r="CB53" s="75" t="e">
        <f ca="1">'QTR Raw'!AV34</f>
        <v>#NAME?</v>
      </c>
      <c r="CC53" s="75" t="e">
        <f ca="1">'QTR Raw'!AW34</f>
        <v>#NAME?</v>
      </c>
      <c r="CD53" s="75" t="e">
        <f ca="1">'QTR Raw'!AX34</f>
        <v>#NAME?</v>
      </c>
      <c r="CE53" s="75" t="e">
        <f ca="1">'QTR Raw'!AY34</f>
        <v>#NAME?</v>
      </c>
      <c r="CF53" s="75" t="e">
        <f ca="1">'QTR Raw'!AZ34</f>
        <v>#NAME?</v>
      </c>
      <c r="CG53" s="75" t="e">
        <f ca="1">'QTR Raw'!BA34</f>
        <v>#NAME?</v>
      </c>
      <c r="CH53" s="75" t="e">
        <f ca="1">'QTR Raw'!BB34</f>
        <v>#NAME?</v>
      </c>
      <c r="CI53" s="75" t="e">
        <f ca="1">'QTR Raw'!BC34</f>
        <v>#NAME?</v>
      </c>
      <c r="CJ53" s="75" t="e">
        <f ca="1">'QTR Raw'!BD34</f>
        <v>#NAME?</v>
      </c>
      <c r="CK53" s="75" t="e">
        <f ca="1">'QTR Raw'!BE34</f>
        <v>#NAME?</v>
      </c>
      <c r="CL53" s="75" t="e">
        <f ca="1">'QTR Raw'!BF34</f>
        <v>#NAME?</v>
      </c>
      <c r="CM53" s="76" t="e">
        <f t="shared" ref="CM53:CM54" ca="1" si="712">+CL53</f>
        <v>#NAME?</v>
      </c>
      <c r="CN53" s="76" t="e">
        <f t="shared" ref="CN53:CN54" ca="1" si="713">+CM53</f>
        <v>#NAME?</v>
      </c>
      <c r="CO53" s="76" t="e">
        <f t="shared" ref="CO53:CO54" ca="1" si="714">+CN53</f>
        <v>#NAME?</v>
      </c>
      <c r="CP53" s="76" t="e">
        <f t="shared" ref="CP53:CP54" ca="1" si="715">+CO53</f>
        <v>#NAME?</v>
      </c>
      <c r="CQ53" s="76" t="e">
        <f t="shared" ref="CQ53:CQ54" ca="1" si="716">+CP53</f>
        <v>#NAME?</v>
      </c>
      <c r="CR53" s="76" t="e">
        <f t="shared" ref="CR53:CR54" ca="1" si="717">+CQ53</f>
        <v>#NAME?</v>
      </c>
      <c r="CS53" s="76" t="e">
        <f t="shared" ref="CS53:CS54" ca="1" si="718">+CR53</f>
        <v>#NAME?</v>
      </c>
      <c r="CT53" s="76" t="e">
        <f t="shared" ref="CT53:CT54" ca="1" si="719">+CS53</f>
        <v>#NAME?</v>
      </c>
      <c r="CU53" s="76" t="e">
        <f t="shared" ref="CU53:CU54" ca="1" si="720">+CT53</f>
        <v>#NAME?</v>
      </c>
      <c r="CV53" s="76" t="e">
        <f t="shared" ref="CV53:CV54" ca="1" si="721">+CU53</f>
        <v>#NAME?</v>
      </c>
      <c r="CW53" s="76" t="e">
        <f t="shared" ref="CW53:CW54" ca="1" si="722">+CV53</f>
        <v>#NAME?</v>
      </c>
      <c r="CX53" s="76" t="e">
        <f t="shared" ref="CX53:CX54" ca="1" si="723">+CW53</f>
        <v>#NAME?</v>
      </c>
      <c r="CY53" s="76" t="e">
        <f t="shared" ref="CY53:CY54" ca="1" si="724">+CX53</f>
        <v>#NAME?</v>
      </c>
      <c r="CZ53" s="76" t="e">
        <f t="shared" ref="CZ53:CZ54" ca="1" si="725">+CY53</f>
        <v>#NAME?</v>
      </c>
      <c r="DA53" s="76" t="e">
        <f t="shared" ref="DA53:DA54" ca="1" si="726">+CZ53</f>
        <v>#NAME?</v>
      </c>
      <c r="DB53" s="76" t="e">
        <f t="shared" ref="DB53:DB54" ca="1" si="727">+DA53</f>
        <v>#NAME?</v>
      </c>
      <c r="DE53" s="131"/>
      <c r="DF53" s="75">
        <v>-908.9</v>
      </c>
    </row>
    <row r="54" spans="1:110" s="75" customFormat="1" x14ac:dyDescent="0.2">
      <c r="A54" s="23" t="s">
        <v>24</v>
      </c>
      <c r="B54" s="75" t="e">
        <f ca="1">'Annual Raw'!C33+'Annual Raw'!C28</f>
        <v>#NAME?</v>
      </c>
      <c r="C54" s="75" t="e">
        <f ca="1">'Annual Raw'!D33+'Annual Raw'!D28</f>
        <v>#NAME?</v>
      </c>
      <c r="D54" s="75" t="e">
        <f ca="1">'Annual Raw'!E33+'Annual Raw'!E28</f>
        <v>#NAME?</v>
      </c>
      <c r="E54" s="75" t="e">
        <f ca="1">'Annual Raw'!F33+'Annual Raw'!F28</f>
        <v>#NAME?</v>
      </c>
      <c r="F54" s="75" t="e">
        <f ca="1">'Annual Raw'!G33+'Annual Raw'!G28</f>
        <v>#NAME?</v>
      </c>
      <c r="G54" s="75" t="e">
        <f ca="1">'Annual Raw'!H33+'Annual Raw'!H28</f>
        <v>#NAME?</v>
      </c>
      <c r="H54" s="75" t="e">
        <f ca="1">'Annual Raw'!I33+'Annual Raw'!I28</f>
        <v>#NAME?</v>
      </c>
      <c r="I54" s="75" t="e">
        <f ca="1">'Annual Raw'!J33+'Annual Raw'!J28</f>
        <v>#NAME?</v>
      </c>
      <c r="J54" s="75" t="e">
        <f ca="1">'Annual Raw'!K33+'Annual Raw'!K28</f>
        <v>#NAME?</v>
      </c>
      <c r="K54" s="75" t="e">
        <f ca="1">'Annual Raw'!L33+'Annual Raw'!L28</f>
        <v>#NAME?</v>
      </c>
      <c r="L54" s="75" t="e">
        <f ca="1">'Annual Raw'!M33+'Annual Raw'!M28</f>
        <v>#NAME?</v>
      </c>
      <c r="M54" s="75" t="e">
        <f ca="1">'Annual Raw'!N33+'Annual Raw'!N28</f>
        <v>#NAME?</v>
      </c>
      <c r="N54" s="75" t="e">
        <f ca="1">'Annual Raw'!O33+'Annual Raw'!O28</f>
        <v>#NAME?</v>
      </c>
      <c r="O54" s="75" t="e">
        <f ca="1">'Annual Raw'!P33+'Annual Raw'!P28</f>
        <v>#NAME?</v>
      </c>
      <c r="P54" s="75" t="e">
        <f ca="1">'Annual Raw'!Q33+'Annual Raw'!Q28</f>
        <v>#NAME?</v>
      </c>
      <c r="Q54" s="75" t="e">
        <f ca="1">'Annual Raw'!R33+'Annual Raw'!R28</f>
        <v>#NAME?</v>
      </c>
      <c r="R54" s="75" t="e">
        <f ca="1">'Annual Raw'!S33+'Annual Raw'!S28</f>
        <v>#NAME?</v>
      </c>
      <c r="S54" s="75" t="e">
        <f ca="1">'Annual Raw'!T33+'Annual Raw'!T28</f>
        <v>#NAME?</v>
      </c>
      <c r="T54" s="75" t="e">
        <f ca="1">'Annual Raw'!U33+'Annual Raw'!U28</f>
        <v>#NAME?</v>
      </c>
      <c r="U54" s="75" t="e">
        <f ca="1">'Annual Raw'!V33+'Annual Raw'!V28</f>
        <v>#NAME?</v>
      </c>
      <c r="V54" s="75" t="e">
        <f ca="1">'Annual Raw'!W33+'Annual Raw'!W28</f>
        <v>#NAME?</v>
      </c>
      <c r="W54" s="75" t="e">
        <f ca="1">'Annual Raw'!X33+'Annual Raw'!X28</f>
        <v>#NAME?</v>
      </c>
      <c r="X54" s="75" t="e">
        <f ca="1">'Annual Raw'!Y33+'Annual Raw'!Y28</f>
        <v>#NAME?</v>
      </c>
      <c r="Y54" s="75" t="e">
        <f ca="1">'Annual Raw'!Z33+'Annual Raw'!Z28</f>
        <v>#NAME?</v>
      </c>
      <c r="Z54" s="75" t="e">
        <f ca="1">'Annual Raw'!AA33+'Annual Raw'!AA28</f>
        <v>#NAME?</v>
      </c>
      <c r="AA54" s="75" t="e">
        <f ca="1">'Annual Raw'!AB33+'Annual Raw'!AB28</f>
        <v>#NAME?</v>
      </c>
      <c r="AB54" s="76" t="e">
        <f t="shared" ca="1" si="708"/>
        <v>#NAME?</v>
      </c>
      <c r="AC54" s="76" t="e">
        <f t="shared" ca="1" si="709"/>
        <v>#NAME?</v>
      </c>
      <c r="AD54" s="76" t="e">
        <f t="shared" ca="1" si="710"/>
        <v>#NAME?</v>
      </c>
      <c r="AE54" s="76" t="e">
        <f t="shared" ca="1" si="711"/>
        <v>#NAME?</v>
      </c>
      <c r="AI54" s="75" t="e">
        <f ca="1">'QTR Raw'!C35</f>
        <v>#NAME?</v>
      </c>
      <c r="AJ54" s="75" t="e">
        <f ca="1">'QTR Raw'!D35</f>
        <v>#NAME?</v>
      </c>
      <c r="AK54" s="75" t="e">
        <f ca="1">'QTR Raw'!E35</f>
        <v>#NAME?</v>
      </c>
      <c r="AL54" s="75" t="e">
        <f ca="1">'QTR Raw'!F35</f>
        <v>#NAME?</v>
      </c>
      <c r="AM54" s="75" t="e">
        <f ca="1">'QTR Raw'!G35</f>
        <v>#NAME?</v>
      </c>
      <c r="AN54" s="75" t="e">
        <f ca="1">'QTR Raw'!H35</f>
        <v>#NAME?</v>
      </c>
      <c r="AO54" s="75" t="e">
        <f ca="1">'QTR Raw'!I35</f>
        <v>#NAME?</v>
      </c>
      <c r="AP54" s="75" t="e">
        <f ca="1">'QTR Raw'!J35</f>
        <v>#NAME?</v>
      </c>
      <c r="AQ54" s="75" t="e">
        <f ca="1">'QTR Raw'!K35</f>
        <v>#NAME?</v>
      </c>
      <c r="AR54" s="75" t="e">
        <f ca="1">'QTR Raw'!L35</f>
        <v>#NAME?</v>
      </c>
      <c r="AS54" s="75" t="e">
        <f ca="1">'QTR Raw'!M35</f>
        <v>#NAME?</v>
      </c>
      <c r="AT54" s="75" t="e">
        <f ca="1">'QTR Raw'!N35</f>
        <v>#NAME?</v>
      </c>
      <c r="AU54" s="75" t="e">
        <f ca="1">'QTR Raw'!O35</f>
        <v>#NAME?</v>
      </c>
      <c r="AV54" s="75" t="e">
        <f ca="1">'QTR Raw'!P35</f>
        <v>#NAME?</v>
      </c>
      <c r="AW54" s="75" t="e">
        <f ca="1">'QTR Raw'!Q35</f>
        <v>#NAME?</v>
      </c>
      <c r="AX54" s="75" t="e">
        <f ca="1">'QTR Raw'!R35</f>
        <v>#NAME?</v>
      </c>
      <c r="AY54" s="75" t="e">
        <f ca="1">'QTR Raw'!S35</f>
        <v>#NAME?</v>
      </c>
      <c r="AZ54" s="75" t="e">
        <f ca="1">'QTR Raw'!T35</f>
        <v>#NAME?</v>
      </c>
      <c r="BA54" s="75" t="e">
        <f ca="1">'QTR Raw'!U35</f>
        <v>#NAME?</v>
      </c>
      <c r="BB54" s="75" t="e">
        <f ca="1">'QTR Raw'!V35</f>
        <v>#NAME?</v>
      </c>
      <c r="BC54" s="75" t="e">
        <f ca="1">'QTR Raw'!W35</f>
        <v>#NAME?</v>
      </c>
      <c r="BD54" s="75" t="e">
        <f ca="1">'QTR Raw'!X35</f>
        <v>#NAME?</v>
      </c>
      <c r="BE54" s="75" t="e">
        <f ca="1">'QTR Raw'!Y35</f>
        <v>#NAME?</v>
      </c>
      <c r="BF54" s="75" t="e">
        <f ca="1">'QTR Raw'!Z35</f>
        <v>#NAME?</v>
      </c>
      <c r="BG54" s="75" t="e">
        <f ca="1">'QTR Raw'!AA35</f>
        <v>#NAME?</v>
      </c>
      <c r="BH54" s="75" t="e">
        <f ca="1">'QTR Raw'!AB35</f>
        <v>#NAME?</v>
      </c>
      <c r="BI54" s="75" t="e">
        <f ca="1">'QTR Raw'!AC35</f>
        <v>#NAME?</v>
      </c>
      <c r="BJ54" s="75" t="e">
        <f ca="1">'QTR Raw'!AD35</f>
        <v>#NAME?</v>
      </c>
      <c r="BK54" s="75" t="e">
        <f ca="1">'QTR Raw'!AE35</f>
        <v>#NAME?</v>
      </c>
      <c r="BL54" s="75" t="e">
        <f ca="1">'QTR Raw'!AF35</f>
        <v>#NAME?</v>
      </c>
      <c r="BM54" s="75" t="e">
        <f ca="1">'QTR Raw'!AG35</f>
        <v>#NAME?</v>
      </c>
      <c r="BN54" s="75" t="e">
        <f ca="1">'QTR Raw'!AH35</f>
        <v>#NAME?</v>
      </c>
      <c r="BO54" s="75" t="e">
        <f ca="1">'QTR Raw'!AI35</f>
        <v>#NAME?</v>
      </c>
      <c r="BP54" s="75" t="e">
        <f ca="1">'QTR Raw'!AJ35</f>
        <v>#NAME?</v>
      </c>
      <c r="BQ54" s="75" t="e">
        <f ca="1">'QTR Raw'!AK35</f>
        <v>#NAME?</v>
      </c>
      <c r="BR54" s="75" t="e">
        <f ca="1">'QTR Raw'!AL35</f>
        <v>#NAME?</v>
      </c>
      <c r="BS54" s="75" t="e">
        <f ca="1">'QTR Raw'!AM35</f>
        <v>#NAME?</v>
      </c>
      <c r="BT54" s="75" t="e">
        <f ca="1">'QTR Raw'!AN35</f>
        <v>#NAME?</v>
      </c>
      <c r="BU54" s="75" t="e">
        <f ca="1">'QTR Raw'!AO35</f>
        <v>#NAME?</v>
      </c>
      <c r="BV54" s="75" t="e">
        <f ca="1">'QTR Raw'!AP35</f>
        <v>#NAME?</v>
      </c>
      <c r="BW54" s="75" t="e">
        <f ca="1">'QTR Raw'!AQ35</f>
        <v>#NAME?</v>
      </c>
      <c r="BX54" s="75" t="e">
        <f ca="1">'QTR Raw'!AR35</f>
        <v>#NAME?</v>
      </c>
      <c r="BY54" s="75" t="e">
        <f ca="1">'QTR Raw'!AS35</f>
        <v>#NAME?</v>
      </c>
      <c r="BZ54" s="75" t="e">
        <f ca="1">'QTR Raw'!AT35</f>
        <v>#NAME?</v>
      </c>
      <c r="CA54" s="75" t="e">
        <f ca="1">'QTR Raw'!AU35</f>
        <v>#NAME?</v>
      </c>
      <c r="CB54" s="75" t="e">
        <f ca="1">'QTR Raw'!AV35</f>
        <v>#NAME?</v>
      </c>
      <c r="CC54" s="75" t="e">
        <f ca="1">'QTR Raw'!AW35</f>
        <v>#NAME?</v>
      </c>
      <c r="CD54" s="75" t="e">
        <f ca="1">'QTR Raw'!AX35</f>
        <v>#NAME?</v>
      </c>
      <c r="CE54" s="75" t="e">
        <f ca="1">'QTR Raw'!AY35</f>
        <v>#NAME?</v>
      </c>
      <c r="CF54" s="75" t="e">
        <f ca="1">'QTR Raw'!AZ35</f>
        <v>#NAME?</v>
      </c>
      <c r="CG54" s="75" t="e">
        <f ca="1">'QTR Raw'!BA35</f>
        <v>#NAME?</v>
      </c>
      <c r="CH54" s="75" t="e">
        <f ca="1">'QTR Raw'!BB35</f>
        <v>#NAME?</v>
      </c>
      <c r="CI54" s="75" t="e">
        <f ca="1">'QTR Raw'!BC35</f>
        <v>#NAME?</v>
      </c>
      <c r="CJ54" s="75" t="e">
        <f ca="1">'QTR Raw'!BD35</f>
        <v>#NAME?</v>
      </c>
      <c r="CK54" s="75" t="e">
        <f ca="1">'QTR Raw'!BE35</f>
        <v>#NAME?</v>
      </c>
      <c r="CL54" s="75" t="e">
        <f ca="1">'QTR Raw'!BF35</f>
        <v>#NAME?</v>
      </c>
      <c r="CM54" s="76" t="e">
        <f t="shared" ca="1" si="712"/>
        <v>#NAME?</v>
      </c>
      <c r="CN54" s="76" t="e">
        <f t="shared" ca="1" si="713"/>
        <v>#NAME?</v>
      </c>
      <c r="CO54" s="76" t="e">
        <f t="shared" ca="1" si="714"/>
        <v>#NAME?</v>
      </c>
      <c r="CP54" s="76" t="e">
        <f t="shared" ca="1" si="715"/>
        <v>#NAME?</v>
      </c>
      <c r="CQ54" s="76" t="e">
        <f t="shared" ca="1" si="716"/>
        <v>#NAME?</v>
      </c>
      <c r="CR54" s="76" t="e">
        <f t="shared" ca="1" si="717"/>
        <v>#NAME?</v>
      </c>
      <c r="CS54" s="76" t="e">
        <f t="shared" ca="1" si="718"/>
        <v>#NAME?</v>
      </c>
      <c r="CT54" s="76" t="e">
        <f t="shared" ca="1" si="719"/>
        <v>#NAME?</v>
      </c>
      <c r="CU54" s="76" t="e">
        <f t="shared" ca="1" si="720"/>
        <v>#NAME?</v>
      </c>
      <c r="CV54" s="76" t="e">
        <f t="shared" ca="1" si="721"/>
        <v>#NAME?</v>
      </c>
      <c r="CW54" s="76" t="e">
        <f t="shared" ca="1" si="722"/>
        <v>#NAME?</v>
      </c>
      <c r="CX54" s="76" t="e">
        <f t="shared" ca="1" si="723"/>
        <v>#NAME?</v>
      </c>
      <c r="CY54" s="76" t="e">
        <f t="shared" ca="1" si="724"/>
        <v>#NAME?</v>
      </c>
      <c r="CZ54" s="76" t="e">
        <f t="shared" ca="1" si="725"/>
        <v>#NAME?</v>
      </c>
      <c r="DA54" s="76" t="e">
        <f t="shared" ca="1" si="726"/>
        <v>#NAME?</v>
      </c>
      <c r="DB54" s="76" t="e">
        <f t="shared" ca="1" si="727"/>
        <v>#NAME?</v>
      </c>
      <c r="DE54" s="131"/>
      <c r="DF54" s="75">
        <v>20.05</v>
      </c>
    </row>
    <row r="55" spans="1:110" s="23" customFormat="1" x14ac:dyDescent="0.2">
      <c r="A55" s="23" t="s">
        <v>19</v>
      </c>
      <c r="B55" s="75" t="e">
        <f ca="1">'Annual Raw'!C29+'Annual Raw'!C31+'Annual Raw'!C34+'Annual Raw'!C36</f>
        <v>#NAME?</v>
      </c>
      <c r="C55" s="75" t="e">
        <f ca="1">'Annual Raw'!D29+'Annual Raw'!D31+'Annual Raw'!D34+'Annual Raw'!D36</f>
        <v>#NAME?</v>
      </c>
      <c r="D55" s="75" t="e">
        <f ca="1">'Annual Raw'!E29+'Annual Raw'!E31+'Annual Raw'!E34+'Annual Raw'!E36</f>
        <v>#NAME?</v>
      </c>
      <c r="E55" s="75" t="e">
        <f ca="1">'Annual Raw'!F29+'Annual Raw'!F31+'Annual Raw'!F34+'Annual Raw'!F36</f>
        <v>#NAME?</v>
      </c>
      <c r="F55" s="75" t="e">
        <f ca="1">'Annual Raw'!G29+'Annual Raw'!G31+'Annual Raw'!G34+'Annual Raw'!G36</f>
        <v>#NAME?</v>
      </c>
      <c r="G55" s="75" t="e">
        <f ca="1">'Annual Raw'!H29+'Annual Raw'!H31+'Annual Raw'!H34+'Annual Raw'!H36</f>
        <v>#NAME?</v>
      </c>
      <c r="H55" s="75" t="e">
        <f ca="1">'Annual Raw'!I29+'Annual Raw'!I31+'Annual Raw'!I34+'Annual Raw'!I36</f>
        <v>#NAME?</v>
      </c>
      <c r="I55" s="75" t="e">
        <f ca="1">'Annual Raw'!J29+'Annual Raw'!J31+'Annual Raw'!J34+'Annual Raw'!J36</f>
        <v>#NAME?</v>
      </c>
      <c r="J55" s="75" t="e">
        <f ca="1">'Annual Raw'!K29+'Annual Raw'!K31+'Annual Raw'!K34+'Annual Raw'!K36</f>
        <v>#NAME?</v>
      </c>
      <c r="K55" s="75" t="e">
        <f ca="1">'Annual Raw'!L29+'Annual Raw'!L31+'Annual Raw'!L34+'Annual Raw'!L36</f>
        <v>#NAME?</v>
      </c>
      <c r="L55" s="75" t="e">
        <f ca="1">'Annual Raw'!M29+'Annual Raw'!M31+'Annual Raw'!M34+'Annual Raw'!M36</f>
        <v>#NAME?</v>
      </c>
      <c r="M55" s="75" t="e">
        <f ca="1">'Annual Raw'!N29+'Annual Raw'!N31+'Annual Raw'!N34+'Annual Raw'!N36</f>
        <v>#NAME?</v>
      </c>
      <c r="N55" s="75" t="e">
        <f ca="1">'Annual Raw'!O29+'Annual Raw'!O31+'Annual Raw'!O34+'Annual Raw'!O36</f>
        <v>#NAME?</v>
      </c>
      <c r="O55" s="75" t="e">
        <f ca="1">'Annual Raw'!P29+'Annual Raw'!P31+'Annual Raw'!P34+'Annual Raw'!P36</f>
        <v>#NAME?</v>
      </c>
      <c r="P55" s="75" t="e">
        <f ca="1">'Annual Raw'!Q29+'Annual Raw'!Q31+'Annual Raw'!Q34+'Annual Raw'!Q36</f>
        <v>#NAME?</v>
      </c>
      <c r="Q55" s="75" t="e">
        <f ca="1">'Annual Raw'!R29+'Annual Raw'!R31+'Annual Raw'!R34+'Annual Raw'!R36</f>
        <v>#NAME?</v>
      </c>
      <c r="R55" s="75" t="e">
        <f ca="1">'Annual Raw'!S29+'Annual Raw'!S31+'Annual Raw'!S34+'Annual Raw'!S36</f>
        <v>#NAME?</v>
      </c>
      <c r="S55" s="75" t="e">
        <f ca="1">'Annual Raw'!T29+'Annual Raw'!T31+'Annual Raw'!T34+'Annual Raw'!T36</f>
        <v>#NAME?</v>
      </c>
      <c r="T55" s="75" t="e">
        <f ca="1">'Annual Raw'!U29+'Annual Raw'!U31+'Annual Raw'!U34+'Annual Raw'!U36</f>
        <v>#NAME?</v>
      </c>
      <c r="U55" s="75" t="e">
        <f ca="1">'Annual Raw'!V29+'Annual Raw'!V31+'Annual Raw'!V34+'Annual Raw'!V36</f>
        <v>#NAME?</v>
      </c>
      <c r="V55" s="75" t="e">
        <f ca="1">'Annual Raw'!W29+'Annual Raw'!W31+'Annual Raw'!W34+'Annual Raw'!W36</f>
        <v>#NAME?</v>
      </c>
      <c r="W55" s="75" t="e">
        <f ca="1">'Annual Raw'!X29+'Annual Raw'!X31+'Annual Raw'!X34+'Annual Raw'!X36</f>
        <v>#NAME?</v>
      </c>
      <c r="X55" s="75" t="e">
        <f ca="1">'Annual Raw'!Y29+'Annual Raw'!Y31+'Annual Raw'!Y34+'Annual Raw'!Y36</f>
        <v>#NAME?</v>
      </c>
      <c r="Y55" s="75" t="e">
        <f ca="1">'Annual Raw'!Z29+'Annual Raw'!Z31+'Annual Raw'!Z34+'Annual Raw'!Z36</f>
        <v>#NAME?</v>
      </c>
      <c r="Z55" s="75" t="e">
        <f ca="1">'Annual Raw'!AA29+'Annual Raw'!AA31+'Annual Raw'!AA34+'Annual Raw'!AA36</f>
        <v>#NAME?</v>
      </c>
      <c r="AA55" s="75" t="e">
        <f ca="1">'Annual Raw'!AB29+'Annual Raw'!AB31+'Annual Raw'!AB34+'Annual Raw'!AB36</f>
        <v>#NAME?</v>
      </c>
      <c r="AB55" s="76">
        <f>+SUM(CM55:CP55)</f>
        <v>0</v>
      </c>
      <c r="AC55" s="76">
        <f>+SUM(CQ55:CT55)</f>
        <v>0</v>
      </c>
      <c r="AD55" s="76">
        <f>+SUM(CU55:CX55)</f>
        <v>0</v>
      </c>
      <c r="AE55" s="76">
        <f>+SUM(CY55:DB55)</f>
        <v>0</v>
      </c>
      <c r="AI55" s="75" t="e">
        <f ca="1">'QTR Raw'!C26+'QTR Raw'!C31+'QTR Raw'!C32+'QTR Raw'!C33+'QTR Raw'!C36+'QTR Raw'!C37+'QTR Raw'!C39</f>
        <v>#NAME?</v>
      </c>
      <c r="AJ55" s="75" t="e">
        <f ca="1">'QTR Raw'!D26+'QTR Raw'!D31+'QTR Raw'!D32+'QTR Raw'!D33+'QTR Raw'!D36+'QTR Raw'!D37+'QTR Raw'!D39</f>
        <v>#NAME?</v>
      </c>
      <c r="AK55" s="75" t="e">
        <f ca="1">'QTR Raw'!E26+'QTR Raw'!E31+'QTR Raw'!E32+'QTR Raw'!E33+'QTR Raw'!E36+'QTR Raw'!E37+'QTR Raw'!E39</f>
        <v>#NAME?</v>
      </c>
      <c r="AL55" s="75" t="e">
        <f ca="1">'QTR Raw'!F26+'QTR Raw'!F31+'QTR Raw'!F32+'QTR Raw'!F33+'QTR Raw'!F36+'QTR Raw'!F37+'QTR Raw'!F39</f>
        <v>#NAME?</v>
      </c>
      <c r="AM55" s="75" t="e">
        <f ca="1">'QTR Raw'!G26+'QTR Raw'!G31+'QTR Raw'!G32+'QTR Raw'!G33+'QTR Raw'!G36+'QTR Raw'!G37+'QTR Raw'!G39</f>
        <v>#NAME?</v>
      </c>
      <c r="AN55" s="75" t="e">
        <f ca="1">'QTR Raw'!H26+'QTR Raw'!H31+'QTR Raw'!H32+'QTR Raw'!H33+'QTR Raw'!H36+'QTR Raw'!H37+'QTR Raw'!H39</f>
        <v>#NAME?</v>
      </c>
      <c r="AO55" s="75" t="e">
        <f ca="1">'QTR Raw'!I26+'QTR Raw'!I31+'QTR Raw'!I32+'QTR Raw'!I33+'QTR Raw'!I36+'QTR Raw'!I37+'QTR Raw'!I39</f>
        <v>#NAME?</v>
      </c>
      <c r="AP55" s="75" t="e">
        <f ca="1">'QTR Raw'!J26+'QTR Raw'!J31+'QTR Raw'!J32+'QTR Raw'!J33+'QTR Raw'!J36+'QTR Raw'!J37+'QTR Raw'!J39</f>
        <v>#NAME?</v>
      </c>
      <c r="AQ55" s="75" t="e">
        <f ca="1">'QTR Raw'!K26+'QTR Raw'!K31+'QTR Raw'!K32+'QTR Raw'!K33+'QTR Raw'!K36+'QTR Raw'!K37+'QTR Raw'!K39</f>
        <v>#NAME?</v>
      </c>
      <c r="AR55" s="75" t="e">
        <f ca="1">'QTR Raw'!L26+'QTR Raw'!L31+'QTR Raw'!L32+'QTR Raw'!L33+'QTR Raw'!L36+'QTR Raw'!L37+'QTR Raw'!L39</f>
        <v>#NAME?</v>
      </c>
      <c r="AS55" s="75" t="e">
        <f ca="1">'QTR Raw'!M26+'QTR Raw'!M31+'QTR Raw'!M32+'QTR Raw'!M33+'QTR Raw'!M36+'QTR Raw'!M37+'QTR Raw'!M39</f>
        <v>#NAME?</v>
      </c>
      <c r="AT55" s="75" t="e">
        <f ca="1">'QTR Raw'!N26+'QTR Raw'!N31+'QTR Raw'!N32+'QTR Raw'!N33+'QTR Raw'!N36+'QTR Raw'!N37+'QTR Raw'!N39</f>
        <v>#NAME?</v>
      </c>
      <c r="AU55" s="75" t="e">
        <f ca="1">'QTR Raw'!O26+'QTR Raw'!O31+'QTR Raw'!O32+'QTR Raw'!O33+'QTR Raw'!O36+'QTR Raw'!O37+'QTR Raw'!O39</f>
        <v>#NAME?</v>
      </c>
      <c r="AV55" s="75" t="e">
        <f ca="1">'QTR Raw'!P26+'QTR Raw'!P31+'QTR Raw'!P32+'QTR Raw'!P33+'QTR Raw'!P36+'QTR Raw'!P37+'QTR Raw'!P39</f>
        <v>#NAME?</v>
      </c>
      <c r="AW55" s="75" t="e">
        <f ca="1">'QTR Raw'!Q26+'QTR Raw'!Q31+'QTR Raw'!Q32+'QTR Raw'!Q33+'QTR Raw'!Q36+'QTR Raw'!Q37+'QTR Raw'!Q39</f>
        <v>#NAME?</v>
      </c>
      <c r="AX55" s="75" t="e">
        <f ca="1">'QTR Raw'!R26+'QTR Raw'!R31+'QTR Raw'!R32+'QTR Raw'!R33+'QTR Raw'!R36+'QTR Raw'!R37+'QTR Raw'!R39</f>
        <v>#NAME?</v>
      </c>
      <c r="AY55" s="75" t="e">
        <f ca="1">'QTR Raw'!S26+'QTR Raw'!S31+'QTR Raw'!S32+'QTR Raw'!S33+'QTR Raw'!S36+'QTR Raw'!S37+'QTR Raw'!S39</f>
        <v>#NAME?</v>
      </c>
      <c r="AZ55" s="75" t="e">
        <f ca="1">'QTR Raw'!T26+'QTR Raw'!T31+'QTR Raw'!T32+'QTR Raw'!T33+'QTR Raw'!T36+'QTR Raw'!T37+'QTR Raw'!T39</f>
        <v>#NAME?</v>
      </c>
      <c r="BA55" s="75" t="e">
        <f ca="1">'QTR Raw'!U26+'QTR Raw'!U31+'QTR Raw'!U32+'QTR Raw'!U33+'QTR Raw'!U36+'QTR Raw'!U37+'QTR Raw'!U39</f>
        <v>#NAME?</v>
      </c>
      <c r="BB55" s="75" t="e">
        <f ca="1">'QTR Raw'!V26+'QTR Raw'!V31+'QTR Raw'!V32+'QTR Raw'!V33+'QTR Raw'!V36+'QTR Raw'!V37+'QTR Raw'!V39</f>
        <v>#NAME?</v>
      </c>
      <c r="BC55" s="75" t="e">
        <f ca="1">'QTR Raw'!W26+'QTR Raw'!W31+'QTR Raw'!W32+'QTR Raw'!W33+'QTR Raw'!W36+'QTR Raw'!W37+'QTR Raw'!W39</f>
        <v>#NAME?</v>
      </c>
      <c r="BD55" s="75" t="e">
        <f ca="1">'QTR Raw'!X26+'QTR Raw'!X31+'QTR Raw'!X32+'QTR Raw'!X33+'QTR Raw'!X36+'QTR Raw'!X37+'QTR Raw'!X39</f>
        <v>#NAME?</v>
      </c>
      <c r="BE55" s="75" t="e">
        <f ca="1">'QTR Raw'!Y26+'QTR Raw'!Y31+'QTR Raw'!Y32+'QTR Raw'!Y33+'QTR Raw'!Y36+'QTR Raw'!Y37+'QTR Raw'!Y39</f>
        <v>#NAME?</v>
      </c>
      <c r="BF55" s="75" t="e">
        <f ca="1">'QTR Raw'!Z26+'QTR Raw'!Z31+'QTR Raw'!Z32+'QTR Raw'!Z33+'QTR Raw'!Z36+'QTR Raw'!Z37+'QTR Raw'!Z39</f>
        <v>#NAME?</v>
      </c>
      <c r="BG55" s="75" t="e">
        <f ca="1">'QTR Raw'!AA26+'QTR Raw'!AA31+'QTR Raw'!AA32+'QTR Raw'!AA33+'QTR Raw'!AA36+'QTR Raw'!AA37+'QTR Raw'!AA39</f>
        <v>#NAME?</v>
      </c>
      <c r="BH55" s="75" t="e">
        <f ca="1">'QTR Raw'!AB26+'QTR Raw'!AB31+'QTR Raw'!AB32+'QTR Raw'!AB33+'QTR Raw'!AB36+'QTR Raw'!AB37+'QTR Raw'!AB39</f>
        <v>#NAME?</v>
      </c>
      <c r="BI55" s="75" t="e">
        <f ca="1">'QTR Raw'!AC26+'QTR Raw'!AC31+'QTR Raw'!AC32+'QTR Raw'!AC33+'QTR Raw'!AC36+'QTR Raw'!AC37+'QTR Raw'!AC39</f>
        <v>#NAME?</v>
      </c>
      <c r="BJ55" s="75" t="e">
        <f ca="1">'QTR Raw'!AD26+'QTR Raw'!AD31+'QTR Raw'!AD32+'QTR Raw'!AD33+'QTR Raw'!AD36+'QTR Raw'!AD37+'QTR Raw'!AD39</f>
        <v>#NAME?</v>
      </c>
      <c r="BK55" s="75" t="e">
        <f ca="1">'QTR Raw'!AE26+'QTR Raw'!AE31+'QTR Raw'!AE32+'QTR Raw'!AE33+'QTR Raw'!AE36+'QTR Raw'!AE37+'QTR Raw'!AE39</f>
        <v>#NAME?</v>
      </c>
      <c r="BL55" s="75" t="e">
        <f ca="1">'QTR Raw'!AF26+'QTR Raw'!AF31+'QTR Raw'!AF32+'QTR Raw'!AF33+'QTR Raw'!AF36+'QTR Raw'!AF37+'QTR Raw'!AF39</f>
        <v>#NAME?</v>
      </c>
      <c r="BM55" s="75" t="e">
        <f ca="1">'QTR Raw'!AG26+'QTR Raw'!AG31+'QTR Raw'!AG32+'QTR Raw'!AG33+'QTR Raw'!AG36+'QTR Raw'!AG37+'QTR Raw'!AG39</f>
        <v>#NAME?</v>
      </c>
      <c r="BN55" s="75" t="e">
        <f ca="1">'QTR Raw'!AH26+'QTR Raw'!AH31+'QTR Raw'!AH32+'QTR Raw'!AH33+'QTR Raw'!AH36+'QTR Raw'!AH37+'QTR Raw'!AH39</f>
        <v>#NAME?</v>
      </c>
      <c r="BO55" s="75" t="e">
        <f ca="1">'QTR Raw'!AI26+'QTR Raw'!AI31+'QTR Raw'!AI32+'QTR Raw'!AI33+'QTR Raw'!AI36+'QTR Raw'!AI37+'QTR Raw'!AI39</f>
        <v>#NAME?</v>
      </c>
      <c r="BP55" s="75" t="e">
        <f ca="1">'QTR Raw'!AJ26+'QTR Raw'!AJ31+'QTR Raw'!AJ32+'QTR Raw'!AJ33+'QTR Raw'!AJ36+'QTR Raw'!AJ37+'QTR Raw'!AJ39</f>
        <v>#NAME?</v>
      </c>
      <c r="BQ55" s="75" t="e">
        <f ca="1">'QTR Raw'!AK26+'QTR Raw'!AK31+'QTR Raw'!AK32+'QTR Raw'!AK33+'QTR Raw'!AK36+'QTR Raw'!AK37+'QTR Raw'!AK39</f>
        <v>#NAME?</v>
      </c>
      <c r="BR55" s="75" t="e">
        <f ca="1">'QTR Raw'!AL26+'QTR Raw'!AL31+'QTR Raw'!AL32+'QTR Raw'!AL33+'QTR Raw'!AL36+'QTR Raw'!AL37+'QTR Raw'!AL39</f>
        <v>#NAME?</v>
      </c>
      <c r="BS55" s="75" t="e">
        <f ca="1">'QTR Raw'!AM26+'QTR Raw'!AM31+'QTR Raw'!AM32+'QTR Raw'!AM33+'QTR Raw'!AM36+'QTR Raw'!AM37+'QTR Raw'!AM39</f>
        <v>#NAME?</v>
      </c>
      <c r="BT55" s="75" t="e">
        <f ca="1">'QTR Raw'!AN26+'QTR Raw'!AN31+'QTR Raw'!AN32+'QTR Raw'!AN33+'QTR Raw'!AN36+'QTR Raw'!AN37+'QTR Raw'!AN39</f>
        <v>#NAME?</v>
      </c>
      <c r="BU55" s="75" t="e">
        <f ca="1">'QTR Raw'!AO26+'QTR Raw'!AO31+'QTR Raw'!AO32+'QTR Raw'!AO33+'QTR Raw'!AO36+'QTR Raw'!AO37+'QTR Raw'!AO39</f>
        <v>#NAME?</v>
      </c>
      <c r="BV55" s="75" t="e">
        <f ca="1">'QTR Raw'!AP26+'QTR Raw'!AP31+'QTR Raw'!AP32+'QTR Raw'!AP33+'QTR Raw'!AP36+'QTR Raw'!AP37+'QTR Raw'!AP39</f>
        <v>#NAME?</v>
      </c>
      <c r="BW55" s="75" t="e">
        <f ca="1">'QTR Raw'!AQ26+'QTR Raw'!AQ31+'QTR Raw'!AQ32+'QTR Raw'!AQ33+'QTR Raw'!AQ36+'QTR Raw'!AQ37+'QTR Raw'!AQ39</f>
        <v>#NAME?</v>
      </c>
      <c r="BX55" s="75" t="e">
        <f ca="1">'QTR Raw'!AR26+'QTR Raw'!AR31+'QTR Raw'!AR32+'QTR Raw'!AR33+'QTR Raw'!AR36+'QTR Raw'!AR37+'QTR Raw'!AR39</f>
        <v>#NAME?</v>
      </c>
      <c r="BY55" s="75" t="e">
        <f ca="1">'QTR Raw'!AS26+'QTR Raw'!AS31+'QTR Raw'!AS32+'QTR Raw'!AS33+'QTR Raw'!AS36+'QTR Raw'!AS37+'QTR Raw'!AS39</f>
        <v>#NAME?</v>
      </c>
      <c r="BZ55" s="75" t="e">
        <f ca="1">'QTR Raw'!AT26+'QTR Raw'!AT31+'QTR Raw'!AT32+'QTR Raw'!AT33+'QTR Raw'!AT36+'QTR Raw'!AT37+'QTR Raw'!AT39</f>
        <v>#NAME?</v>
      </c>
      <c r="CA55" s="75" t="e">
        <f ca="1">'QTR Raw'!AU26+'QTR Raw'!AU31+'QTR Raw'!AU32+'QTR Raw'!AU33+'QTR Raw'!AU36+'QTR Raw'!AU37+'QTR Raw'!AU39</f>
        <v>#NAME?</v>
      </c>
      <c r="CB55" s="75" t="e">
        <f ca="1">'QTR Raw'!AV26+'QTR Raw'!AV31+'QTR Raw'!AV32+'QTR Raw'!AV33+'QTR Raw'!AV36+'QTR Raw'!AV37+'QTR Raw'!AV39</f>
        <v>#NAME?</v>
      </c>
      <c r="CC55" s="75" t="e">
        <f ca="1">'QTR Raw'!AW26+'QTR Raw'!AW31+'QTR Raw'!AW32+'QTR Raw'!AW33+'QTR Raw'!AW36+'QTR Raw'!AW37+'QTR Raw'!AW39</f>
        <v>#NAME?</v>
      </c>
      <c r="CD55" s="75" t="e">
        <f ca="1">'QTR Raw'!AX26+'QTR Raw'!AX31+'QTR Raw'!AX32+'QTR Raw'!AX33+'QTR Raw'!AX36+'QTR Raw'!AX37+'QTR Raw'!AX39</f>
        <v>#NAME?</v>
      </c>
      <c r="CE55" s="75" t="e">
        <f ca="1">'QTR Raw'!AY26+'QTR Raw'!AY31+'QTR Raw'!AY32+'QTR Raw'!AY33+'QTR Raw'!AY36+'QTR Raw'!AY37+'QTR Raw'!AY39</f>
        <v>#NAME?</v>
      </c>
      <c r="CF55" s="75" t="e">
        <f ca="1">'QTR Raw'!AZ26+'QTR Raw'!AZ31+'QTR Raw'!AZ32+'QTR Raw'!AZ33+'QTR Raw'!AZ36+'QTR Raw'!AZ37+'QTR Raw'!AZ39</f>
        <v>#NAME?</v>
      </c>
      <c r="CG55" s="75" t="e">
        <f ca="1">'QTR Raw'!BA26+'QTR Raw'!BA31+'QTR Raw'!BA32+'QTR Raw'!BA33+'QTR Raw'!BA36+'QTR Raw'!BA37+'QTR Raw'!BA39</f>
        <v>#NAME?</v>
      </c>
      <c r="CH55" s="75" t="e">
        <f ca="1">'QTR Raw'!BB26+'QTR Raw'!BB31+'QTR Raw'!BB32+'QTR Raw'!BB33+'QTR Raw'!BB36+'QTR Raw'!BB37+'QTR Raw'!BB39</f>
        <v>#NAME?</v>
      </c>
      <c r="CI55" s="75" t="e">
        <f ca="1">'QTR Raw'!BC26+'QTR Raw'!BC31+'QTR Raw'!BC32+'QTR Raw'!BC33+'QTR Raw'!BC36+'QTR Raw'!BC37+'QTR Raw'!BC39</f>
        <v>#NAME?</v>
      </c>
      <c r="CJ55" s="75" t="e">
        <f ca="1">'QTR Raw'!BD26+'QTR Raw'!BD31+'QTR Raw'!BD32+'QTR Raw'!BD33+'QTR Raw'!BD36+'QTR Raw'!BD37+'QTR Raw'!BD39</f>
        <v>#NAME?</v>
      </c>
      <c r="CK55" s="75" t="e">
        <f ca="1">'QTR Raw'!BE26+'QTR Raw'!BE31+'QTR Raw'!BE32+'QTR Raw'!BE33+'QTR Raw'!BE36+'QTR Raw'!BE37+'QTR Raw'!BE39</f>
        <v>#NAME?</v>
      </c>
      <c r="CL55" s="75" t="e">
        <f ca="1">'QTR Raw'!BF26+'QTR Raw'!BF31+'QTR Raw'!BF32+'QTR Raw'!BF33+'QTR Raw'!BF36+'QTR Raw'!BF37+'QTR Raw'!BF39</f>
        <v>#NAME?</v>
      </c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E55" s="123"/>
      <c r="DF55" s="23">
        <v>-300.54000000000002</v>
      </c>
    </row>
    <row r="56" spans="1:110" s="26" customFormat="1" x14ac:dyDescent="0.2">
      <c r="A56" s="35" t="s">
        <v>25</v>
      </c>
      <c r="B56" s="26" t="e">
        <f ca="1">B49+B53+B54+B55</f>
        <v>#NAME?</v>
      </c>
      <c r="C56" s="26" t="e">
        <f ca="1">C49+C53+C54+C55</f>
        <v>#NAME?</v>
      </c>
      <c r="D56" s="26" t="e">
        <f ca="1">D49+D53+D54+D55</f>
        <v>#NAME?</v>
      </c>
      <c r="E56" s="26" t="e">
        <f t="shared" ref="E56:U56" ca="1" si="728">E49+E53+E54+E55</f>
        <v>#NAME?</v>
      </c>
      <c r="F56" s="26" t="e">
        <f t="shared" ca="1" si="728"/>
        <v>#NAME?</v>
      </c>
      <c r="G56" s="26" t="e">
        <f t="shared" ca="1" si="728"/>
        <v>#NAME?</v>
      </c>
      <c r="H56" s="26" t="e">
        <f t="shared" ca="1" si="728"/>
        <v>#NAME?</v>
      </c>
      <c r="I56" s="26" t="e">
        <f t="shared" ca="1" si="728"/>
        <v>#NAME?</v>
      </c>
      <c r="J56" s="26" t="e">
        <f t="shared" ca="1" si="728"/>
        <v>#NAME?</v>
      </c>
      <c r="K56" s="26" t="e">
        <f t="shared" ca="1" si="728"/>
        <v>#NAME?</v>
      </c>
      <c r="L56" s="26" t="e">
        <f t="shared" ca="1" si="728"/>
        <v>#NAME?</v>
      </c>
      <c r="M56" s="26" t="e">
        <f t="shared" ca="1" si="728"/>
        <v>#NAME?</v>
      </c>
      <c r="N56" s="26" t="e">
        <f t="shared" ca="1" si="728"/>
        <v>#NAME?</v>
      </c>
      <c r="O56" s="26" t="e">
        <f t="shared" ca="1" si="728"/>
        <v>#NAME?</v>
      </c>
      <c r="P56" s="26" t="e">
        <f t="shared" ca="1" si="728"/>
        <v>#NAME?</v>
      </c>
      <c r="Q56" s="26" t="e">
        <f t="shared" ca="1" si="728"/>
        <v>#NAME?</v>
      </c>
      <c r="R56" s="26" t="e">
        <f t="shared" ca="1" si="728"/>
        <v>#NAME?</v>
      </c>
      <c r="S56" s="26" t="e">
        <f t="shared" ca="1" si="728"/>
        <v>#NAME?</v>
      </c>
      <c r="T56" s="26" t="e">
        <f t="shared" ca="1" si="728"/>
        <v>#NAME?</v>
      </c>
      <c r="U56" s="26" t="e">
        <f t="shared" ca="1" si="728"/>
        <v>#NAME?</v>
      </c>
      <c r="V56" s="26" t="e">
        <f ca="1">V49+V53+V54+V55</f>
        <v>#NAME?</v>
      </c>
      <c r="W56" s="26" t="e">
        <f ca="1">W49+W53+W54+W55</f>
        <v>#NAME?</v>
      </c>
      <c r="X56" s="26" t="e">
        <f ca="1">X49+X53+X54+X55</f>
        <v>#NAME?</v>
      </c>
      <c r="Y56" s="26" t="e">
        <f ca="1">Y49+Y53+Y54+Y55</f>
        <v>#NAME?</v>
      </c>
      <c r="Z56" s="26" t="e">
        <f ca="1">Z49+Z53+Z54+Z55</f>
        <v>#NAME?</v>
      </c>
      <c r="AA56" s="26" t="e">
        <f ca="1">AA49+AA53+AA54+AA55</f>
        <v>#NAME?</v>
      </c>
      <c r="AB56" s="27" t="e">
        <f t="shared" ref="AA56:AD56" ca="1" si="729">AB49+AB53+AB54+AB55</f>
        <v>#NAME?</v>
      </c>
      <c r="AC56" s="27" t="e">
        <f t="shared" ca="1" si="729"/>
        <v>#NAME?</v>
      </c>
      <c r="AD56" s="27" t="e">
        <f t="shared" ca="1" si="729"/>
        <v>#NAME?</v>
      </c>
      <c r="AE56" s="27" t="e">
        <f t="shared" ref="AE56" ca="1" si="730">AE49+AE53+AE54+AE55</f>
        <v>#NAME?</v>
      </c>
      <c r="AI56" s="26" t="e">
        <f t="shared" ref="AI56" ca="1" si="731">AI49+AI53+AI54+AI55</f>
        <v>#NAME?</v>
      </c>
      <c r="AJ56" s="26" t="e">
        <f t="shared" ref="AJ56" ca="1" si="732">AJ49+AJ53+AJ54+AJ55</f>
        <v>#NAME?</v>
      </c>
      <c r="AK56" s="26" t="e">
        <f t="shared" ref="AK56:AM56" ca="1" si="733">AK49+AK53+AK54+AK55</f>
        <v>#NAME?</v>
      </c>
      <c r="AL56" s="26" t="e">
        <f t="shared" ca="1" si="733"/>
        <v>#NAME?</v>
      </c>
      <c r="AM56" s="26" t="e">
        <f t="shared" ca="1" si="733"/>
        <v>#NAME?</v>
      </c>
      <c r="AN56" s="26" t="e">
        <f t="shared" ref="AN56:AO56" ca="1" si="734">AN49+AN53+AN54+AN55</f>
        <v>#NAME?</v>
      </c>
      <c r="AO56" s="26" t="e">
        <f t="shared" ca="1" si="734"/>
        <v>#NAME?</v>
      </c>
      <c r="AP56" s="26" t="e">
        <f t="shared" ref="AP56:CD56" ca="1" si="735">AP49+AP53+AP54+AP55</f>
        <v>#NAME?</v>
      </c>
      <c r="AQ56" s="26" t="e">
        <f t="shared" ca="1" si="735"/>
        <v>#NAME?</v>
      </c>
      <c r="AR56" s="26" t="e">
        <f t="shared" ca="1" si="735"/>
        <v>#NAME?</v>
      </c>
      <c r="AS56" s="26" t="e">
        <f t="shared" ca="1" si="735"/>
        <v>#NAME?</v>
      </c>
      <c r="AT56" s="26" t="e">
        <f t="shared" ca="1" si="735"/>
        <v>#NAME?</v>
      </c>
      <c r="AU56" s="26" t="e">
        <f t="shared" ca="1" si="735"/>
        <v>#NAME?</v>
      </c>
      <c r="AV56" s="26" t="e">
        <f t="shared" ca="1" si="735"/>
        <v>#NAME?</v>
      </c>
      <c r="AW56" s="26" t="e">
        <f t="shared" ca="1" si="735"/>
        <v>#NAME?</v>
      </c>
      <c r="AX56" s="26" t="e">
        <f t="shared" ca="1" si="735"/>
        <v>#NAME?</v>
      </c>
      <c r="AY56" s="26" t="e">
        <f t="shared" ca="1" si="735"/>
        <v>#NAME?</v>
      </c>
      <c r="AZ56" s="26" t="e">
        <f t="shared" ca="1" si="735"/>
        <v>#NAME?</v>
      </c>
      <c r="BA56" s="26" t="e">
        <f t="shared" ca="1" si="735"/>
        <v>#NAME?</v>
      </c>
      <c r="BB56" s="26" t="e">
        <f t="shared" ca="1" si="735"/>
        <v>#NAME?</v>
      </c>
      <c r="BC56" s="26" t="e">
        <f t="shared" ca="1" si="735"/>
        <v>#NAME?</v>
      </c>
      <c r="BD56" s="26" t="e">
        <f t="shared" ca="1" si="735"/>
        <v>#NAME?</v>
      </c>
      <c r="BE56" s="26" t="e">
        <f t="shared" ca="1" si="735"/>
        <v>#NAME?</v>
      </c>
      <c r="BF56" s="26" t="e">
        <f t="shared" ca="1" si="735"/>
        <v>#NAME?</v>
      </c>
      <c r="BG56" s="26" t="e">
        <f t="shared" ca="1" si="735"/>
        <v>#NAME?</v>
      </c>
      <c r="BH56" s="26" t="e">
        <f t="shared" ca="1" si="735"/>
        <v>#NAME?</v>
      </c>
      <c r="BI56" s="26" t="e">
        <f t="shared" ca="1" si="735"/>
        <v>#NAME?</v>
      </c>
      <c r="BJ56" s="26" t="e">
        <f t="shared" ca="1" si="735"/>
        <v>#NAME?</v>
      </c>
      <c r="BK56" s="26" t="e">
        <f t="shared" ca="1" si="735"/>
        <v>#NAME?</v>
      </c>
      <c r="BL56" s="26" t="e">
        <f t="shared" ca="1" si="735"/>
        <v>#NAME?</v>
      </c>
      <c r="BM56" s="26" t="e">
        <f t="shared" ca="1" si="735"/>
        <v>#NAME?</v>
      </c>
      <c r="BN56" s="26" t="e">
        <f t="shared" ca="1" si="735"/>
        <v>#NAME?</v>
      </c>
      <c r="BO56" s="26" t="e">
        <f t="shared" ca="1" si="735"/>
        <v>#NAME?</v>
      </c>
      <c r="BP56" s="26" t="e">
        <f t="shared" ca="1" si="735"/>
        <v>#NAME?</v>
      </c>
      <c r="BQ56" s="26" t="e">
        <f t="shared" ca="1" si="735"/>
        <v>#NAME?</v>
      </c>
      <c r="BR56" s="26" t="e">
        <f t="shared" ca="1" si="735"/>
        <v>#NAME?</v>
      </c>
      <c r="BS56" s="26" t="e">
        <f t="shared" ca="1" si="735"/>
        <v>#NAME?</v>
      </c>
      <c r="BT56" s="26" t="e">
        <f t="shared" ca="1" si="735"/>
        <v>#NAME?</v>
      </c>
      <c r="BU56" s="26" t="e">
        <f t="shared" ca="1" si="735"/>
        <v>#NAME?</v>
      </c>
      <c r="BV56" s="26" t="e">
        <f t="shared" ca="1" si="735"/>
        <v>#NAME?</v>
      </c>
      <c r="BW56" s="26" t="e">
        <f t="shared" ca="1" si="735"/>
        <v>#NAME?</v>
      </c>
      <c r="BX56" s="26" t="e">
        <f t="shared" ca="1" si="735"/>
        <v>#NAME?</v>
      </c>
      <c r="BY56" s="26" t="e">
        <f t="shared" ca="1" si="735"/>
        <v>#NAME?</v>
      </c>
      <c r="BZ56" s="26" t="e">
        <f t="shared" ca="1" si="735"/>
        <v>#NAME?</v>
      </c>
      <c r="CA56" s="26" t="e">
        <f t="shared" ca="1" si="735"/>
        <v>#NAME?</v>
      </c>
      <c r="CB56" s="26" t="e">
        <f t="shared" ca="1" si="735"/>
        <v>#NAME?</v>
      </c>
      <c r="CC56" s="26" t="e">
        <f t="shared" ca="1" si="735"/>
        <v>#NAME?</v>
      </c>
      <c r="CD56" s="26" t="e">
        <f t="shared" ca="1" si="735"/>
        <v>#NAME?</v>
      </c>
      <c r="CE56" s="26" t="e">
        <f t="shared" ref="CE56:CF56" ca="1" si="736">CE49+CE53+CE54+CE55</f>
        <v>#NAME?</v>
      </c>
      <c r="CF56" s="26" t="e">
        <f t="shared" ca="1" si="736"/>
        <v>#NAME?</v>
      </c>
      <c r="CG56" s="26" t="e">
        <f t="shared" ref="CG56:CH56" ca="1" si="737">CG49+CG53+CG54+CG55</f>
        <v>#NAME?</v>
      </c>
      <c r="CH56" s="26" t="e">
        <f t="shared" ca="1" si="737"/>
        <v>#NAME?</v>
      </c>
      <c r="CI56" s="26" t="e">
        <f t="shared" ref="CI56:CJ56" ca="1" si="738">CI49+CI53+CI54+CI55</f>
        <v>#NAME?</v>
      </c>
      <c r="CJ56" s="26" t="e">
        <f t="shared" ca="1" si="738"/>
        <v>#NAME?</v>
      </c>
      <c r="CK56" s="26" t="e">
        <f t="shared" ref="CK56:CL56" ca="1" si="739">CK49+CK53+CK54+CK55</f>
        <v>#NAME?</v>
      </c>
      <c r="CL56" s="26" t="e">
        <f t="shared" ca="1" si="739"/>
        <v>#NAME?</v>
      </c>
      <c r="CM56" s="27" t="e">
        <f t="shared" ref="CM56:DB56" ca="1" si="740">CM49+CM53+CM54+CM55</f>
        <v>#NAME?</v>
      </c>
      <c r="CN56" s="27" t="e">
        <f t="shared" ca="1" si="740"/>
        <v>#NAME?</v>
      </c>
      <c r="CO56" s="27" t="e">
        <f t="shared" ca="1" si="740"/>
        <v>#NAME?</v>
      </c>
      <c r="CP56" s="27" t="e">
        <f t="shared" ca="1" si="740"/>
        <v>#NAME?</v>
      </c>
      <c r="CQ56" s="27" t="e">
        <f t="shared" ca="1" si="740"/>
        <v>#NAME?</v>
      </c>
      <c r="CR56" s="27" t="e">
        <f t="shared" ca="1" si="740"/>
        <v>#NAME?</v>
      </c>
      <c r="CS56" s="27" t="e">
        <f t="shared" ca="1" si="740"/>
        <v>#NAME?</v>
      </c>
      <c r="CT56" s="27" t="e">
        <f t="shared" ca="1" si="740"/>
        <v>#NAME?</v>
      </c>
      <c r="CU56" s="27" t="e">
        <f t="shared" ca="1" si="740"/>
        <v>#NAME?</v>
      </c>
      <c r="CV56" s="27" t="e">
        <f t="shared" ca="1" si="740"/>
        <v>#NAME?</v>
      </c>
      <c r="CW56" s="27" t="e">
        <f t="shared" ca="1" si="740"/>
        <v>#NAME?</v>
      </c>
      <c r="CX56" s="27" t="e">
        <f t="shared" ca="1" si="740"/>
        <v>#NAME?</v>
      </c>
      <c r="CY56" s="27" t="e">
        <f t="shared" ca="1" si="740"/>
        <v>#NAME?</v>
      </c>
      <c r="CZ56" s="27" t="e">
        <f t="shared" ca="1" si="740"/>
        <v>#NAME?</v>
      </c>
      <c r="DA56" s="27" t="e">
        <f t="shared" ca="1" si="740"/>
        <v>#NAME?</v>
      </c>
      <c r="DB56" s="27" t="e">
        <f t="shared" ca="1" si="740"/>
        <v>#NAME?</v>
      </c>
      <c r="DE56" s="121"/>
      <c r="DF56" s="26">
        <v>4587.4400000000023</v>
      </c>
    </row>
    <row r="57" spans="1:110" s="25" customFormat="1" x14ac:dyDescent="0.2">
      <c r="A57" s="151" t="s">
        <v>486</v>
      </c>
      <c r="AB57" s="17"/>
      <c r="AC57" s="17"/>
      <c r="AD57" s="17"/>
      <c r="AE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E57" s="119"/>
    </row>
    <row r="58" spans="1:110" s="1" customFormat="1" x14ac:dyDescent="0.2">
      <c r="AB58" s="20"/>
      <c r="AC58" s="20"/>
      <c r="AD58" s="20"/>
      <c r="AE58" s="20"/>
      <c r="BV58" s="183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E58" s="119"/>
    </row>
    <row r="59" spans="1:110" s="22" customFormat="1" x14ac:dyDescent="0.2">
      <c r="A59" s="22" t="s">
        <v>434</v>
      </c>
      <c r="B59" s="22" t="e">
        <f ca="1">'Annual Raw'!C35</f>
        <v>#NAME?</v>
      </c>
      <c r="C59" s="22" t="e">
        <f ca="1">'Annual Raw'!D35</f>
        <v>#NAME?</v>
      </c>
      <c r="D59" s="22" t="e">
        <f ca="1">'Annual Raw'!E35</f>
        <v>#NAME?</v>
      </c>
      <c r="E59" s="22" t="e">
        <f ca="1">'Annual Raw'!F35</f>
        <v>#NAME?</v>
      </c>
      <c r="F59" s="22" t="e">
        <f ca="1">'Annual Raw'!G35</f>
        <v>#NAME?</v>
      </c>
      <c r="G59" s="22" t="e">
        <f ca="1">'Annual Raw'!H35</f>
        <v>#NAME?</v>
      </c>
      <c r="H59" s="22" t="e">
        <f ca="1">'Annual Raw'!I35</f>
        <v>#NAME?</v>
      </c>
      <c r="I59" s="22" t="e">
        <f ca="1">'Annual Raw'!J35</f>
        <v>#NAME?</v>
      </c>
      <c r="J59" s="22" t="e">
        <f ca="1">'Annual Raw'!K35</f>
        <v>#NAME?</v>
      </c>
      <c r="K59" s="22" t="e">
        <f ca="1">'Annual Raw'!L35</f>
        <v>#NAME?</v>
      </c>
      <c r="L59" s="22" t="e">
        <f ca="1">'Annual Raw'!M35</f>
        <v>#NAME?</v>
      </c>
      <c r="M59" s="22" t="e">
        <f ca="1">'Annual Raw'!N35</f>
        <v>#NAME?</v>
      </c>
      <c r="N59" s="22" t="e">
        <f ca="1">'Annual Raw'!O35</f>
        <v>#NAME?</v>
      </c>
      <c r="O59" s="22" t="e">
        <f ca="1">'Annual Raw'!P35</f>
        <v>#NAME?</v>
      </c>
      <c r="P59" s="22" t="e">
        <f ca="1">'Annual Raw'!Q35</f>
        <v>#NAME?</v>
      </c>
      <c r="Q59" s="22" t="e">
        <f ca="1">'Annual Raw'!R35</f>
        <v>#NAME?</v>
      </c>
      <c r="R59" s="22" t="e">
        <f ca="1">'Annual Raw'!S35</f>
        <v>#NAME?</v>
      </c>
      <c r="S59" s="22" t="e">
        <f ca="1">'Annual Raw'!T35</f>
        <v>#NAME?</v>
      </c>
      <c r="T59" s="22" t="e">
        <f ca="1">'Annual Raw'!U35</f>
        <v>#NAME?</v>
      </c>
      <c r="U59" s="22" t="e">
        <f ca="1">'Annual Raw'!V35</f>
        <v>#NAME?</v>
      </c>
      <c r="V59" s="22" t="e">
        <f ca="1">'Annual Raw'!W35</f>
        <v>#NAME?</v>
      </c>
      <c r="W59" s="22" t="e">
        <f ca="1">'Annual Raw'!X35</f>
        <v>#NAME?</v>
      </c>
      <c r="X59" s="22" t="e">
        <f ca="1">'Annual Raw'!Y35</f>
        <v>#NAME?</v>
      </c>
      <c r="Y59" s="22" t="e">
        <f ca="1">'Annual Raw'!Z35</f>
        <v>#NAME?</v>
      </c>
      <c r="Z59" s="22" t="e">
        <f ca="1">'Annual Raw'!AA35</f>
        <v>#NAME?</v>
      </c>
      <c r="AA59" s="22" t="e">
        <f ca="1">'Annual Raw'!AB35</f>
        <v>#NAME?</v>
      </c>
      <c r="AB59" s="21" t="e">
        <f t="shared" ref="AA59:AD59" ca="1" si="741">+AB56</f>
        <v>#NAME?</v>
      </c>
      <c r="AC59" s="21" t="e">
        <f t="shared" ca="1" si="741"/>
        <v>#NAME?</v>
      </c>
      <c r="AD59" s="21" t="e">
        <f t="shared" ca="1" si="741"/>
        <v>#NAME?</v>
      </c>
      <c r="AE59" s="21" t="e">
        <f t="shared" ref="AE59" ca="1" si="742">+AE56</f>
        <v>#NAME?</v>
      </c>
      <c r="AI59" s="22" t="e">
        <f ca="1">'QTR Raw'!C42</f>
        <v>#NAME?</v>
      </c>
      <c r="AJ59" s="22" t="e">
        <f ca="1">'QTR Raw'!D42</f>
        <v>#NAME?</v>
      </c>
      <c r="AK59" s="22" t="e">
        <f ca="1">'QTR Raw'!E42</f>
        <v>#NAME?</v>
      </c>
      <c r="AL59" s="22" t="e">
        <f ca="1">'QTR Raw'!F42</f>
        <v>#NAME?</v>
      </c>
      <c r="AM59" s="22" t="e">
        <f ca="1">'QTR Raw'!G42</f>
        <v>#NAME?</v>
      </c>
      <c r="AN59" s="22" t="e">
        <f ca="1">'QTR Raw'!H42</f>
        <v>#NAME?</v>
      </c>
      <c r="AO59" s="22" t="e">
        <f ca="1">'QTR Raw'!I42</f>
        <v>#NAME?</v>
      </c>
      <c r="AP59" s="22" t="e">
        <f ca="1">'QTR Raw'!J42</f>
        <v>#NAME?</v>
      </c>
      <c r="AQ59" s="22" t="e">
        <f ca="1">'QTR Raw'!K42</f>
        <v>#NAME?</v>
      </c>
      <c r="AR59" s="22" t="e">
        <f ca="1">'QTR Raw'!L42</f>
        <v>#NAME?</v>
      </c>
      <c r="AS59" s="22" t="e">
        <f ca="1">'QTR Raw'!M42</f>
        <v>#NAME?</v>
      </c>
      <c r="AT59" s="22" t="e">
        <f ca="1">'QTR Raw'!N42</f>
        <v>#NAME?</v>
      </c>
      <c r="AU59" s="22" t="e">
        <f ca="1">'QTR Raw'!O42</f>
        <v>#NAME?</v>
      </c>
      <c r="AV59" s="22" t="e">
        <f ca="1">'QTR Raw'!P42</f>
        <v>#NAME?</v>
      </c>
      <c r="AW59" s="22" t="e">
        <f ca="1">'QTR Raw'!Q42</f>
        <v>#NAME?</v>
      </c>
      <c r="AX59" s="22" t="e">
        <f ca="1">'QTR Raw'!R42</f>
        <v>#NAME?</v>
      </c>
      <c r="AY59" s="22" t="e">
        <f ca="1">'QTR Raw'!S42</f>
        <v>#NAME?</v>
      </c>
      <c r="AZ59" s="22" t="e">
        <f ca="1">'QTR Raw'!T42</f>
        <v>#NAME?</v>
      </c>
      <c r="BA59" s="22" t="e">
        <f ca="1">'QTR Raw'!U42</f>
        <v>#NAME?</v>
      </c>
      <c r="BB59" s="22" t="e">
        <f ca="1">'QTR Raw'!V42</f>
        <v>#NAME?</v>
      </c>
      <c r="BC59" s="22" t="e">
        <f ca="1">'QTR Raw'!W42</f>
        <v>#NAME?</v>
      </c>
      <c r="BD59" s="22" t="e">
        <f ca="1">'QTR Raw'!X42</f>
        <v>#NAME?</v>
      </c>
      <c r="BE59" s="22" t="e">
        <f ca="1">'QTR Raw'!Y42</f>
        <v>#NAME?</v>
      </c>
      <c r="BF59" s="22" t="e">
        <f ca="1">'QTR Raw'!Z42</f>
        <v>#NAME?</v>
      </c>
      <c r="BG59" s="22" t="e">
        <f ca="1">'QTR Raw'!AA42</f>
        <v>#NAME?</v>
      </c>
      <c r="BH59" s="22" t="e">
        <f ca="1">'QTR Raw'!AB42</f>
        <v>#NAME?</v>
      </c>
      <c r="BI59" s="22" t="e">
        <f ca="1">'QTR Raw'!AC42</f>
        <v>#NAME?</v>
      </c>
      <c r="BJ59" s="22" t="e">
        <f ca="1">'QTR Raw'!AD42</f>
        <v>#NAME?</v>
      </c>
      <c r="BK59" s="22" t="e">
        <f ca="1">'QTR Raw'!AE42</f>
        <v>#NAME?</v>
      </c>
      <c r="BL59" s="22" t="e">
        <f ca="1">'QTR Raw'!AF42</f>
        <v>#NAME?</v>
      </c>
      <c r="BM59" s="22" t="e">
        <f ca="1">'QTR Raw'!AG42</f>
        <v>#NAME?</v>
      </c>
      <c r="BN59" s="22" t="e">
        <f ca="1">'QTR Raw'!AH42</f>
        <v>#NAME?</v>
      </c>
      <c r="BO59" s="22" t="e">
        <f ca="1">'QTR Raw'!AI42</f>
        <v>#NAME?</v>
      </c>
      <c r="BP59" s="22" t="e">
        <f ca="1">'QTR Raw'!AJ42</f>
        <v>#NAME?</v>
      </c>
      <c r="BQ59" s="22" t="e">
        <f ca="1">'QTR Raw'!AK42</f>
        <v>#NAME?</v>
      </c>
      <c r="BR59" s="22" t="e">
        <f ca="1">'QTR Raw'!AL42</f>
        <v>#NAME?</v>
      </c>
      <c r="BS59" s="22" t="e">
        <f ca="1">'QTR Raw'!AM42</f>
        <v>#NAME?</v>
      </c>
      <c r="BT59" s="22" t="e">
        <f ca="1">'QTR Raw'!AN42</f>
        <v>#NAME?</v>
      </c>
      <c r="BU59" s="22" t="e">
        <f ca="1">'QTR Raw'!AO42</f>
        <v>#NAME?</v>
      </c>
      <c r="BV59" s="22" t="e">
        <f ca="1">'QTR Raw'!AP42</f>
        <v>#NAME?</v>
      </c>
      <c r="BW59" s="22" t="e">
        <f ca="1">'QTR Raw'!AQ42</f>
        <v>#NAME?</v>
      </c>
      <c r="BX59" s="22" t="e">
        <f ca="1">'QTR Raw'!AR42</f>
        <v>#NAME?</v>
      </c>
      <c r="BY59" s="22" t="e">
        <f ca="1">'QTR Raw'!AS42</f>
        <v>#NAME?</v>
      </c>
      <c r="BZ59" s="22" t="e">
        <f ca="1">'QTR Raw'!AT42</f>
        <v>#NAME?</v>
      </c>
      <c r="CA59" s="22" t="e">
        <f ca="1">'QTR Raw'!AU42</f>
        <v>#NAME?</v>
      </c>
      <c r="CB59" s="22" t="e">
        <f ca="1">'QTR Raw'!AV42</f>
        <v>#NAME?</v>
      </c>
      <c r="CC59" s="22" t="e">
        <f ca="1">'QTR Raw'!AW42</f>
        <v>#NAME?</v>
      </c>
      <c r="CD59" s="22" t="e">
        <f ca="1">'QTR Raw'!AX42</f>
        <v>#NAME?</v>
      </c>
      <c r="CE59" s="22" t="e">
        <f ca="1">'QTR Raw'!AY42</f>
        <v>#NAME?</v>
      </c>
      <c r="CF59" s="22" t="e">
        <f ca="1">'QTR Raw'!AZ42</f>
        <v>#NAME?</v>
      </c>
      <c r="CG59" s="22" t="e">
        <f ca="1">'QTR Raw'!BA42</f>
        <v>#NAME?</v>
      </c>
      <c r="CH59" s="22" t="e">
        <f ca="1">'QTR Raw'!BB42</f>
        <v>#NAME?</v>
      </c>
      <c r="CI59" s="22" t="e">
        <f ca="1">'QTR Raw'!BC42</f>
        <v>#NAME?</v>
      </c>
      <c r="CJ59" s="22" t="e">
        <f ca="1">'QTR Raw'!BD42</f>
        <v>#NAME?</v>
      </c>
      <c r="CK59" s="22" t="e">
        <f ca="1">'QTR Raw'!BE42</f>
        <v>#NAME?</v>
      </c>
      <c r="CL59" s="22" t="e">
        <f ca="1">'QTR Raw'!BF42</f>
        <v>#NAME?</v>
      </c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  <c r="DF59" s="22">
        <v>4587.4400000000023</v>
      </c>
    </row>
    <row r="60" spans="1:110" s="25" customFormat="1" x14ac:dyDescent="0.2">
      <c r="A60" s="36" t="s">
        <v>435</v>
      </c>
      <c r="B60" s="25" t="e">
        <f t="shared" ref="B60:V60" ca="1" si="743">B59-B56</f>
        <v>#NAME?</v>
      </c>
      <c r="C60" s="25" t="e">
        <f ca="1">C59-C56</f>
        <v>#NAME?</v>
      </c>
      <c r="D60" s="25" t="e">
        <f t="shared" ca="1" si="743"/>
        <v>#NAME?</v>
      </c>
      <c r="E60" s="25" t="e">
        <f t="shared" ca="1" si="743"/>
        <v>#NAME?</v>
      </c>
      <c r="F60" s="25" t="e">
        <f t="shared" ca="1" si="743"/>
        <v>#NAME?</v>
      </c>
      <c r="G60" s="25" t="e">
        <f t="shared" ca="1" si="743"/>
        <v>#NAME?</v>
      </c>
      <c r="H60" s="25" t="e">
        <f t="shared" ca="1" si="743"/>
        <v>#NAME?</v>
      </c>
      <c r="I60" s="25" t="e">
        <f t="shared" ca="1" si="743"/>
        <v>#NAME?</v>
      </c>
      <c r="J60" s="25" t="e">
        <f t="shared" ca="1" si="743"/>
        <v>#NAME?</v>
      </c>
      <c r="K60" s="25" t="e">
        <f t="shared" ca="1" si="743"/>
        <v>#NAME?</v>
      </c>
      <c r="L60" s="25" t="e">
        <f t="shared" ca="1" si="743"/>
        <v>#NAME?</v>
      </c>
      <c r="M60" s="25" t="e">
        <f t="shared" ca="1" si="743"/>
        <v>#NAME?</v>
      </c>
      <c r="N60" s="25" t="e">
        <f t="shared" ca="1" si="743"/>
        <v>#NAME?</v>
      </c>
      <c r="O60" s="25" t="e">
        <f t="shared" ca="1" si="743"/>
        <v>#NAME?</v>
      </c>
      <c r="P60" s="25" t="e">
        <f t="shared" ca="1" si="743"/>
        <v>#NAME?</v>
      </c>
      <c r="Q60" s="25" t="e">
        <f t="shared" ca="1" si="743"/>
        <v>#NAME?</v>
      </c>
      <c r="R60" s="25" t="e">
        <f t="shared" ca="1" si="743"/>
        <v>#NAME?</v>
      </c>
      <c r="S60" s="25" t="e">
        <f t="shared" ca="1" si="743"/>
        <v>#NAME?</v>
      </c>
      <c r="T60" s="25" t="e">
        <f t="shared" ca="1" si="743"/>
        <v>#NAME?</v>
      </c>
      <c r="U60" s="25" t="e">
        <f t="shared" ca="1" si="743"/>
        <v>#NAME?</v>
      </c>
      <c r="V60" s="25" t="e">
        <f t="shared" ca="1" si="743"/>
        <v>#NAME?</v>
      </c>
      <c r="W60" s="25" t="e">
        <f t="shared" ref="W60" ca="1" si="744">W59-W56</f>
        <v>#NAME?</v>
      </c>
      <c r="X60" s="25" t="e">
        <f t="shared" ref="X60:Y60" ca="1" si="745">X59-X56</f>
        <v>#NAME?</v>
      </c>
      <c r="Y60" s="25" t="e">
        <f t="shared" ca="1" si="745"/>
        <v>#NAME?</v>
      </c>
      <c r="Z60" s="25" t="e">
        <f t="shared" ref="Z60:AA60" ca="1" si="746">Z59-Z56</f>
        <v>#NAME?</v>
      </c>
      <c r="AA60" s="25" t="e">
        <f t="shared" ca="1" si="746"/>
        <v>#NAME?</v>
      </c>
      <c r="AB60" s="17" t="e">
        <f t="shared" ref="AA60:AD60" ca="1" si="747">AB59-AB56</f>
        <v>#NAME?</v>
      </c>
      <c r="AC60" s="17" t="e">
        <f t="shared" ca="1" si="747"/>
        <v>#NAME?</v>
      </c>
      <c r="AD60" s="17" t="e">
        <f t="shared" ca="1" si="747"/>
        <v>#NAME?</v>
      </c>
      <c r="AE60" s="17" t="e">
        <f t="shared" ref="AE60" ca="1" si="748">AE59-AE56</f>
        <v>#NAME?</v>
      </c>
      <c r="AI60" s="25" t="e">
        <f t="shared" ref="AI60" ca="1" si="749">AI59-AI56</f>
        <v>#NAME?</v>
      </c>
      <c r="AJ60" s="25" t="e">
        <f t="shared" ref="AJ60" ca="1" si="750">AJ59-AJ56</f>
        <v>#NAME?</v>
      </c>
      <c r="AK60" s="25" t="e">
        <f t="shared" ref="AK60:AM60" ca="1" si="751">AK59-AK56</f>
        <v>#NAME?</v>
      </c>
      <c r="AL60" s="25" t="e">
        <f t="shared" ca="1" si="751"/>
        <v>#NAME?</v>
      </c>
      <c r="AM60" s="25" t="e">
        <f t="shared" ca="1" si="751"/>
        <v>#NAME?</v>
      </c>
      <c r="AN60" s="25" t="e">
        <f t="shared" ref="AN60:AO60" ca="1" si="752">AN59-AN56</f>
        <v>#NAME?</v>
      </c>
      <c r="AO60" s="25" t="e">
        <f t="shared" ca="1" si="752"/>
        <v>#NAME?</v>
      </c>
      <c r="AP60" s="25" t="e">
        <f t="shared" ref="AP60:CD60" ca="1" si="753">AP59-AP56</f>
        <v>#NAME?</v>
      </c>
      <c r="AQ60" s="25" t="e">
        <f t="shared" ca="1" si="753"/>
        <v>#NAME?</v>
      </c>
      <c r="AR60" s="25" t="e">
        <f t="shared" ca="1" si="753"/>
        <v>#NAME?</v>
      </c>
      <c r="AS60" s="25" t="e">
        <f t="shared" ca="1" si="753"/>
        <v>#NAME?</v>
      </c>
      <c r="AT60" s="25" t="e">
        <f t="shared" ca="1" si="753"/>
        <v>#NAME?</v>
      </c>
      <c r="AU60" s="25" t="e">
        <f t="shared" ca="1" si="753"/>
        <v>#NAME?</v>
      </c>
      <c r="AV60" s="25" t="e">
        <f t="shared" ca="1" si="753"/>
        <v>#NAME?</v>
      </c>
      <c r="AW60" s="25" t="e">
        <f t="shared" ca="1" si="753"/>
        <v>#NAME?</v>
      </c>
      <c r="AX60" s="25" t="e">
        <f t="shared" ca="1" si="753"/>
        <v>#NAME?</v>
      </c>
      <c r="AY60" s="25" t="e">
        <f t="shared" ca="1" si="753"/>
        <v>#NAME?</v>
      </c>
      <c r="AZ60" s="25" t="e">
        <f t="shared" ca="1" si="753"/>
        <v>#NAME?</v>
      </c>
      <c r="BA60" s="25" t="e">
        <f t="shared" ca="1" si="753"/>
        <v>#NAME?</v>
      </c>
      <c r="BB60" s="25" t="e">
        <f t="shared" ca="1" si="753"/>
        <v>#NAME?</v>
      </c>
      <c r="BC60" s="25" t="e">
        <f t="shared" ca="1" si="753"/>
        <v>#NAME?</v>
      </c>
      <c r="BD60" s="25" t="e">
        <f t="shared" ca="1" si="753"/>
        <v>#NAME?</v>
      </c>
      <c r="BE60" s="25" t="e">
        <f t="shared" ca="1" si="753"/>
        <v>#NAME?</v>
      </c>
      <c r="BF60" s="25" t="e">
        <f t="shared" ca="1" si="753"/>
        <v>#NAME?</v>
      </c>
      <c r="BG60" s="25" t="e">
        <f t="shared" ca="1" si="753"/>
        <v>#NAME?</v>
      </c>
      <c r="BH60" s="25" t="e">
        <f t="shared" ca="1" si="753"/>
        <v>#NAME?</v>
      </c>
      <c r="BI60" s="25" t="e">
        <f t="shared" ca="1" si="753"/>
        <v>#NAME?</v>
      </c>
      <c r="BJ60" s="25" t="e">
        <f t="shared" ca="1" si="753"/>
        <v>#NAME?</v>
      </c>
      <c r="BK60" s="25" t="e">
        <f t="shared" ca="1" si="753"/>
        <v>#NAME?</v>
      </c>
      <c r="BL60" s="25" t="e">
        <f t="shared" ca="1" si="753"/>
        <v>#NAME?</v>
      </c>
      <c r="BM60" s="25" t="e">
        <f t="shared" ca="1" si="753"/>
        <v>#NAME?</v>
      </c>
      <c r="BN60" s="25" t="e">
        <f t="shared" ca="1" si="753"/>
        <v>#NAME?</v>
      </c>
      <c r="BO60" s="25" t="e">
        <f t="shared" ca="1" si="753"/>
        <v>#NAME?</v>
      </c>
      <c r="BP60" s="25" t="e">
        <f t="shared" ca="1" si="753"/>
        <v>#NAME?</v>
      </c>
      <c r="BQ60" s="25" t="e">
        <f t="shared" ca="1" si="753"/>
        <v>#NAME?</v>
      </c>
      <c r="BR60" s="25" t="e">
        <f t="shared" ca="1" si="753"/>
        <v>#NAME?</v>
      </c>
      <c r="BS60" s="25" t="e">
        <f t="shared" ca="1" si="753"/>
        <v>#NAME?</v>
      </c>
      <c r="BT60" s="25" t="e">
        <f t="shared" ca="1" si="753"/>
        <v>#NAME?</v>
      </c>
      <c r="BU60" s="25" t="e">
        <f t="shared" ca="1" si="753"/>
        <v>#NAME?</v>
      </c>
      <c r="BV60" s="25" t="e">
        <f t="shared" ca="1" si="753"/>
        <v>#NAME?</v>
      </c>
      <c r="BW60" s="25" t="e">
        <f t="shared" ca="1" si="753"/>
        <v>#NAME?</v>
      </c>
      <c r="BX60" s="25" t="e">
        <f t="shared" ca="1" si="753"/>
        <v>#NAME?</v>
      </c>
      <c r="BY60" s="25" t="e">
        <f t="shared" ca="1" si="753"/>
        <v>#NAME?</v>
      </c>
      <c r="BZ60" s="25" t="e">
        <f t="shared" ca="1" si="753"/>
        <v>#NAME?</v>
      </c>
      <c r="CA60" s="25" t="e">
        <f t="shared" ca="1" si="753"/>
        <v>#NAME?</v>
      </c>
      <c r="CB60" s="25" t="e">
        <f t="shared" ca="1" si="753"/>
        <v>#NAME?</v>
      </c>
      <c r="CC60" s="25" t="e">
        <f t="shared" ca="1" si="753"/>
        <v>#NAME?</v>
      </c>
      <c r="CD60" s="25" t="e">
        <f t="shared" ca="1" si="753"/>
        <v>#NAME?</v>
      </c>
      <c r="CE60" s="25" t="e">
        <f t="shared" ref="CE60:CF60" ca="1" si="754">CE59-CE56</f>
        <v>#NAME?</v>
      </c>
      <c r="CF60" s="25" t="e">
        <f t="shared" ca="1" si="754"/>
        <v>#NAME?</v>
      </c>
      <c r="CG60" s="25" t="e">
        <f t="shared" ref="CG60:CH60" ca="1" si="755">CG59-CG56</f>
        <v>#NAME?</v>
      </c>
      <c r="CH60" s="25" t="e">
        <f t="shared" ca="1" si="755"/>
        <v>#NAME?</v>
      </c>
      <c r="CI60" s="25" t="e">
        <f t="shared" ref="CI60:CJ60" ca="1" si="756">CI59-CI56</f>
        <v>#NAME?</v>
      </c>
      <c r="CJ60" s="25" t="e">
        <f t="shared" ca="1" si="756"/>
        <v>#NAME?</v>
      </c>
      <c r="CK60" s="25" t="e">
        <f t="shared" ref="CK60:CL60" ca="1" si="757">CK59-CK56</f>
        <v>#NAME?</v>
      </c>
      <c r="CL60" s="25" t="e">
        <f t="shared" ca="1" si="757"/>
        <v>#NAME?</v>
      </c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  <c r="DF60" s="25">
        <v>0</v>
      </c>
    </row>
    <row r="61" spans="1:110" s="1" customFormat="1" x14ac:dyDescent="0.2">
      <c r="A61" s="150" t="s">
        <v>487</v>
      </c>
      <c r="AB61" s="20"/>
      <c r="AC61" s="20"/>
      <c r="AD61" s="20"/>
      <c r="AE61" s="20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</row>
    <row r="62" spans="1:110" s="38" customFormat="1" x14ac:dyDescent="0.2">
      <c r="A62" s="38" t="s">
        <v>350</v>
      </c>
      <c r="B62" s="39" t="e">
        <f t="shared" ref="B62:AE62" ca="1" si="758">(B56-B55)/B133</f>
        <v>#NAME?</v>
      </c>
      <c r="C62" s="39" t="e">
        <f t="shared" ca="1" si="758"/>
        <v>#NAME?</v>
      </c>
      <c r="D62" s="39" t="e">
        <f t="shared" ca="1" si="758"/>
        <v>#NAME?</v>
      </c>
      <c r="E62" s="39" t="e">
        <f t="shared" ca="1" si="758"/>
        <v>#NAME?</v>
      </c>
      <c r="F62" s="39" t="e">
        <f t="shared" ca="1" si="758"/>
        <v>#NAME?</v>
      </c>
      <c r="G62" s="39" t="e">
        <f t="shared" ca="1" si="758"/>
        <v>#NAME?</v>
      </c>
      <c r="H62" s="39" t="e">
        <f t="shared" ca="1" si="758"/>
        <v>#NAME?</v>
      </c>
      <c r="I62" s="39" t="e">
        <f t="shared" ca="1" si="758"/>
        <v>#NAME?</v>
      </c>
      <c r="J62" s="39" t="e">
        <f t="shared" ca="1" si="758"/>
        <v>#NAME?</v>
      </c>
      <c r="K62" s="39" t="e">
        <f t="shared" ca="1" si="758"/>
        <v>#NAME?</v>
      </c>
      <c r="L62" s="39" t="e">
        <f t="shared" ca="1" si="758"/>
        <v>#NAME?</v>
      </c>
      <c r="M62" s="39" t="e">
        <f t="shared" ca="1" si="758"/>
        <v>#NAME?</v>
      </c>
      <c r="N62" s="39" t="e">
        <f t="shared" ca="1" si="758"/>
        <v>#NAME?</v>
      </c>
      <c r="O62" s="39" t="e">
        <f t="shared" ca="1" si="758"/>
        <v>#NAME?</v>
      </c>
      <c r="P62" s="39" t="e">
        <f t="shared" ca="1" si="758"/>
        <v>#NAME?</v>
      </c>
      <c r="Q62" s="39" t="e">
        <f t="shared" ca="1" si="758"/>
        <v>#NAME?</v>
      </c>
      <c r="R62" s="39" t="e">
        <f t="shared" ca="1" si="758"/>
        <v>#NAME?</v>
      </c>
      <c r="S62" s="39" t="e">
        <f t="shared" ca="1" si="758"/>
        <v>#NAME?</v>
      </c>
      <c r="T62" s="39" t="e">
        <f t="shared" ca="1" si="758"/>
        <v>#NAME?</v>
      </c>
      <c r="U62" s="39" t="e">
        <f t="shared" ca="1" si="758"/>
        <v>#NAME?</v>
      </c>
      <c r="V62" s="39" t="e">
        <f t="shared" ca="1" si="758"/>
        <v>#NAME?</v>
      </c>
      <c r="W62" s="39" t="e">
        <f t="shared" ca="1" si="758"/>
        <v>#NAME?</v>
      </c>
      <c r="X62" s="39" t="e">
        <f t="shared" ca="1" si="758"/>
        <v>#NAME?</v>
      </c>
      <c r="Y62" s="39" t="e">
        <f t="shared" ca="1" si="758"/>
        <v>#NAME?</v>
      </c>
      <c r="Z62" s="39" t="e">
        <f t="shared" ca="1" si="758"/>
        <v>#NAME?</v>
      </c>
      <c r="AA62" s="39" t="e">
        <f t="shared" ref="AA62" ca="1" si="759">(AA56-AA55)/AA133</f>
        <v>#NAME?</v>
      </c>
      <c r="AB62" s="40" t="e">
        <f t="shared" ca="1" si="758"/>
        <v>#NAME?</v>
      </c>
      <c r="AC62" s="40" t="e">
        <f t="shared" ca="1" si="758"/>
        <v>#NAME?</v>
      </c>
      <c r="AD62" s="40" t="e">
        <f t="shared" ca="1" si="758"/>
        <v>#NAME?</v>
      </c>
      <c r="AE62" s="40" t="e">
        <f t="shared" ca="1" si="758"/>
        <v>#NAME?</v>
      </c>
      <c r="AF62" s="39"/>
      <c r="AG62" s="39"/>
      <c r="AH62" s="39"/>
      <c r="AI62" s="39"/>
      <c r="AJ62" s="39"/>
      <c r="AK62" s="39"/>
      <c r="AL62" s="39" t="e">
        <f t="shared" ref="AL62:BQ62" ca="1" si="760">(SUM(AI56:AL56)-SUM(AI55:AL55))/AL133</f>
        <v>#NAME?</v>
      </c>
      <c r="AM62" s="39" t="e">
        <f t="shared" ca="1" si="760"/>
        <v>#NAME?</v>
      </c>
      <c r="AN62" s="39" t="e">
        <f t="shared" ca="1" si="760"/>
        <v>#NAME?</v>
      </c>
      <c r="AO62" s="39" t="e">
        <f t="shared" ca="1" si="760"/>
        <v>#NAME?</v>
      </c>
      <c r="AP62" s="39" t="e">
        <f t="shared" ca="1" si="760"/>
        <v>#NAME?</v>
      </c>
      <c r="AQ62" s="39" t="e">
        <f t="shared" ca="1" si="760"/>
        <v>#NAME?</v>
      </c>
      <c r="AR62" s="39" t="e">
        <f t="shared" ca="1" si="760"/>
        <v>#NAME?</v>
      </c>
      <c r="AS62" s="39" t="e">
        <f t="shared" ca="1" si="760"/>
        <v>#NAME?</v>
      </c>
      <c r="AT62" s="39" t="e">
        <f t="shared" ca="1" si="760"/>
        <v>#NAME?</v>
      </c>
      <c r="AU62" s="39" t="e">
        <f t="shared" ca="1" si="760"/>
        <v>#NAME?</v>
      </c>
      <c r="AV62" s="39" t="e">
        <f t="shared" ca="1" si="760"/>
        <v>#NAME?</v>
      </c>
      <c r="AW62" s="39" t="e">
        <f t="shared" ca="1" si="760"/>
        <v>#NAME?</v>
      </c>
      <c r="AX62" s="39" t="e">
        <f t="shared" ca="1" si="760"/>
        <v>#NAME?</v>
      </c>
      <c r="AY62" s="39" t="e">
        <f t="shared" ca="1" si="760"/>
        <v>#NAME?</v>
      </c>
      <c r="AZ62" s="39" t="e">
        <f t="shared" ca="1" si="760"/>
        <v>#NAME?</v>
      </c>
      <c r="BA62" s="39" t="e">
        <f t="shared" ca="1" si="760"/>
        <v>#NAME?</v>
      </c>
      <c r="BB62" s="39" t="e">
        <f t="shared" ca="1" si="760"/>
        <v>#NAME?</v>
      </c>
      <c r="BC62" s="39" t="e">
        <f t="shared" ca="1" si="760"/>
        <v>#NAME?</v>
      </c>
      <c r="BD62" s="39" t="e">
        <f t="shared" ca="1" si="760"/>
        <v>#NAME?</v>
      </c>
      <c r="BE62" s="39" t="e">
        <f t="shared" ca="1" si="760"/>
        <v>#NAME?</v>
      </c>
      <c r="BF62" s="39" t="e">
        <f t="shared" ca="1" si="760"/>
        <v>#NAME?</v>
      </c>
      <c r="BG62" s="39" t="e">
        <f t="shared" ca="1" si="760"/>
        <v>#NAME?</v>
      </c>
      <c r="BH62" s="39" t="e">
        <f t="shared" ca="1" si="760"/>
        <v>#NAME?</v>
      </c>
      <c r="BI62" s="39" t="e">
        <f t="shared" ca="1" si="760"/>
        <v>#NAME?</v>
      </c>
      <c r="BJ62" s="39" t="e">
        <f t="shared" ca="1" si="760"/>
        <v>#NAME?</v>
      </c>
      <c r="BK62" s="39" t="e">
        <f t="shared" ca="1" si="760"/>
        <v>#NAME?</v>
      </c>
      <c r="BL62" s="39" t="e">
        <f t="shared" ca="1" si="760"/>
        <v>#NAME?</v>
      </c>
      <c r="BM62" s="39" t="e">
        <f t="shared" ca="1" si="760"/>
        <v>#NAME?</v>
      </c>
      <c r="BN62" s="39" t="e">
        <f t="shared" ca="1" si="760"/>
        <v>#NAME?</v>
      </c>
      <c r="BO62" s="39" t="e">
        <f t="shared" ca="1" si="760"/>
        <v>#NAME?</v>
      </c>
      <c r="BP62" s="39" t="e">
        <f t="shared" ca="1" si="760"/>
        <v>#NAME?</v>
      </c>
      <c r="BQ62" s="39" t="e">
        <f t="shared" ca="1" si="760"/>
        <v>#NAME?</v>
      </c>
      <c r="BR62" s="39" t="e">
        <f t="shared" ref="BR62:CW62" ca="1" si="761">(SUM(BO56:BR56)-SUM(BO55:BR55))/BR133</f>
        <v>#NAME?</v>
      </c>
      <c r="BS62" s="39" t="e">
        <f t="shared" ca="1" si="761"/>
        <v>#NAME?</v>
      </c>
      <c r="BT62" s="39" t="e">
        <f t="shared" ca="1" si="761"/>
        <v>#NAME?</v>
      </c>
      <c r="BU62" s="39" t="e">
        <f t="shared" ca="1" si="761"/>
        <v>#NAME?</v>
      </c>
      <c r="BV62" s="39" t="e">
        <f t="shared" ca="1" si="761"/>
        <v>#NAME?</v>
      </c>
      <c r="BW62" s="39" t="e">
        <f t="shared" ca="1" si="761"/>
        <v>#NAME?</v>
      </c>
      <c r="BX62" s="39" t="e">
        <f t="shared" ca="1" si="761"/>
        <v>#NAME?</v>
      </c>
      <c r="BY62" s="39" t="e">
        <f t="shared" ca="1" si="761"/>
        <v>#NAME?</v>
      </c>
      <c r="BZ62" s="39" t="e">
        <f t="shared" ca="1" si="761"/>
        <v>#NAME?</v>
      </c>
      <c r="CA62" s="39" t="e">
        <f t="shared" ca="1" si="761"/>
        <v>#NAME?</v>
      </c>
      <c r="CB62" s="39" t="e">
        <f t="shared" ca="1" si="761"/>
        <v>#NAME?</v>
      </c>
      <c r="CC62" s="39" t="e">
        <f t="shared" ca="1" si="761"/>
        <v>#NAME?</v>
      </c>
      <c r="CD62" s="39" t="e">
        <f t="shared" ca="1" si="761"/>
        <v>#NAME?</v>
      </c>
      <c r="CE62" s="39" t="e">
        <f t="shared" ca="1" si="761"/>
        <v>#NAME?</v>
      </c>
      <c r="CF62" s="39" t="e">
        <f t="shared" ca="1" si="761"/>
        <v>#NAME?</v>
      </c>
      <c r="CG62" s="39" t="e">
        <f t="shared" ca="1" si="761"/>
        <v>#NAME?</v>
      </c>
      <c r="CH62" s="39" t="e">
        <f t="shared" ca="1" si="761"/>
        <v>#NAME?</v>
      </c>
      <c r="CI62" s="39" t="e">
        <f t="shared" ca="1" si="761"/>
        <v>#NAME?</v>
      </c>
      <c r="CJ62" s="39" t="e">
        <f t="shared" ca="1" si="761"/>
        <v>#NAME?</v>
      </c>
      <c r="CK62" s="39" t="e">
        <f t="shared" ca="1" si="761"/>
        <v>#NAME?</v>
      </c>
      <c r="CL62" s="39" t="e">
        <f t="shared" ca="1" si="761"/>
        <v>#NAME?</v>
      </c>
      <c r="CM62" s="40" t="e">
        <f t="shared" ca="1" si="761"/>
        <v>#NAME?</v>
      </c>
      <c r="CN62" s="40" t="e">
        <f t="shared" ca="1" si="761"/>
        <v>#NAME?</v>
      </c>
      <c r="CO62" s="40" t="e">
        <f t="shared" ca="1" si="761"/>
        <v>#NAME?</v>
      </c>
      <c r="CP62" s="40" t="e">
        <f t="shared" ca="1" si="761"/>
        <v>#NAME?</v>
      </c>
      <c r="CQ62" s="40" t="e">
        <f t="shared" ca="1" si="761"/>
        <v>#NAME?</v>
      </c>
      <c r="CR62" s="40" t="e">
        <f t="shared" ca="1" si="761"/>
        <v>#NAME?</v>
      </c>
      <c r="CS62" s="40" t="e">
        <f t="shared" ca="1" si="761"/>
        <v>#NAME?</v>
      </c>
      <c r="CT62" s="40" t="e">
        <f t="shared" ca="1" si="761"/>
        <v>#NAME?</v>
      </c>
      <c r="CU62" s="40" t="e">
        <f t="shared" ca="1" si="761"/>
        <v>#NAME?</v>
      </c>
      <c r="CV62" s="40" t="e">
        <f t="shared" ca="1" si="761"/>
        <v>#NAME?</v>
      </c>
      <c r="CW62" s="40" t="e">
        <f t="shared" ca="1" si="761"/>
        <v>#NAME?</v>
      </c>
      <c r="CX62" s="40" t="e">
        <f t="shared" ref="CX62:DB62" ca="1" si="762">(SUM(CU56:CX56)-SUM(CU55:CX55))/CX133</f>
        <v>#NAME?</v>
      </c>
      <c r="CY62" s="40" t="e">
        <f t="shared" ca="1" si="762"/>
        <v>#NAME?</v>
      </c>
      <c r="CZ62" s="40" t="e">
        <f t="shared" ca="1" si="762"/>
        <v>#NAME?</v>
      </c>
      <c r="DA62" s="40" t="e">
        <f t="shared" ca="1" si="762"/>
        <v>#NAME?</v>
      </c>
      <c r="DB62" s="40" t="e">
        <f t="shared" ca="1" si="762"/>
        <v>#NAME?</v>
      </c>
      <c r="DE62" s="122"/>
      <c r="DF62" s="38">
        <v>8.2362270107563446E-2</v>
      </c>
    </row>
    <row r="63" spans="1:110" s="38" customFormat="1" x14ac:dyDescent="0.2">
      <c r="A63" s="38" t="s">
        <v>351</v>
      </c>
      <c r="B63" s="39" t="e">
        <f t="shared" ref="B63:AE63" ca="1" si="763">+B42/B142</f>
        <v>#NAME?</v>
      </c>
      <c r="C63" s="39" t="e">
        <f t="shared" ca="1" si="763"/>
        <v>#NAME?</v>
      </c>
      <c r="D63" s="39" t="e">
        <f t="shared" ca="1" si="763"/>
        <v>#NAME?</v>
      </c>
      <c r="E63" s="39" t="e">
        <f t="shared" ca="1" si="763"/>
        <v>#NAME?</v>
      </c>
      <c r="F63" s="39" t="e">
        <f t="shared" ca="1" si="763"/>
        <v>#NAME?</v>
      </c>
      <c r="G63" s="39" t="e">
        <f t="shared" ca="1" si="763"/>
        <v>#NAME?</v>
      </c>
      <c r="H63" s="39" t="e">
        <f t="shared" ca="1" si="763"/>
        <v>#NAME?</v>
      </c>
      <c r="I63" s="39" t="e">
        <f t="shared" ca="1" si="763"/>
        <v>#NAME?</v>
      </c>
      <c r="J63" s="39" t="e">
        <f t="shared" ca="1" si="763"/>
        <v>#NAME?</v>
      </c>
      <c r="K63" s="39" t="e">
        <f t="shared" ca="1" si="763"/>
        <v>#NAME?</v>
      </c>
      <c r="L63" s="39" t="e">
        <f t="shared" ca="1" si="763"/>
        <v>#NAME?</v>
      </c>
      <c r="M63" s="39" t="e">
        <f t="shared" ca="1" si="763"/>
        <v>#NAME?</v>
      </c>
      <c r="N63" s="39" t="e">
        <f t="shared" ca="1" si="763"/>
        <v>#NAME?</v>
      </c>
      <c r="O63" s="39" t="e">
        <f t="shared" ca="1" si="763"/>
        <v>#NAME?</v>
      </c>
      <c r="P63" s="39" t="e">
        <f t="shared" ca="1" si="763"/>
        <v>#NAME?</v>
      </c>
      <c r="Q63" s="39" t="e">
        <f t="shared" ca="1" si="763"/>
        <v>#NAME?</v>
      </c>
      <c r="R63" s="39" t="e">
        <f t="shared" ca="1" si="763"/>
        <v>#NAME?</v>
      </c>
      <c r="S63" s="39" t="e">
        <f t="shared" ca="1" si="763"/>
        <v>#NAME?</v>
      </c>
      <c r="T63" s="39" t="e">
        <f t="shared" ca="1" si="763"/>
        <v>#NAME?</v>
      </c>
      <c r="U63" s="39" t="e">
        <f t="shared" ca="1" si="763"/>
        <v>#NAME?</v>
      </c>
      <c r="V63" s="39" t="e">
        <f t="shared" ca="1" si="763"/>
        <v>#NAME?</v>
      </c>
      <c r="W63" s="39" t="e">
        <f t="shared" ca="1" si="763"/>
        <v>#NAME?</v>
      </c>
      <c r="X63" s="39" t="e">
        <f t="shared" ca="1" si="763"/>
        <v>#NAME?</v>
      </c>
      <c r="Y63" s="39" t="e">
        <f t="shared" ca="1" si="763"/>
        <v>#NAME?</v>
      </c>
      <c r="Z63" s="39" t="e">
        <f t="shared" ca="1" si="763"/>
        <v>#NAME?</v>
      </c>
      <c r="AA63" s="39" t="e">
        <f t="shared" ref="AA63" ca="1" si="764">+AA42/AA142</f>
        <v>#NAME?</v>
      </c>
      <c r="AB63" s="40" t="e">
        <f t="shared" ca="1" si="763"/>
        <v>#NAME?</v>
      </c>
      <c r="AC63" s="40" t="e">
        <f t="shared" ca="1" si="763"/>
        <v>#NAME?</v>
      </c>
      <c r="AD63" s="40" t="e">
        <f t="shared" ca="1" si="763"/>
        <v>#NAME?</v>
      </c>
      <c r="AE63" s="40" t="e">
        <f t="shared" ca="1" si="763"/>
        <v>#NAME?</v>
      </c>
      <c r="AF63" s="39"/>
      <c r="AG63" s="39"/>
      <c r="AH63" s="39"/>
      <c r="AI63" s="39"/>
      <c r="AJ63" s="39"/>
      <c r="AK63" s="39"/>
      <c r="AL63" s="39" t="e">
        <f t="shared" ref="AL63:BQ63" ca="1" si="765">+SUM(AI42:AL42)/AL142</f>
        <v>#NAME?</v>
      </c>
      <c r="AM63" s="39" t="e">
        <f t="shared" ca="1" si="765"/>
        <v>#NAME?</v>
      </c>
      <c r="AN63" s="39" t="e">
        <f t="shared" ca="1" si="765"/>
        <v>#NAME?</v>
      </c>
      <c r="AO63" s="39" t="e">
        <f t="shared" ca="1" si="765"/>
        <v>#NAME?</v>
      </c>
      <c r="AP63" s="39" t="e">
        <f t="shared" ca="1" si="765"/>
        <v>#NAME?</v>
      </c>
      <c r="AQ63" s="39" t="e">
        <f t="shared" ca="1" si="765"/>
        <v>#NAME?</v>
      </c>
      <c r="AR63" s="39" t="e">
        <f t="shared" ca="1" si="765"/>
        <v>#NAME?</v>
      </c>
      <c r="AS63" s="39" t="e">
        <f t="shared" ca="1" si="765"/>
        <v>#NAME?</v>
      </c>
      <c r="AT63" s="39" t="e">
        <f t="shared" ca="1" si="765"/>
        <v>#NAME?</v>
      </c>
      <c r="AU63" s="39" t="e">
        <f t="shared" ca="1" si="765"/>
        <v>#NAME?</v>
      </c>
      <c r="AV63" s="39" t="e">
        <f t="shared" ca="1" si="765"/>
        <v>#NAME?</v>
      </c>
      <c r="AW63" s="39" t="e">
        <f t="shared" ca="1" si="765"/>
        <v>#NAME?</v>
      </c>
      <c r="AX63" s="39" t="e">
        <f t="shared" ca="1" si="765"/>
        <v>#NAME?</v>
      </c>
      <c r="AY63" s="39" t="e">
        <f t="shared" ca="1" si="765"/>
        <v>#NAME?</v>
      </c>
      <c r="AZ63" s="39" t="e">
        <f t="shared" ca="1" si="765"/>
        <v>#NAME?</v>
      </c>
      <c r="BA63" s="39" t="e">
        <f t="shared" ca="1" si="765"/>
        <v>#NAME?</v>
      </c>
      <c r="BB63" s="39" t="e">
        <f t="shared" ca="1" si="765"/>
        <v>#NAME?</v>
      </c>
      <c r="BC63" s="39" t="e">
        <f t="shared" ca="1" si="765"/>
        <v>#NAME?</v>
      </c>
      <c r="BD63" s="39" t="e">
        <f t="shared" ca="1" si="765"/>
        <v>#NAME?</v>
      </c>
      <c r="BE63" s="39" t="e">
        <f t="shared" ca="1" si="765"/>
        <v>#NAME?</v>
      </c>
      <c r="BF63" s="39" t="e">
        <f t="shared" ca="1" si="765"/>
        <v>#NAME?</v>
      </c>
      <c r="BG63" s="39" t="e">
        <f t="shared" ca="1" si="765"/>
        <v>#NAME?</v>
      </c>
      <c r="BH63" s="39" t="e">
        <f t="shared" ca="1" si="765"/>
        <v>#NAME?</v>
      </c>
      <c r="BI63" s="39" t="e">
        <f t="shared" ca="1" si="765"/>
        <v>#NAME?</v>
      </c>
      <c r="BJ63" s="39" t="e">
        <f t="shared" ca="1" si="765"/>
        <v>#NAME?</v>
      </c>
      <c r="BK63" s="39" t="e">
        <f t="shared" ca="1" si="765"/>
        <v>#NAME?</v>
      </c>
      <c r="BL63" s="39" t="e">
        <f t="shared" ca="1" si="765"/>
        <v>#NAME?</v>
      </c>
      <c r="BM63" s="39" t="e">
        <f t="shared" ca="1" si="765"/>
        <v>#NAME?</v>
      </c>
      <c r="BN63" s="39" t="e">
        <f t="shared" ca="1" si="765"/>
        <v>#NAME?</v>
      </c>
      <c r="BO63" s="39" t="e">
        <f t="shared" ca="1" si="765"/>
        <v>#NAME?</v>
      </c>
      <c r="BP63" s="39" t="e">
        <f t="shared" ca="1" si="765"/>
        <v>#NAME?</v>
      </c>
      <c r="BQ63" s="39" t="e">
        <f t="shared" ca="1" si="765"/>
        <v>#NAME?</v>
      </c>
      <c r="BR63" s="39" t="e">
        <f t="shared" ref="BR63:CW63" ca="1" si="766">+SUM(BO42:BR42)/BR142</f>
        <v>#NAME?</v>
      </c>
      <c r="BS63" s="39" t="e">
        <f t="shared" ca="1" si="766"/>
        <v>#NAME?</v>
      </c>
      <c r="BT63" s="39" t="e">
        <f t="shared" ca="1" si="766"/>
        <v>#NAME?</v>
      </c>
      <c r="BU63" s="39" t="e">
        <f t="shared" ca="1" si="766"/>
        <v>#NAME?</v>
      </c>
      <c r="BV63" s="39" t="e">
        <f t="shared" ca="1" si="766"/>
        <v>#NAME?</v>
      </c>
      <c r="BW63" s="39" t="e">
        <f t="shared" ca="1" si="766"/>
        <v>#NAME?</v>
      </c>
      <c r="BX63" s="39" t="e">
        <f t="shared" ca="1" si="766"/>
        <v>#NAME?</v>
      </c>
      <c r="BY63" s="39" t="e">
        <f t="shared" ca="1" si="766"/>
        <v>#NAME?</v>
      </c>
      <c r="BZ63" s="39" t="e">
        <f t="shared" ca="1" si="766"/>
        <v>#NAME?</v>
      </c>
      <c r="CA63" s="39" t="e">
        <f t="shared" ca="1" si="766"/>
        <v>#NAME?</v>
      </c>
      <c r="CB63" s="39" t="e">
        <f t="shared" ca="1" si="766"/>
        <v>#NAME?</v>
      </c>
      <c r="CC63" s="39" t="e">
        <f t="shared" ca="1" si="766"/>
        <v>#NAME?</v>
      </c>
      <c r="CD63" s="39" t="e">
        <f t="shared" ca="1" si="766"/>
        <v>#NAME?</v>
      </c>
      <c r="CE63" s="39" t="e">
        <f t="shared" ca="1" si="766"/>
        <v>#NAME?</v>
      </c>
      <c r="CF63" s="39" t="e">
        <f t="shared" ca="1" si="766"/>
        <v>#NAME?</v>
      </c>
      <c r="CG63" s="39" t="e">
        <f t="shared" ca="1" si="766"/>
        <v>#NAME?</v>
      </c>
      <c r="CH63" s="39" t="e">
        <f t="shared" ca="1" si="766"/>
        <v>#NAME?</v>
      </c>
      <c r="CI63" s="39" t="e">
        <f t="shared" ca="1" si="766"/>
        <v>#NAME?</v>
      </c>
      <c r="CJ63" s="39" t="e">
        <f t="shared" ca="1" si="766"/>
        <v>#NAME?</v>
      </c>
      <c r="CK63" s="39" t="e">
        <f t="shared" ca="1" si="766"/>
        <v>#NAME?</v>
      </c>
      <c r="CL63" s="39" t="e">
        <f t="shared" ca="1" si="766"/>
        <v>#NAME?</v>
      </c>
      <c r="CM63" s="40" t="e">
        <f t="shared" ca="1" si="766"/>
        <v>#NAME?</v>
      </c>
      <c r="CN63" s="40" t="e">
        <f t="shared" ca="1" si="766"/>
        <v>#NAME?</v>
      </c>
      <c r="CO63" s="40" t="e">
        <f t="shared" ca="1" si="766"/>
        <v>#NAME?</v>
      </c>
      <c r="CP63" s="40" t="e">
        <f t="shared" ca="1" si="766"/>
        <v>#NAME?</v>
      </c>
      <c r="CQ63" s="40" t="e">
        <f t="shared" ca="1" si="766"/>
        <v>#NAME?</v>
      </c>
      <c r="CR63" s="40" t="e">
        <f t="shared" ca="1" si="766"/>
        <v>#NAME?</v>
      </c>
      <c r="CS63" s="40" t="e">
        <f t="shared" ca="1" si="766"/>
        <v>#NAME?</v>
      </c>
      <c r="CT63" s="40" t="e">
        <f t="shared" ca="1" si="766"/>
        <v>#NAME?</v>
      </c>
      <c r="CU63" s="40" t="e">
        <f t="shared" ca="1" si="766"/>
        <v>#NAME?</v>
      </c>
      <c r="CV63" s="40" t="e">
        <f t="shared" ca="1" si="766"/>
        <v>#NAME?</v>
      </c>
      <c r="CW63" s="40" t="e">
        <f t="shared" ca="1" si="766"/>
        <v>#NAME?</v>
      </c>
      <c r="CX63" s="40" t="e">
        <f t="shared" ref="CX63:DB63" ca="1" si="767">+SUM(CU42:CX42)/CX142</f>
        <v>#NAME?</v>
      </c>
      <c r="CY63" s="40" t="e">
        <f t="shared" ca="1" si="767"/>
        <v>#NAME?</v>
      </c>
      <c r="CZ63" s="40" t="e">
        <f t="shared" ca="1" si="767"/>
        <v>#NAME?</v>
      </c>
      <c r="DA63" s="40" t="e">
        <f t="shared" ca="1" si="767"/>
        <v>#NAME?</v>
      </c>
      <c r="DB63" s="40" t="e">
        <f t="shared" ca="1" si="767"/>
        <v>#NAME?</v>
      </c>
      <c r="DE63" s="122"/>
      <c r="DF63" s="38">
        <v>3.8671737111298628E-2</v>
      </c>
    </row>
    <row r="64" spans="1:110" s="1" customFormat="1" x14ac:dyDescent="0.2">
      <c r="A64" s="150" t="s">
        <v>488</v>
      </c>
      <c r="AB64" s="20"/>
      <c r="AC64" s="20"/>
      <c r="AD64" s="20"/>
      <c r="AE64" s="20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</row>
    <row r="65" spans="1:110" s="8" customFormat="1" x14ac:dyDescent="0.2">
      <c r="A65" s="12" t="s">
        <v>26</v>
      </c>
      <c r="AB65" s="58"/>
      <c r="AC65" s="58"/>
      <c r="AD65" s="58"/>
      <c r="AE65" s="58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E65" s="132"/>
    </row>
    <row r="66" spans="1:110" s="9" customFormat="1" x14ac:dyDescent="0.2">
      <c r="A66" s="9" t="s">
        <v>453</v>
      </c>
      <c r="N66" s="9" t="e">
        <f ca="1">N18-SUM(AI18:AL18)</f>
        <v>#NAME?</v>
      </c>
      <c r="O66" s="9" t="e">
        <f ca="1">O18-SUM(AM18:AP18)</f>
        <v>#NAME?</v>
      </c>
      <c r="P66" s="9" t="e">
        <f ca="1">P18-SUM(AQ18:AT18)</f>
        <v>#NAME?</v>
      </c>
      <c r="Q66" s="9" t="e">
        <f ca="1">Q18-SUM(AU18:AX18)</f>
        <v>#NAME?</v>
      </c>
      <c r="R66" s="9" t="e">
        <f ca="1">R18-SUM(AY18:BB18)</f>
        <v>#NAME?</v>
      </c>
      <c r="S66" s="9" t="e">
        <f ca="1">S18-SUM(BC18:BF18)</f>
        <v>#NAME?</v>
      </c>
      <c r="T66" s="9" t="e">
        <f ca="1">T18-SUM(BG18:BJ18)</f>
        <v>#NAME?</v>
      </c>
      <c r="U66" s="9" t="e">
        <f ca="1">U18-SUM(BK18:BN18)</f>
        <v>#NAME?</v>
      </c>
      <c r="V66" s="9" t="e">
        <f ca="1">V18-SUM(BO18:BR18)</f>
        <v>#NAME?</v>
      </c>
      <c r="W66" s="9" t="e">
        <f ca="1">W18-SUM(BS18:BV18)</f>
        <v>#NAME?</v>
      </c>
      <c r="X66" s="9" t="e">
        <f ca="1">X18-SUM(BW18:BZ18)</f>
        <v>#NAME?</v>
      </c>
      <c r="Y66" s="9" t="e">
        <f ca="1">Y18-SUM(CA18:CD18)</f>
        <v>#NAME?</v>
      </c>
      <c r="Z66" s="9" t="e">
        <f ca="1">Z18-SUM(CE18:CH18)</f>
        <v>#NAME?</v>
      </c>
      <c r="AA66" s="9" t="e">
        <f ca="1">AA18-SUM(CF18:CI18)</f>
        <v>#NAME?</v>
      </c>
      <c r="AB66" s="15" t="e">
        <f ca="1">AB18-SUM(CM18:CP18)</f>
        <v>#NAME?</v>
      </c>
      <c r="AC66" s="15" t="e">
        <f ca="1">AC18-SUM(CQ18:CT18)</f>
        <v>#NAME?</v>
      </c>
      <c r="AD66" s="15" t="e">
        <f ca="1">AD18-SUM(CU18:CX18)</f>
        <v>#NAME?</v>
      </c>
      <c r="AE66" s="15" t="e">
        <f ca="1">AE18-SUM(CY18:DB18)</f>
        <v>#NAME?</v>
      </c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E66" s="133"/>
      <c r="DF66" s="9">
        <v>0</v>
      </c>
    </row>
    <row r="67" spans="1:110" s="9" customFormat="1" x14ac:dyDescent="0.2">
      <c r="A67" s="9" t="s">
        <v>454</v>
      </c>
      <c r="N67" s="9" t="e">
        <f ca="1">N24-SUM(AI24:AL24)</f>
        <v>#NAME?</v>
      </c>
      <c r="O67" s="9" t="e">
        <f ca="1">O24-SUM(AM24:AP24)</f>
        <v>#NAME?</v>
      </c>
      <c r="P67" s="9" t="e">
        <f ca="1">P24-SUM(AQ24:AT24)</f>
        <v>#NAME?</v>
      </c>
      <c r="Q67" s="9" t="e">
        <f ca="1">Q24-SUM(AU24:AX24)</f>
        <v>#NAME?</v>
      </c>
      <c r="R67" s="9" t="e">
        <f ca="1">R24-SUM(AY24:BB24)</f>
        <v>#NAME?</v>
      </c>
      <c r="S67" s="9" t="e">
        <f ca="1">S24-SUM(BC24:BF24)</f>
        <v>#NAME?</v>
      </c>
      <c r="T67" s="9" t="e">
        <f ca="1">T24-SUM(BG24:BJ24)</f>
        <v>#NAME?</v>
      </c>
      <c r="U67" s="9" t="e">
        <f ca="1">U24-SUM(BK24:BN24)</f>
        <v>#NAME?</v>
      </c>
      <c r="V67" s="9" t="e">
        <f ca="1">V24-SUM(BO24:BR24)</f>
        <v>#NAME?</v>
      </c>
      <c r="W67" s="9" t="e">
        <f ca="1">W24-SUM(BS24:BV24)</f>
        <v>#NAME?</v>
      </c>
      <c r="X67" s="9" t="e">
        <f ca="1">X24-SUM(BW24:BZ24)</f>
        <v>#NAME?</v>
      </c>
      <c r="Y67" s="9" t="e">
        <f ca="1">Y24-SUM(CA24:CD24)</f>
        <v>#NAME?</v>
      </c>
      <c r="Z67" s="9" t="e">
        <f ca="1">Z24-SUM(CE24:CH24)</f>
        <v>#NAME?</v>
      </c>
      <c r="AA67" s="9" t="e">
        <f ca="1">AA24-SUM(CF24:CI24)</f>
        <v>#NAME?</v>
      </c>
      <c r="AB67" s="15" t="e">
        <f ca="1">AB24-SUM(CM24:CP24)</f>
        <v>#NAME?</v>
      </c>
      <c r="AC67" s="15" t="e">
        <f ca="1">AC24-SUM(CQ24:CT24)</f>
        <v>#NAME?</v>
      </c>
      <c r="AD67" s="15" t="e">
        <f ca="1">AD24-SUM(CU24:CX24)</f>
        <v>#NAME?</v>
      </c>
      <c r="AE67" s="15" t="e">
        <f ca="1">AE24-SUM(CY24:DB24)</f>
        <v>#NAME?</v>
      </c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E67" s="133"/>
      <c r="DF67" s="9">
        <v>0</v>
      </c>
    </row>
    <row r="68" spans="1:110" s="9" customFormat="1" x14ac:dyDescent="0.2">
      <c r="A68" s="9" t="s">
        <v>455</v>
      </c>
      <c r="N68" s="9" t="e">
        <f ca="1">N36-SUM(AI36:AL36)</f>
        <v>#NAME?</v>
      </c>
      <c r="O68" s="9" t="e">
        <f ca="1">O36-SUM(AM36:AP36)</f>
        <v>#NAME?</v>
      </c>
      <c r="P68" s="9" t="e">
        <f ca="1">P36-SUM(AQ36:AT36)</f>
        <v>#NAME?</v>
      </c>
      <c r="Q68" s="9" t="e">
        <f ca="1">Q36-SUM(AU36:AX36)</f>
        <v>#NAME?</v>
      </c>
      <c r="R68" s="9" t="e">
        <f ca="1">R36-SUM(AY36:BB36)</f>
        <v>#NAME?</v>
      </c>
      <c r="S68" s="9" t="e">
        <f ca="1">S36-SUM(BC36:BF36)</f>
        <v>#NAME?</v>
      </c>
      <c r="T68" s="9" t="e">
        <f ca="1">T36-SUM(BG36:BJ36)</f>
        <v>#NAME?</v>
      </c>
      <c r="U68" s="9" t="e">
        <f ca="1">U36-SUM(BK36:BN36)</f>
        <v>#NAME?</v>
      </c>
      <c r="V68" s="9" t="e">
        <f ca="1">V36-SUM(BO36:BR36)</f>
        <v>#NAME?</v>
      </c>
      <c r="W68" s="9" t="e">
        <f ca="1">W36-SUM(BS36:BV36)</f>
        <v>#NAME?</v>
      </c>
      <c r="X68" s="9" t="e">
        <f ca="1">X36-SUM(BW36:BZ36)</f>
        <v>#NAME?</v>
      </c>
      <c r="Y68" s="9" t="e">
        <f ca="1">Y36-SUM(CA36:CD36)</f>
        <v>#NAME?</v>
      </c>
      <c r="Z68" s="9" t="e">
        <f ca="1">Z36-SUM(CE36:CH36)</f>
        <v>#NAME?</v>
      </c>
      <c r="AA68" s="9" t="e">
        <f ca="1">AA36-SUM(CF36:CI36)</f>
        <v>#NAME?</v>
      </c>
      <c r="AB68" s="15" t="e">
        <f ca="1">AB36-SUM(CM36:CP36)</f>
        <v>#NAME?</v>
      </c>
      <c r="AC68" s="15" t="e">
        <f ca="1">AC36-SUM(CQ36:CT36)</f>
        <v>#NAME?</v>
      </c>
      <c r="AD68" s="15" t="e">
        <f ca="1">AD36-SUM(CU36:CX36)</f>
        <v>#NAME?</v>
      </c>
      <c r="AE68" s="15" t="e">
        <f ca="1">AE36-SUM(CY36:DB36)</f>
        <v>#NAME?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E68" s="133"/>
      <c r="DF68" s="9">
        <v>0</v>
      </c>
    </row>
    <row r="69" spans="1:110" s="9" customFormat="1" x14ac:dyDescent="0.2">
      <c r="A69" s="9" t="s">
        <v>456</v>
      </c>
      <c r="N69" s="9" t="e">
        <f ca="1">N56-SUM(AI56:AL56)</f>
        <v>#NAME?</v>
      </c>
      <c r="O69" s="9" t="e">
        <f ca="1">O56-SUM(AM56:AP56)</f>
        <v>#NAME?</v>
      </c>
      <c r="P69" s="9" t="e">
        <f ca="1">P56-SUM(AQ56:AT56)</f>
        <v>#NAME?</v>
      </c>
      <c r="Q69" s="9" t="e">
        <f ca="1">Q56-SUM(AU56:AX56)</f>
        <v>#NAME?</v>
      </c>
      <c r="R69" s="9" t="e">
        <f ca="1">R56-SUM(AY56:BB56)</f>
        <v>#NAME?</v>
      </c>
      <c r="S69" s="9" t="e">
        <f ca="1">S56-SUM(BC56:BF56)</f>
        <v>#NAME?</v>
      </c>
      <c r="T69" s="9" t="e">
        <f ca="1">T56-SUM(BG56:BJ56)</f>
        <v>#NAME?</v>
      </c>
      <c r="U69" s="9" t="e">
        <f ca="1">U56-SUM(BK56:BN56)</f>
        <v>#NAME?</v>
      </c>
      <c r="V69" s="9" t="e">
        <f ca="1">V56-SUM(BO56:BR56)</f>
        <v>#NAME?</v>
      </c>
      <c r="W69" s="9" t="e">
        <f ca="1">W49-SUM(BS49:BV49)</f>
        <v>#NAME?</v>
      </c>
      <c r="X69" s="9" t="e">
        <f ca="1">X49-SUM(BW49:BZ49)</f>
        <v>#NAME?</v>
      </c>
      <c r="Y69" s="9" t="e">
        <f ca="1">Y49-SUM(CA49:CD49)</f>
        <v>#NAME?</v>
      </c>
      <c r="Z69" s="9" t="e">
        <f ca="1">Z49-SUM(CE49:CH49)</f>
        <v>#NAME?</v>
      </c>
      <c r="AA69" s="9" t="e">
        <f ca="1">AA49-SUM(CF49:CI49)</f>
        <v>#NAME?</v>
      </c>
      <c r="AB69" s="15" t="e">
        <f ca="1">AB49-SUM(CM49:CP49)</f>
        <v>#NAME?</v>
      </c>
      <c r="AC69" s="15" t="e">
        <f ca="1">AC49-SUM(CQ49:CT49)</f>
        <v>#NAME?</v>
      </c>
      <c r="AD69" s="15" t="e">
        <f ca="1">AD49-SUM(CU49:CX49)</f>
        <v>#NAME?</v>
      </c>
      <c r="AE69" s="15" t="e">
        <f ca="1">AE49-SUM(CY49:DB49)</f>
        <v>#NAME?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0</v>
      </c>
    </row>
    <row r="70" spans="1:110" s="8" customFormat="1" x14ac:dyDescent="0.2">
      <c r="A70" s="149" t="s">
        <v>489</v>
      </c>
      <c r="AB70" s="58"/>
      <c r="AC70" s="58"/>
      <c r="AD70" s="58"/>
      <c r="AE70" s="58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E70" s="132"/>
    </row>
    <row r="71" spans="1:110" s="3" customFormat="1" x14ac:dyDescent="0.2">
      <c r="A71" s="3" t="s">
        <v>27</v>
      </c>
      <c r="B71" s="3" t="e">
        <f ca="1">'Annual Raw'!C104</f>
        <v>#NAME?</v>
      </c>
      <c r="C71" s="3" t="e">
        <f ca="1">'Annual Raw'!D104</f>
        <v>#NAME?</v>
      </c>
      <c r="D71" s="3" t="e">
        <f ca="1">'Annual Raw'!E104</f>
        <v>#NAME?</v>
      </c>
      <c r="E71" s="3" t="e">
        <f t="shared" ref="E71:Y71" ca="1" si="768">+F71</f>
        <v>#NAME?</v>
      </c>
      <c r="F71" s="3" t="e">
        <f t="shared" ca="1" si="768"/>
        <v>#NAME?</v>
      </c>
      <c r="G71" s="3" t="e">
        <f t="shared" ca="1" si="768"/>
        <v>#NAME?</v>
      </c>
      <c r="H71" s="3" t="e">
        <f t="shared" ca="1" si="768"/>
        <v>#NAME?</v>
      </c>
      <c r="I71" s="3" t="e">
        <f t="shared" ca="1" si="768"/>
        <v>#NAME?</v>
      </c>
      <c r="J71" s="3" t="e">
        <f t="shared" ca="1" si="768"/>
        <v>#NAME?</v>
      </c>
      <c r="K71" s="3" t="e">
        <f t="shared" ca="1" si="768"/>
        <v>#NAME?</v>
      </c>
      <c r="L71" s="3" t="e">
        <f t="shared" ca="1" si="768"/>
        <v>#NAME?</v>
      </c>
      <c r="M71" s="3" t="e">
        <f t="shared" ca="1" si="768"/>
        <v>#NAME?</v>
      </c>
      <c r="N71" s="3" t="e">
        <f t="shared" ca="1" si="768"/>
        <v>#NAME?</v>
      </c>
      <c r="O71" s="3" t="e">
        <f t="shared" ca="1" si="768"/>
        <v>#NAME?</v>
      </c>
      <c r="P71" s="3" t="e">
        <f t="shared" ca="1" si="768"/>
        <v>#NAME?</v>
      </c>
      <c r="Q71" s="3" t="e">
        <f t="shared" ca="1" si="768"/>
        <v>#NAME?</v>
      </c>
      <c r="R71" s="3" t="e">
        <f t="shared" ca="1" si="768"/>
        <v>#NAME?</v>
      </c>
      <c r="S71" s="3" t="e">
        <f t="shared" ca="1" si="768"/>
        <v>#NAME?</v>
      </c>
      <c r="T71" s="3" t="e">
        <f t="shared" ca="1" si="768"/>
        <v>#NAME?</v>
      </c>
      <c r="U71" s="3" t="e">
        <f t="shared" ca="1" si="768"/>
        <v>#NAME?</v>
      </c>
      <c r="V71" s="3" t="e">
        <f t="shared" ca="1" si="768"/>
        <v>#NAME?</v>
      </c>
      <c r="W71" s="3" t="e">
        <f t="shared" ca="1" si="768"/>
        <v>#NAME?</v>
      </c>
      <c r="X71" s="3" t="e">
        <f t="shared" ca="1" si="768"/>
        <v>#NAME?</v>
      </c>
      <c r="Y71" s="3" t="e">
        <f t="shared" ca="1" si="768"/>
        <v>#NAME?</v>
      </c>
      <c r="Z71" s="3" t="e">
        <f ca="1">+AA71</f>
        <v>#NAME?</v>
      </c>
      <c r="AA71" s="3" t="e">
        <f ca="1">+AB71</f>
        <v>#NAME?</v>
      </c>
      <c r="AB71" s="37" t="e">
        <f ca="1">CP71</f>
        <v>#NAME?</v>
      </c>
      <c r="AC71" s="37" t="e">
        <f ca="1">CT71</f>
        <v>#NAME?</v>
      </c>
      <c r="AD71" s="37" t="e">
        <f ca="1">CX71</f>
        <v>#NAME?</v>
      </c>
      <c r="AE71" s="37" t="e">
        <f ca="1">DB71</f>
        <v>#NAME?</v>
      </c>
      <c r="AI71" s="3" t="e">
        <f t="shared" ref="AI71:CH71" ca="1" si="769">+AJ71</f>
        <v>#NAME?</v>
      </c>
      <c r="AJ71" s="3" t="e">
        <f t="shared" ca="1" si="769"/>
        <v>#NAME?</v>
      </c>
      <c r="AK71" s="3" t="e">
        <f t="shared" ca="1" si="769"/>
        <v>#NAME?</v>
      </c>
      <c r="AL71" s="3" t="e">
        <f t="shared" ca="1" si="769"/>
        <v>#NAME?</v>
      </c>
      <c r="AM71" s="3" t="e">
        <f t="shared" ca="1" si="769"/>
        <v>#NAME?</v>
      </c>
      <c r="AN71" s="3" t="e">
        <f t="shared" ca="1" si="769"/>
        <v>#NAME?</v>
      </c>
      <c r="AO71" s="3" t="e">
        <f t="shared" ca="1" si="769"/>
        <v>#NAME?</v>
      </c>
      <c r="AP71" s="3" t="e">
        <f t="shared" ca="1" si="769"/>
        <v>#NAME?</v>
      </c>
      <c r="AQ71" s="3" t="e">
        <f t="shared" ca="1" si="769"/>
        <v>#NAME?</v>
      </c>
      <c r="AR71" s="3" t="e">
        <f t="shared" ca="1" si="769"/>
        <v>#NAME?</v>
      </c>
      <c r="AS71" s="3" t="e">
        <f t="shared" ca="1" si="769"/>
        <v>#NAME?</v>
      </c>
      <c r="AT71" s="3" t="e">
        <f t="shared" ca="1" si="769"/>
        <v>#NAME?</v>
      </c>
      <c r="AU71" s="3" t="e">
        <f t="shared" ca="1" si="769"/>
        <v>#NAME?</v>
      </c>
      <c r="AV71" s="3" t="e">
        <f t="shared" ca="1" si="769"/>
        <v>#NAME?</v>
      </c>
      <c r="AW71" s="3" t="e">
        <f t="shared" ca="1" si="769"/>
        <v>#NAME?</v>
      </c>
      <c r="AX71" s="3" t="e">
        <f t="shared" ca="1" si="769"/>
        <v>#NAME?</v>
      </c>
      <c r="AY71" s="3" t="e">
        <f t="shared" ca="1" si="769"/>
        <v>#NAME?</v>
      </c>
      <c r="AZ71" s="3" t="e">
        <f t="shared" ca="1" si="769"/>
        <v>#NAME?</v>
      </c>
      <c r="BA71" s="3" t="e">
        <f t="shared" ca="1" si="769"/>
        <v>#NAME?</v>
      </c>
      <c r="BB71" s="3" t="e">
        <f t="shared" ca="1" si="769"/>
        <v>#NAME?</v>
      </c>
      <c r="BC71" s="3" t="e">
        <f t="shared" ca="1" si="769"/>
        <v>#NAME?</v>
      </c>
      <c r="BD71" s="3" t="e">
        <f t="shared" ca="1" si="769"/>
        <v>#NAME?</v>
      </c>
      <c r="BE71" s="3" t="e">
        <f t="shared" ca="1" si="769"/>
        <v>#NAME?</v>
      </c>
      <c r="BF71" s="3" t="e">
        <f t="shared" ca="1" si="769"/>
        <v>#NAME?</v>
      </c>
      <c r="BG71" s="3" t="e">
        <f t="shared" ca="1" si="769"/>
        <v>#NAME?</v>
      </c>
      <c r="BH71" s="3" t="e">
        <f t="shared" ca="1" si="769"/>
        <v>#NAME?</v>
      </c>
      <c r="BI71" s="3" t="e">
        <f t="shared" ca="1" si="769"/>
        <v>#NAME?</v>
      </c>
      <c r="BJ71" s="3" t="e">
        <f t="shared" ca="1" si="769"/>
        <v>#NAME?</v>
      </c>
      <c r="BK71" s="3" t="e">
        <f t="shared" ca="1" si="769"/>
        <v>#NAME?</v>
      </c>
      <c r="BL71" s="3" t="e">
        <f t="shared" ca="1" si="769"/>
        <v>#NAME?</v>
      </c>
      <c r="BM71" s="3" t="e">
        <f t="shared" ca="1" si="769"/>
        <v>#NAME?</v>
      </c>
      <c r="BN71" s="3" t="e">
        <f t="shared" ca="1" si="769"/>
        <v>#NAME?</v>
      </c>
      <c r="BO71" s="3" t="e">
        <f t="shared" ca="1" si="769"/>
        <v>#NAME?</v>
      </c>
      <c r="BP71" s="3" t="e">
        <f t="shared" ca="1" si="769"/>
        <v>#NAME?</v>
      </c>
      <c r="BQ71" s="3" t="e">
        <f t="shared" ca="1" si="769"/>
        <v>#NAME?</v>
      </c>
      <c r="BR71" s="3" t="e">
        <f t="shared" ca="1" si="769"/>
        <v>#NAME?</v>
      </c>
      <c r="BS71" s="3" t="e">
        <f t="shared" ca="1" si="769"/>
        <v>#NAME?</v>
      </c>
      <c r="BT71" s="3" t="e">
        <f t="shared" ca="1" si="769"/>
        <v>#NAME?</v>
      </c>
      <c r="BU71" s="3" t="e">
        <f t="shared" ca="1" si="769"/>
        <v>#NAME?</v>
      </c>
      <c r="BV71" s="3" t="e">
        <f t="shared" ca="1" si="769"/>
        <v>#NAME?</v>
      </c>
      <c r="BW71" s="3" t="e">
        <f t="shared" ca="1" si="769"/>
        <v>#NAME?</v>
      </c>
      <c r="BX71" s="3" t="e">
        <f t="shared" ca="1" si="769"/>
        <v>#NAME?</v>
      </c>
      <c r="BY71" s="3" t="e">
        <f t="shared" ca="1" si="769"/>
        <v>#NAME?</v>
      </c>
      <c r="BZ71" s="3" t="e">
        <f t="shared" ca="1" si="769"/>
        <v>#NAME?</v>
      </c>
      <c r="CA71" s="3" t="e">
        <f t="shared" ca="1" si="769"/>
        <v>#NAME?</v>
      </c>
      <c r="CB71" s="3" t="e">
        <f t="shared" ca="1" si="769"/>
        <v>#NAME?</v>
      </c>
      <c r="CC71" s="3" t="e">
        <f t="shared" ca="1" si="769"/>
        <v>#NAME?</v>
      </c>
      <c r="CD71" s="3" t="e">
        <f t="shared" ca="1" si="769"/>
        <v>#NAME?</v>
      </c>
      <c r="CE71" s="3" t="e">
        <f t="shared" ca="1" si="769"/>
        <v>#NAME?</v>
      </c>
      <c r="CF71" s="3" t="e">
        <f t="shared" ca="1" si="769"/>
        <v>#NAME?</v>
      </c>
      <c r="CG71" s="3" t="e">
        <f t="shared" ca="1" si="769"/>
        <v>#NAME?</v>
      </c>
      <c r="CH71" s="3" t="e">
        <f t="shared" ca="1" si="769"/>
        <v>#NAME?</v>
      </c>
      <c r="CI71" s="3" t="e">
        <f ca="1">+CJ71</f>
        <v>#NAME?</v>
      </c>
      <c r="CJ71" s="3" t="e">
        <f ca="1">'QTR Raw'!BD45</f>
        <v>#NAME?</v>
      </c>
      <c r="CK71" s="3" t="e">
        <f ca="1">'QTR Raw'!BE45</f>
        <v>#NAME?</v>
      </c>
      <c r="CL71" s="3" t="e">
        <f ca="1">'QTR Raw'!BF45</f>
        <v>#NAME?</v>
      </c>
      <c r="CM71" s="37" t="e">
        <f t="shared" ref="CM71" ca="1" si="770">+CL71</f>
        <v>#NAME?</v>
      </c>
      <c r="CN71" s="37" t="e">
        <f t="shared" ref="CN71:CN72" ca="1" si="771">+CM71</f>
        <v>#NAME?</v>
      </c>
      <c r="CO71" s="37" t="e">
        <f t="shared" ref="CO71:CO72" ca="1" si="772">+CN71</f>
        <v>#NAME?</v>
      </c>
      <c r="CP71" s="37" t="e">
        <f t="shared" ref="CP71:CP72" ca="1" si="773">+CO71</f>
        <v>#NAME?</v>
      </c>
      <c r="CQ71" s="37" t="e">
        <f t="shared" ref="CQ71:CQ72" ca="1" si="774">+CP71</f>
        <v>#NAME?</v>
      </c>
      <c r="CR71" s="37" t="e">
        <f t="shared" ref="CR71:CR72" ca="1" si="775">+CQ71</f>
        <v>#NAME?</v>
      </c>
      <c r="CS71" s="37" t="e">
        <f t="shared" ref="CS71:CS72" ca="1" si="776">+CR71</f>
        <v>#NAME?</v>
      </c>
      <c r="CT71" s="37" t="e">
        <f t="shared" ref="CT71:CT72" ca="1" si="777">+CS71</f>
        <v>#NAME?</v>
      </c>
      <c r="CU71" s="37" t="e">
        <f t="shared" ref="CU71:CU72" ca="1" si="778">+CT71</f>
        <v>#NAME?</v>
      </c>
      <c r="CV71" s="37" t="e">
        <f t="shared" ref="CV71:CV72" ca="1" si="779">+CU71</f>
        <v>#NAME?</v>
      </c>
      <c r="CW71" s="37" t="e">
        <f t="shared" ref="CW71:CW72" ca="1" si="780">+CV71</f>
        <v>#NAME?</v>
      </c>
      <c r="CX71" s="37" t="e">
        <f t="shared" ref="CX71:CX72" ca="1" si="781">+CW71</f>
        <v>#NAME?</v>
      </c>
      <c r="CY71" s="37" t="e">
        <f t="shared" ref="CY71:CY72" ca="1" si="782">+CX71</f>
        <v>#NAME?</v>
      </c>
      <c r="CZ71" s="37" t="e">
        <f t="shared" ref="CZ71:CZ72" ca="1" si="783">+CY71</f>
        <v>#NAME?</v>
      </c>
      <c r="DA71" s="37" t="e">
        <f t="shared" ref="DA71:DA72" ca="1" si="784">+CZ71</f>
        <v>#NAME?</v>
      </c>
      <c r="DB71" s="37" t="e">
        <f t="shared" ref="DB71:DB72" ca="1" si="785">+DA71</f>
        <v>#NAME?</v>
      </c>
      <c r="DE71" s="134"/>
      <c r="DF71" s="3">
        <v>494.36</v>
      </c>
    </row>
    <row r="72" spans="1:110" s="3" customFormat="1" x14ac:dyDescent="0.2">
      <c r="A72" s="3" t="s">
        <v>28</v>
      </c>
      <c r="B72" s="3" t="e">
        <f ca="1">'Annual Raw'!C105</f>
        <v>#NAME?</v>
      </c>
      <c r="C72" s="3" t="e">
        <f ca="1">'Annual Raw'!D105</f>
        <v>#NAME?</v>
      </c>
      <c r="D72" s="3" t="e">
        <f ca="1">'Annual Raw'!E105</f>
        <v>#NAME?</v>
      </c>
      <c r="E72" s="3" t="e">
        <f t="shared" ref="E72:Y72" ca="1" si="786">+F72</f>
        <v>#NAME?</v>
      </c>
      <c r="F72" s="3" t="e">
        <f t="shared" ca="1" si="786"/>
        <v>#NAME?</v>
      </c>
      <c r="G72" s="3" t="e">
        <f t="shared" ca="1" si="786"/>
        <v>#NAME?</v>
      </c>
      <c r="H72" s="3" t="e">
        <f t="shared" ca="1" si="786"/>
        <v>#NAME?</v>
      </c>
      <c r="I72" s="3" t="e">
        <f t="shared" ca="1" si="786"/>
        <v>#NAME?</v>
      </c>
      <c r="J72" s="3" t="e">
        <f t="shared" ca="1" si="786"/>
        <v>#NAME?</v>
      </c>
      <c r="K72" s="3" t="e">
        <f t="shared" ca="1" si="786"/>
        <v>#NAME?</v>
      </c>
      <c r="L72" s="3" t="e">
        <f t="shared" ca="1" si="786"/>
        <v>#NAME?</v>
      </c>
      <c r="M72" s="3" t="e">
        <f t="shared" ca="1" si="786"/>
        <v>#NAME?</v>
      </c>
      <c r="N72" s="3" t="e">
        <f t="shared" ca="1" si="786"/>
        <v>#NAME?</v>
      </c>
      <c r="O72" s="3" t="e">
        <f t="shared" ca="1" si="786"/>
        <v>#NAME?</v>
      </c>
      <c r="P72" s="3" t="e">
        <f t="shared" ca="1" si="786"/>
        <v>#NAME?</v>
      </c>
      <c r="Q72" s="3" t="e">
        <f t="shared" ca="1" si="786"/>
        <v>#NAME?</v>
      </c>
      <c r="R72" s="3" t="e">
        <f t="shared" ca="1" si="786"/>
        <v>#NAME?</v>
      </c>
      <c r="S72" s="3" t="e">
        <f t="shared" ca="1" si="786"/>
        <v>#NAME?</v>
      </c>
      <c r="T72" s="3" t="e">
        <f t="shared" ca="1" si="786"/>
        <v>#NAME?</v>
      </c>
      <c r="U72" s="3" t="e">
        <f t="shared" ca="1" si="786"/>
        <v>#NAME?</v>
      </c>
      <c r="V72" s="3" t="e">
        <f t="shared" ca="1" si="786"/>
        <v>#NAME?</v>
      </c>
      <c r="W72" s="3" t="e">
        <f t="shared" ca="1" si="786"/>
        <v>#NAME?</v>
      </c>
      <c r="X72" s="3" t="e">
        <f t="shared" ca="1" si="786"/>
        <v>#NAME?</v>
      </c>
      <c r="Y72" s="3" t="e">
        <f t="shared" ca="1" si="786"/>
        <v>#NAME?</v>
      </c>
      <c r="Z72" s="3" t="e">
        <f ca="1">+AA72</f>
        <v>#NAME?</v>
      </c>
      <c r="AA72" s="3" t="e">
        <f ca="1">+AB72</f>
        <v>#NAME?</v>
      </c>
      <c r="AB72" s="37" t="e">
        <f ca="1">CP72</f>
        <v>#NAME?</v>
      </c>
      <c r="AC72" s="37" t="e">
        <f ca="1">CT72</f>
        <v>#NAME?</v>
      </c>
      <c r="AD72" s="37" t="e">
        <f ca="1">CX72</f>
        <v>#NAME?</v>
      </c>
      <c r="AE72" s="37" t="e">
        <f ca="1">DB72</f>
        <v>#NAME?</v>
      </c>
      <c r="AI72" s="3" t="e">
        <f t="shared" ref="AI72:CH72" ca="1" si="787">AJ72</f>
        <v>#NAME?</v>
      </c>
      <c r="AJ72" s="3" t="e">
        <f t="shared" ca="1" si="787"/>
        <v>#NAME?</v>
      </c>
      <c r="AK72" s="3" t="e">
        <f t="shared" ca="1" si="787"/>
        <v>#NAME?</v>
      </c>
      <c r="AL72" s="3" t="e">
        <f t="shared" ca="1" si="787"/>
        <v>#NAME?</v>
      </c>
      <c r="AM72" s="3" t="e">
        <f t="shared" ca="1" si="787"/>
        <v>#NAME?</v>
      </c>
      <c r="AN72" s="3" t="e">
        <f t="shared" ca="1" si="787"/>
        <v>#NAME?</v>
      </c>
      <c r="AO72" s="3" t="e">
        <f t="shared" ca="1" si="787"/>
        <v>#NAME?</v>
      </c>
      <c r="AP72" s="3" t="e">
        <f t="shared" ca="1" si="787"/>
        <v>#NAME?</v>
      </c>
      <c r="AQ72" s="3" t="e">
        <f t="shared" ca="1" si="787"/>
        <v>#NAME?</v>
      </c>
      <c r="AR72" s="3" t="e">
        <f t="shared" ca="1" si="787"/>
        <v>#NAME?</v>
      </c>
      <c r="AS72" s="3" t="e">
        <f t="shared" ca="1" si="787"/>
        <v>#NAME?</v>
      </c>
      <c r="AT72" s="3" t="e">
        <f t="shared" ca="1" si="787"/>
        <v>#NAME?</v>
      </c>
      <c r="AU72" s="3" t="e">
        <f t="shared" ca="1" si="787"/>
        <v>#NAME?</v>
      </c>
      <c r="AV72" s="3" t="e">
        <f t="shared" ca="1" si="787"/>
        <v>#NAME?</v>
      </c>
      <c r="AW72" s="3" t="e">
        <f t="shared" ca="1" si="787"/>
        <v>#NAME?</v>
      </c>
      <c r="AX72" s="3" t="e">
        <f t="shared" ca="1" si="787"/>
        <v>#NAME?</v>
      </c>
      <c r="AY72" s="3" t="e">
        <f t="shared" ca="1" si="787"/>
        <v>#NAME?</v>
      </c>
      <c r="AZ72" s="3" t="e">
        <f t="shared" ca="1" si="787"/>
        <v>#NAME?</v>
      </c>
      <c r="BA72" s="3" t="e">
        <f t="shared" ca="1" si="787"/>
        <v>#NAME?</v>
      </c>
      <c r="BB72" s="3" t="e">
        <f t="shared" ca="1" si="787"/>
        <v>#NAME?</v>
      </c>
      <c r="BC72" s="3" t="e">
        <f t="shared" ca="1" si="787"/>
        <v>#NAME?</v>
      </c>
      <c r="BD72" s="3" t="e">
        <f t="shared" ca="1" si="787"/>
        <v>#NAME?</v>
      </c>
      <c r="BE72" s="3" t="e">
        <f t="shared" ca="1" si="787"/>
        <v>#NAME?</v>
      </c>
      <c r="BF72" s="3" t="e">
        <f t="shared" ca="1" si="787"/>
        <v>#NAME?</v>
      </c>
      <c r="BG72" s="3" t="e">
        <f t="shared" ca="1" si="787"/>
        <v>#NAME?</v>
      </c>
      <c r="BH72" s="3" t="e">
        <f t="shared" ca="1" si="787"/>
        <v>#NAME?</v>
      </c>
      <c r="BI72" s="3" t="e">
        <f t="shared" ca="1" si="787"/>
        <v>#NAME?</v>
      </c>
      <c r="BJ72" s="3" t="e">
        <f t="shared" ca="1" si="787"/>
        <v>#NAME?</v>
      </c>
      <c r="BK72" s="3" t="e">
        <f t="shared" ca="1" si="787"/>
        <v>#NAME?</v>
      </c>
      <c r="BL72" s="3" t="e">
        <f t="shared" ca="1" si="787"/>
        <v>#NAME?</v>
      </c>
      <c r="BM72" s="3" t="e">
        <f t="shared" ca="1" si="787"/>
        <v>#NAME?</v>
      </c>
      <c r="BN72" s="3" t="e">
        <f t="shared" ca="1" si="787"/>
        <v>#NAME?</v>
      </c>
      <c r="BO72" s="3" t="e">
        <f t="shared" ca="1" si="787"/>
        <v>#NAME?</v>
      </c>
      <c r="BP72" s="3" t="e">
        <f t="shared" ca="1" si="787"/>
        <v>#NAME?</v>
      </c>
      <c r="BQ72" s="3" t="e">
        <f t="shared" ca="1" si="787"/>
        <v>#NAME?</v>
      </c>
      <c r="BR72" s="3" t="e">
        <f t="shared" ca="1" si="787"/>
        <v>#NAME?</v>
      </c>
      <c r="BS72" s="3" t="e">
        <f t="shared" ca="1" si="787"/>
        <v>#NAME?</v>
      </c>
      <c r="BT72" s="3" t="e">
        <f t="shared" ca="1" si="787"/>
        <v>#NAME?</v>
      </c>
      <c r="BU72" s="3" t="e">
        <f t="shared" ca="1" si="787"/>
        <v>#NAME?</v>
      </c>
      <c r="BV72" s="3" t="e">
        <f t="shared" ca="1" si="787"/>
        <v>#NAME?</v>
      </c>
      <c r="BW72" s="3" t="e">
        <f t="shared" ca="1" si="787"/>
        <v>#NAME?</v>
      </c>
      <c r="BX72" s="3" t="e">
        <f t="shared" ca="1" si="787"/>
        <v>#NAME?</v>
      </c>
      <c r="BY72" s="3" t="e">
        <f t="shared" ca="1" si="787"/>
        <v>#NAME?</v>
      </c>
      <c r="BZ72" s="3" t="e">
        <f t="shared" ca="1" si="787"/>
        <v>#NAME?</v>
      </c>
      <c r="CA72" s="3" t="e">
        <f t="shared" ca="1" si="787"/>
        <v>#NAME?</v>
      </c>
      <c r="CB72" s="3" t="e">
        <f t="shared" ca="1" si="787"/>
        <v>#NAME?</v>
      </c>
      <c r="CC72" s="3" t="e">
        <f t="shared" ca="1" si="787"/>
        <v>#NAME?</v>
      </c>
      <c r="CD72" s="3" t="e">
        <f t="shared" ca="1" si="787"/>
        <v>#NAME?</v>
      </c>
      <c r="CE72" s="3" t="e">
        <f t="shared" ca="1" si="787"/>
        <v>#NAME?</v>
      </c>
      <c r="CF72" s="3" t="e">
        <f t="shared" ca="1" si="787"/>
        <v>#NAME?</v>
      </c>
      <c r="CG72" s="3" t="e">
        <f t="shared" ca="1" si="787"/>
        <v>#NAME?</v>
      </c>
      <c r="CH72" s="3" t="e">
        <f t="shared" ca="1" si="787"/>
        <v>#NAME?</v>
      </c>
      <c r="CI72" s="3" t="e">
        <f ca="1">CJ72</f>
        <v>#NAME?</v>
      </c>
      <c r="CJ72" s="3" t="e">
        <f ca="1">'QTR Raw'!BD46</f>
        <v>#NAME?</v>
      </c>
      <c r="CK72" s="3" t="e">
        <f ca="1">'QTR Raw'!BE46</f>
        <v>#NAME?</v>
      </c>
      <c r="CL72" s="3" t="e">
        <f ca="1">'QTR Raw'!BF46</f>
        <v>#NAME?</v>
      </c>
      <c r="CM72" s="37" t="e">
        <f t="shared" ref="CM72" ca="1" si="788">+CL72</f>
        <v>#NAME?</v>
      </c>
      <c r="CN72" s="37" t="e">
        <f t="shared" ca="1" si="771"/>
        <v>#NAME?</v>
      </c>
      <c r="CO72" s="37" t="e">
        <f t="shared" ca="1" si="772"/>
        <v>#NAME?</v>
      </c>
      <c r="CP72" s="37" t="e">
        <f t="shared" ca="1" si="773"/>
        <v>#NAME?</v>
      </c>
      <c r="CQ72" s="37" t="e">
        <f t="shared" ca="1" si="774"/>
        <v>#NAME?</v>
      </c>
      <c r="CR72" s="37" t="e">
        <f t="shared" ca="1" si="775"/>
        <v>#NAME?</v>
      </c>
      <c r="CS72" s="37" t="e">
        <f t="shared" ca="1" si="776"/>
        <v>#NAME?</v>
      </c>
      <c r="CT72" s="37" t="e">
        <f t="shared" ca="1" si="777"/>
        <v>#NAME?</v>
      </c>
      <c r="CU72" s="37" t="e">
        <f t="shared" ca="1" si="778"/>
        <v>#NAME?</v>
      </c>
      <c r="CV72" s="37" t="e">
        <f t="shared" ca="1" si="779"/>
        <v>#NAME?</v>
      </c>
      <c r="CW72" s="37" t="e">
        <f t="shared" ca="1" si="780"/>
        <v>#NAME?</v>
      </c>
      <c r="CX72" s="37" t="e">
        <f t="shared" ca="1" si="781"/>
        <v>#NAME?</v>
      </c>
      <c r="CY72" s="37" t="e">
        <f t="shared" ca="1" si="782"/>
        <v>#NAME?</v>
      </c>
      <c r="CZ72" s="37" t="e">
        <f t="shared" ca="1" si="783"/>
        <v>#NAME?</v>
      </c>
      <c r="DA72" s="37" t="e">
        <f t="shared" ca="1" si="784"/>
        <v>#NAME?</v>
      </c>
      <c r="DB72" s="37" t="e">
        <f t="shared" ca="1" si="785"/>
        <v>#NAME?</v>
      </c>
      <c r="DE72" s="134"/>
      <c r="DF72" s="3">
        <v>2</v>
      </c>
    </row>
    <row r="73" spans="1:110" s="3" customFormat="1" x14ac:dyDescent="0.2">
      <c r="A73" s="3" t="s">
        <v>29</v>
      </c>
      <c r="B73" s="3" t="e">
        <f ca="1">B71/B72</f>
        <v>#NAME?</v>
      </c>
      <c r="C73" s="3" t="e">
        <f t="shared" ref="C73:W73" ca="1" si="789">C71/C72</f>
        <v>#NAME?</v>
      </c>
      <c r="D73" s="3" t="e">
        <f t="shared" ca="1" si="789"/>
        <v>#NAME?</v>
      </c>
      <c r="E73" s="3" t="e">
        <f t="shared" ca="1" si="789"/>
        <v>#NAME?</v>
      </c>
      <c r="F73" s="3" t="e">
        <f t="shared" ca="1" si="789"/>
        <v>#NAME?</v>
      </c>
      <c r="G73" s="3" t="e">
        <f t="shared" ca="1" si="789"/>
        <v>#NAME?</v>
      </c>
      <c r="H73" s="3" t="e">
        <f t="shared" ca="1" si="789"/>
        <v>#NAME?</v>
      </c>
      <c r="I73" s="3" t="e">
        <f t="shared" ca="1" si="789"/>
        <v>#NAME?</v>
      </c>
      <c r="J73" s="3" t="e">
        <f t="shared" ca="1" si="789"/>
        <v>#NAME?</v>
      </c>
      <c r="K73" s="3" t="e">
        <f t="shared" ca="1" si="789"/>
        <v>#NAME?</v>
      </c>
      <c r="L73" s="3" t="e">
        <f t="shared" ca="1" si="789"/>
        <v>#NAME?</v>
      </c>
      <c r="M73" s="3" t="e">
        <f t="shared" ca="1" si="789"/>
        <v>#NAME?</v>
      </c>
      <c r="N73" s="3" t="e">
        <f t="shared" ca="1" si="789"/>
        <v>#NAME?</v>
      </c>
      <c r="O73" s="3" t="e">
        <f t="shared" ca="1" si="789"/>
        <v>#NAME?</v>
      </c>
      <c r="P73" s="3" t="e">
        <f t="shared" ca="1" si="789"/>
        <v>#NAME?</v>
      </c>
      <c r="Q73" s="3" t="e">
        <f t="shared" ca="1" si="789"/>
        <v>#NAME?</v>
      </c>
      <c r="R73" s="3" t="e">
        <f t="shared" ca="1" si="789"/>
        <v>#NAME?</v>
      </c>
      <c r="S73" s="3" t="e">
        <f t="shared" ca="1" si="789"/>
        <v>#NAME?</v>
      </c>
      <c r="T73" s="3" t="e">
        <f t="shared" ca="1" si="789"/>
        <v>#NAME?</v>
      </c>
      <c r="U73" s="3" t="e">
        <f t="shared" ca="1" si="789"/>
        <v>#NAME?</v>
      </c>
      <c r="V73" s="3" t="e">
        <f ca="1">V71/V72</f>
        <v>#NAME?</v>
      </c>
      <c r="W73" s="3" t="e">
        <f t="shared" ca="1" si="789"/>
        <v>#NAME?</v>
      </c>
      <c r="X73" s="3" t="e">
        <f t="shared" ref="X73:Y73" ca="1" si="790">X71/X72</f>
        <v>#NAME?</v>
      </c>
      <c r="Y73" s="3" t="e">
        <f t="shared" ca="1" si="790"/>
        <v>#NAME?</v>
      </c>
      <c r="Z73" s="3" t="e">
        <f t="shared" ref="Z73:AA73" ca="1" si="791">Z71/Z72</f>
        <v>#NAME?</v>
      </c>
      <c r="AA73" s="3" t="e">
        <f t="shared" ca="1" si="791"/>
        <v>#NAME?</v>
      </c>
      <c r="AB73" s="37" t="e">
        <f t="shared" ref="AA73:AD73" ca="1" si="792">AB71/AB72</f>
        <v>#NAME?</v>
      </c>
      <c r="AC73" s="37" t="e">
        <f t="shared" ca="1" si="792"/>
        <v>#NAME?</v>
      </c>
      <c r="AD73" s="37" t="e">
        <f t="shared" ca="1" si="792"/>
        <v>#NAME?</v>
      </c>
      <c r="AE73" s="37" t="e">
        <f t="shared" ref="AE73" ca="1" si="793">AE71/AE72</f>
        <v>#NAME?</v>
      </c>
      <c r="AI73" s="3" t="e">
        <f t="shared" ref="AI73" ca="1" si="794">AI71/AI72</f>
        <v>#NAME?</v>
      </c>
      <c r="AJ73" s="3" t="e">
        <f t="shared" ref="AJ73" ca="1" si="795">AJ71/AJ72</f>
        <v>#NAME?</v>
      </c>
      <c r="AK73" s="3" t="e">
        <f t="shared" ref="AK73:AM73" ca="1" si="796">AK71/AK72</f>
        <v>#NAME?</v>
      </c>
      <c r="AL73" s="3" t="e">
        <f t="shared" ca="1" si="796"/>
        <v>#NAME?</v>
      </c>
      <c r="AM73" s="3" t="e">
        <f t="shared" ca="1" si="796"/>
        <v>#NAME?</v>
      </c>
      <c r="AN73" s="3" t="e">
        <f t="shared" ref="AN73:AO73" ca="1" si="797">AN71/AN72</f>
        <v>#NAME?</v>
      </c>
      <c r="AO73" s="3" t="e">
        <f t="shared" ca="1" si="797"/>
        <v>#NAME?</v>
      </c>
      <c r="AP73" s="3" t="e">
        <f t="shared" ref="AP73:CD73" ca="1" si="798">AP71/AP72</f>
        <v>#NAME?</v>
      </c>
      <c r="AQ73" s="3" t="e">
        <f t="shared" ca="1" si="798"/>
        <v>#NAME?</v>
      </c>
      <c r="AR73" s="3" t="e">
        <f t="shared" ca="1" si="798"/>
        <v>#NAME?</v>
      </c>
      <c r="AS73" s="3" t="e">
        <f t="shared" ca="1" si="798"/>
        <v>#NAME?</v>
      </c>
      <c r="AT73" s="3" t="e">
        <f t="shared" ca="1" si="798"/>
        <v>#NAME?</v>
      </c>
      <c r="AU73" s="3" t="e">
        <f t="shared" ca="1" si="798"/>
        <v>#NAME?</v>
      </c>
      <c r="AV73" s="3" t="e">
        <f t="shared" ca="1" si="798"/>
        <v>#NAME?</v>
      </c>
      <c r="AW73" s="3" t="e">
        <f t="shared" ca="1" si="798"/>
        <v>#NAME?</v>
      </c>
      <c r="AX73" s="3" t="e">
        <f t="shared" ca="1" si="798"/>
        <v>#NAME?</v>
      </c>
      <c r="AY73" s="3" t="e">
        <f t="shared" ca="1" si="798"/>
        <v>#NAME?</v>
      </c>
      <c r="AZ73" s="3" t="e">
        <f t="shared" ca="1" si="798"/>
        <v>#NAME?</v>
      </c>
      <c r="BA73" s="3" t="e">
        <f t="shared" ca="1" si="798"/>
        <v>#NAME?</v>
      </c>
      <c r="BB73" s="3" t="e">
        <f t="shared" ca="1" si="798"/>
        <v>#NAME?</v>
      </c>
      <c r="BC73" s="3" t="e">
        <f t="shared" ca="1" si="798"/>
        <v>#NAME?</v>
      </c>
      <c r="BD73" s="3" t="e">
        <f t="shared" ca="1" si="798"/>
        <v>#NAME?</v>
      </c>
      <c r="BE73" s="3" t="e">
        <f t="shared" ca="1" si="798"/>
        <v>#NAME?</v>
      </c>
      <c r="BF73" s="3" t="e">
        <f t="shared" ca="1" si="798"/>
        <v>#NAME?</v>
      </c>
      <c r="BG73" s="3" t="e">
        <f t="shared" ca="1" si="798"/>
        <v>#NAME?</v>
      </c>
      <c r="BH73" s="3" t="e">
        <f t="shared" ca="1" si="798"/>
        <v>#NAME?</v>
      </c>
      <c r="BI73" s="3" t="e">
        <f t="shared" ca="1" si="798"/>
        <v>#NAME?</v>
      </c>
      <c r="BJ73" s="3" t="e">
        <f t="shared" ca="1" si="798"/>
        <v>#NAME?</v>
      </c>
      <c r="BK73" s="3" t="e">
        <f t="shared" ca="1" si="798"/>
        <v>#NAME?</v>
      </c>
      <c r="BL73" s="3" t="e">
        <f t="shared" ca="1" si="798"/>
        <v>#NAME?</v>
      </c>
      <c r="BM73" s="3" t="e">
        <f t="shared" ca="1" si="798"/>
        <v>#NAME?</v>
      </c>
      <c r="BN73" s="3" t="e">
        <f t="shared" ca="1" si="798"/>
        <v>#NAME?</v>
      </c>
      <c r="BO73" s="3" t="e">
        <f t="shared" ca="1" si="798"/>
        <v>#NAME?</v>
      </c>
      <c r="BP73" s="3" t="e">
        <f t="shared" ca="1" si="798"/>
        <v>#NAME?</v>
      </c>
      <c r="BQ73" s="3" t="e">
        <f t="shared" ca="1" si="798"/>
        <v>#NAME?</v>
      </c>
      <c r="BR73" s="3" t="e">
        <f t="shared" ca="1" si="798"/>
        <v>#NAME?</v>
      </c>
      <c r="BS73" s="3" t="e">
        <f t="shared" ca="1" si="798"/>
        <v>#NAME?</v>
      </c>
      <c r="BT73" s="3" t="e">
        <f t="shared" ca="1" si="798"/>
        <v>#NAME?</v>
      </c>
      <c r="BU73" s="3" t="e">
        <f t="shared" ca="1" si="798"/>
        <v>#NAME?</v>
      </c>
      <c r="BV73" s="3" t="e">
        <f t="shared" ca="1" si="798"/>
        <v>#NAME?</v>
      </c>
      <c r="BW73" s="3" t="e">
        <f t="shared" ca="1" si="798"/>
        <v>#NAME?</v>
      </c>
      <c r="BX73" s="3" t="e">
        <f t="shared" ca="1" si="798"/>
        <v>#NAME?</v>
      </c>
      <c r="BY73" s="3" t="e">
        <f t="shared" ca="1" si="798"/>
        <v>#NAME?</v>
      </c>
      <c r="BZ73" s="3" t="e">
        <f t="shared" ca="1" si="798"/>
        <v>#NAME?</v>
      </c>
      <c r="CA73" s="3" t="e">
        <f t="shared" ca="1" si="798"/>
        <v>#NAME?</v>
      </c>
      <c r="CB73" s="3" t="e">
        <f t="shared" ca="1" si="798"/>
        <v>#NAME?</v>
      </c>
      <c r="CC73" s="3" t="e">
        <f t="shared" ca="1" si="798"/>
        <v>#NAME?</v>
      </c>
      <c r="CD73" s="3" t="e">
        <f t="shared" ca="1" si="798"/>
        <v>#NAME?</v>
      </c>
      <c r="CE73" s="3" t="e">
        <f t="shared" ref="CE73:CF73" ca="1" si="799">CE71/CE72</f>
        <v>#NAME?</v>
      </c>
      <c r="CF73" s="3" t="e">
        <f t="shared" ca="1" si="799"/>
        <v>#NAME?</v>
      </c>
      <c r="CG73" s="3" t="e">
        <f t="shared" ref="CG73:CH73" ca="1" si="800">CG71/CG72</f>
        <v>#NAME?</v>
      </c>
      <c r="CH73" s="3" t="e">
        <f t="shared" ca="1" si="800"/>
        <v>#NAME?</v>
      </c>
      <c r="CI73" s="3" t="e">
        <f t="shared" ref="CI73:CJ73" ca="1" si="801">CI71/CI72</f>
        <v>#NAME?</v>
      </c>
      <c r="CJ73" s="3" t="e">
        <f t="shared" ca="1" si="801"/>
        <v>#NAME?</v>
      </c>
      <c r="CK73" s="3" t="e">
        <f t="shared" ref="CK73:CL73" ca="1" si="802">CK71/CK72</f>
        <v>#NAME?</v>
      </c>
      <c r="CL73" s="3" t="e">
        <f t="shared" ca="1" si="802"/>
        <v>#NAME?</v>
      </c>
      <c r="CM73" s="37" t="e">
        <f t="shared" ref="CM73:DB73" ca="1" si="803">CM71/CM72</f>
        <v>#NAME?</v>
      </c>
      <c r="CN73" s="37" t="e">
        <f t="shared" ca="1" si="803"/>
        <v>#NAME?</v>
      </c>
      <c r="CO73" s="37" t="e">
        <f t="shared" ca="1" si="803"/>
        <v>#NAME?</v>
      </c>
      <c r="CP73" s="37" t="e">
        <f t="shared" ca="1" si="803"/>
        <v>#NAME?</v>
      </c>
      <c r="CQ73" s="37" t="e">
        <f t="shared" ca="1" si="803"/>
        <v>#NAME?</v>
      </c>
      <c r="CR73" s="37" t="e">
        <f t="shared" ca="1" si="803"/>
        <v>#NAME?</v>
      </c>
      <c r="CS73" s="37" t="e">
        <f t="shared" ca="1" si="803"/>
        <v>#NAME?</v>
      </c>
      <c r="CT73" s="37" t="e">
        <f t="shared" ca="1" si="803"/>
        <v>#NAME?</v>
      </c>
      <c r="CU73" s="37" t="e">
        <f t="shared" ca="1" si="803"/>
        <v>#NAME?</v>
      </c>
      <c r="CV73" s="37" t="e">
        <f t="shared" ca="1" si="803"/>
        <v>#NAME?</v>
      </c>
      <c r="CW73" s="37" t="e">
        <f t="shared" ca="1" si="803"/>
        <v>#NAME?</v>
      </c>
      <c r="CX73" s="37" t="e">
        <f t="shared" ca="1" si="803"/>
        <v>#NAME?</v>
      </c>
      <c r="CY73" s="37" t="e">
        <f t="shared" ca="1" si="803"/>
        <v>#NAME?</v>
      </c>
      <c r="CZ73" s="37" t="e">
        <f t="shared" ca="1" si="803"/>
        <v>#NAME?</v>
      </c>
      <c r="DA73" s="37" t="e">
        <f t="shared" ca="1" si="803"/>
        <v>#NAME?</v>
      </c>
      <c r="DB73" s="37" t="e">
        <f t="shared" ca="1" si="803"/>
        <v>#NAME?</v>
      </c>
      <c r="DE73" s="134"/>
      <c r="DF73" s="3">
        <v>247.18</v>
      </c>
    </row>
    <row r="74" spans="1:110" s="53" customFormat="1" x14ac:dyDescent="0.2">
      <c r="A74" s="53" t="s">
        <v>30</v>
      </c>
      <c r="B74" s="53" t="e">
        <f t="shared" ref="B74:AE74" ca="1" si="804">(B56-B55)/B73</f>
        <v>#NAME?</v>
      </c>
      <c r="C74" s="53" t="e">
        <f t="shared" ca="1" si="804"/>
        <v>#NAME?</v>
      </c>
      <c r="D74" s="53" t="e">
        <f t="shared" ca="1" si="804"/>
        <v>#NAME?</v>
      </c>
      <c r="E74" s="53" t="e">
        <f t="shared" ca="1" si="804"/>
        <v>#NAME?</v>
      </c>
      <c r="F74" s="53" t="e">
        <f t="shared" ca="1" si="804"/>
        <v>#NAME?</v>
      </c>
      <c r="G74" s="53" t="e">
        <f t="shared" ca="1" si="804"/>
        <v>#NAME?</v>
      </c>
      <c r="H74" s="53" t="e">
        <f t="shared" ca="1" si="804"/>
        <v>#NAME?</v>
      </c>
      <c r="I74" s="53" t="e">
        <f t="shared" ca="1" si="804"/>
        <v>#NAME?</v>
      </c>
      <c r="J74" s="53" t="e">
        <f t="shared" ca="1" si="804"/>
        <v>#NAME?</v>
      </c>
      <c r="K74" s="53" t="e">
        <f t="shared" ca="1" si="804"/>
        <v>#NAME?</v>
      </c>
      <c r="L74" s="53" t="e">
        <f t="shared" ca="1" si="804"/>
        <v>#NAME?</v>
      </c>
      <c r="M74" s="53" t="e">
        <f t="shared" ca="1" si="804"/>
        <v>#NAME?</v>
      </c>
      <c r="N74" s="53" t="e">
        <f t="shared" ca="1" si="804"/>
        <v>#NAME?</v>
      </c>
      <c r="O74" s="53" t="e">
        <f t="shared" ca="1" si="804"/>
        <v>#NAME?</v>
      </c>
      <c r="P74" s="53" t="e">
        <f t="shared" ca="1" si="804"/>
        <v>#NAME?</v>
      </c>
      <c r="Q74" s="53" t="e">
        <f t="shared" ca="1" si="804"/>
        <v>#NAME?</v>
      </c>
      <c r="R74" s="53" t="e">
        <f t="shared" ca="1" si="804"/>
        <v>#NAME?</v>
      </c>
      <c r="S74" s="53" t="e">
        <f t="shared" ca="1" si="804"/>
        <v>#NAME?</v>
      </c>
      <c r="T74" s="53" t="e">
        <f t="shared" ca="1" si="804"/>
        <v>#NAME?</v>
      </c>
      <c r="U74" s="53" t="e">
        <f t="shared" ca="1" si="804"/>
        <v>#NAME?</v>
      </c>
      <c r="V74" s="53" t="e">
        <f t="shared" ca="1" si="804"/>
        <v>#NAME?</v>
      </c>
      <c r="W74" s="53" t="e">
        <f t="shared" ca="1" si="804"/>
        <v>#NAME?</v>
      </c>
      <c r="X74" s="53" t="e">
        <f t="shared" ca="1" si="804"/>
        <v>#NAME?</v>
      </c>
      <c r="Y74" s="53" t="e">
        <f t="shared" ca="1" si="804"/>
        <v>#NAME?</v>
      </c>
      <c r="Z74" s="53" t="e">
        <f t="shared" ca="1" si="804"/>
        <v>#NAME?</v>
      </c>
      <c r="AA74" s="53" t="e">
        <f t="shared" ref="AA74" ca="1" si="805">(AA56-AA55)/AA73</f>
        <v>#NAME?</v>
      </c>
      <c r="AB74" s="54" t="e">
        <f t="shared" ca="1" si="804"/>
        <v>#NAME?</v>
      </c>
      <c r="AC74" s="54" t="e">
        <f t="shared" ca="1" si="804"/>
        <v>#NAME?</v>
      </c>
      <c r="AD74" s="54" t="e">
        <f t="shared" ca="1" si="804"/>
        <v>#NAME?</v>
      </c>
      <c r="AE74" s="54" t="e">
        <f t="shared" ca="1" si="804"/>
        <v>#NAME?</v>
      </c>
      <c r="AI74" s="53" t="e">
        <f t="shared" ref="AI74:BN74" ca="1" si="806">(AI56-AI55)/AI73</f>
        <v>#NAME?</v>
      </c>
      <c r="AJ74" s="53" t="e">
        <f t="shared" ca="1" si="806"/>
        <v>#NAME?</v>
      </c>
      <c r="AK74" s="53" t="e">
        <f t="shared" ca="1" si="806"/>
        <v>#NAME?</v>
      </c>
      <c r="AL74" s="53" t="e">
        <f t="shared" ca="1" si="806"/>
        <v>#NAME?</v>
      </c>
      <c r="AM74" s="53" t="e">
        <f t="shared" ca="1" si="806"/>
        <v>#NAME?</v>
      </c>
      <c r="AN74" s="53" t="e">
        <f t="shared" ca="1" si="806"/>
        <v>#NAME?</v>
      </c>
      <c r="AO74" s="53" t="e">
        <f t="shared" ca="1" si="806"/>
        <v>#NAME?</v>
      </c>
      <c r="AP74" s="53" t="e">
        <f t="shared" ca="1" si="806"/>
        <v>#NAME?</v>
      </c>
      <c r="AQ74" s="53" t="e">
        <f t="shared" ca="1" si="806"/>
        <v>#NAME?</v>
      </c>
      <c r="AR74" s="53" t="e">
        <f t="shared" ca="1" si="806"/>
        <v>#NAME?</v>
      </c>
      <c r="AS74" s="53" t="e">
        <f t="shared" ca="1" si="806"/>
        <v>#NAME?</v>
      </c>
      <c r="AT74" s="53" t="e">
        <f t="shared" ca="1" si="806"/>
        <v>#NAME?</v>
      </c>
      <c r="AU74" s="53" t="e">
        <f t="shared" ca="1" si="806"/>
        <v>#NAME?</v>
      </c>
      <c r="AV74" s="53" t="e">
        <f t="shared" ca="1" si="806"/>
        <v>#NAME?</v>
      </c>
      <c r="AW74" s="53" t="e">
        <f t="shared" ca="1" si="806"/>
        <v>#NAME?</v>
      </c>
      <c r="AX74" s="53" t="e">
        <f t="shared" ca="1" si="806"/>
        <v>#NAME?</v>
      </c>
      <c r="AY74" s="53" t="e">
        <f t="shared" ca="1" si="806"/>
        <v>#NAME?</v>
      </c>
      <c r="AZ74" s="53" t="e">
        <f t="shared" ca="1" si="806"/>
        <v>#NAME?</v>
      </c>
      <c r="BA74" s="53" t="e">
        <f t="shared" ca="1" si="806"/>
        <v>#NAME?</v>
      </c>
      <c r="BB74" s="53" t="e">
        <f t="shared" ca="1" si="806"/>
        <v>#NAME?</v>
      </c>
      <c r="BC74" s="53" t="e">
        <f t="shared" ca="1" si="806"/>
        <v>#NAME?</v>
      </c>
      <c r="BD74" s="53" t="e">
        <f t="shared" ca="1" si="806"/>
        <v>#NAME?</v>
      </c>
      <c r="BE74" s="53" t="e">
        <f t="shared" ca="1" si="806"/>
        <v>#NAME?</v>
      </c>
      <c r="BF74" s="53" t="e">
        <f t="shared" ca="1" si="806"/>
        <v>#NAME?</v>
      </c>
      <c r="BG74" s="53" t="e">
        <f t="shared" ca="1" si="806"/>
        <v>#NAME?</v>
      </c>
      <c r="BH74" s="53" t="e">
        <f t="shared" ca="1" si="806"/>
        <v>#NAME?</v>
      </c>
      <c r="BI74" s="53" t="e">
        <f t="shared" ca="1" si="806"/>
        <v>#NAME?</v>
      </c>
      <c r="BJ74" s="53" t="e">
        <f t="shared" ca="1" si="806"/>
        <v>#NAME?</v>
      </c>
      <c r="BK74" s="53" t="e">
        <f t="shared" ca="1" si="806"/>
        <v>#NAME?</v>
      </c>
      <c r="BL74" s="53" t="e">
        <f t="shared" ca="1" si="806"/>
        <v>#NAME?</v>
      </c>
      <c r="BM74" s="53" t="e">
        <f t="shared" ca="1" si="806"/>
        <v>#NAME?</v>
      </c>
      <c r="BN74" s="53" t="e">
        <f t="shared" ca="1" si="806"/>
        <v>#NAME?</v>
      </c>
      <c r="BO74" s="53" t="e">
        <f t="shared" ref="BO74:CT74" ca="1" si="807">(BO56-BO55)/BO73</f>
        <v>#NAME?</v>
      </c>
      <c r="BP74" s="53" t="e">
        <f t="shared" ca="1" si="807"/>
        <v>#NAME?</v>
      </c>
      <c r="BQ74" s="53" t="e">
        <f t="shared" ca="1" si="807"/>
        <v>#NAME?</v>
      </c>
      <c r="BR74" s="53" t="e">
        <f t="shared" ca="1" si="807"/>
        <v>#NAME?</v>
      </c>
      <c r="BS74" s="53" t="e">
        <f t="shared" ca="1" si="807"/>
        <v>#NAME?</v>
      </c>
      <c r="BT74" s="53" t="e">
        <f t="shared" ca="1" si="807"/>
        <v>#NAME?</v>
      </c>
      <c r="BU74" s="53" t="e">
        <f t="shared" ca="1" si="807"/>
        <v>#NAME?</v>
      </c>
      <c r="BV74" s="53" t="e">
        <f t="shared" ca="1" si="807"/>
        <v>#NAME?</v>
      </c>
      <c r="BW74" s="53" t="e">
        <f t="shared" ca="1" si="807"/>
        <v>#NAME?</v>
      </c>
      <c r="BX74" s="53" t="e">
        <f t="shared" ca="1" si="807"/>
        <v>#NAME?</v>
      </c>
      <c r="BY74" s="53" t="e">
        <f t="shared" ca="1" si="807"/>
        <v>#NAME?</v>
      </c>
      <c r="BZ74" s="53" t="e">
        <f t="shared" ca="1" si="807"/>
        <v>#NAME?</v>
      </c>
      <c r="CA74" s="53" t="e">
        <f t="shared" ca="1" si="807"/>
        <v>#NAME?</v>
      </c>
      <c r="CB74" s="53" t="e">
        <f t="shared" ca="1" si="807"/>
        <v>#NAME?</v>
      </c>
      <c r="CC74" s="53" t="e">
        <f t="shared" ca="1" si="807"/>
        <v>#NAME?</v>
      </c>
      <c r="CD74" s="53" t="e">
        <f t="shared" ca="1" si="807"/>
        <v>#NAME?</v>
      </c>
      <c r="CE74" s="53" t="e">
        <f t="shared" ca="1" si="807"/>
        <v>#NAME?</v>
      </c>
      <c r="CF74" s="53" t="e">
        <f t="shared" ca="1" si="807"/>
        <v>#NAME?</v>
      </c>
      <c r="CG74" s="53" t="e">
        <f t="shared" ca="1" si="807"/>
        <v>#NAME?</v>
      </c>
      <c r="CH74" s="53" t="e">
        <f t="shared" ca="1" si="807"/>
        <v>#NAME?</v>
      </c>
      <c r="CI74" s="53" t="e">
        <f t="shared" ca="1" si="807"/>
        <v>#NAME?</v>
      </c>
      <c r="CJ74" s="53" t="e">
        <f t="shared" ca="1" si="807"/>
        <v>#NAME?</v>
      </c>
      <c r="CK74" s="53" t="e">
        <f t="shared" ref="CK74:CL74" ca="1" si="808">(CK56-CK55)/CK73</f>
        <v>#NAME?</v>
      </c>
      <c r="CL74" s="53" t="e">
        <f t="shared" ca="1" si="808"/>
        <v>#NAME?</v>
      </c>
      <c r="CM74" s="54" t="e">
        <f t="shared" ca="1" si="807"/>
        <v>#NAME?</v>
      </c>
      <c r="CN74" s="54" t="e">
        <f t="shared" ca="1" si="807"/>
        <v>#NAME?</v>
      </c>
      <c r="CO74" s="54" t="e">
        <f t="shared" ca="1" si="807"/>
        <v>#NAME?</v>
      </c>
      <c r="CP74" s="54" t="e">
        <f t="shared" ca="1" si="807"/>
        <v>#NAME?</v>
      </c>
      <c r="CQ74" s="54" t="e">
        <f t="shared" ca="1" si="807"/>
        <v>#NAME?</v>
      </c>
      <c r="CR74" s="54" t="e">
        <f t="shared" ca="1" si="807"/>
        <v>#NAME?</v>
      </c>
      <c r="CS74" s="54" t="e">
        <f t="shared" ca="1" si="807"/>
        <v>#NAME?</v>
      </c>
      <c r="CT74" s="54" t="e">
        <f t="shared" ca="1" si="807"/>
        <v>#NAME?</v>
      </c>
      <c r="CU74" s="54" t="e">
        <f t="shared" ref="CU74:DB74" ca="1" si="809">(CU56-CU55)/CU73</f>
        <v>#NAME?</v>
      </c>
      <c r="CV74" s="54" t="e">
        <f t="shared" ca="1" si="809"/>
        <v>#NAME?</v>
      </c>
      <c r="CW74" s="54" t="e">
        <f t="shared" ca="1" si="809"/>
        <v>#NAME?</v>
      </c>
      <c r="CX74" s="54" t="e">
        <f t="shared" ca="1" si="809"/>
        <v>#NAME?</v>
      </c>
      <c r="CY74" s="54" t="e">
        <f t="shared" ca="1" si="809"/>
        <v>#NAME?</v>
      </c>
      <c r="CZ74" s="54" t="e">
        <f t="shared" ca="1" si="809"/>
        <v>#NAME?</v>
      </c>
      <c r="DA74" s="54" t="e">
        <f t="shared" ca="1" si="809"/>
        <v>#NAME?</v>
      </c>
      <c r="DB74" s="54" t="e">
        <f t="shared" ca="1" si="809"/>
        <v>#NAME?</v>
      </c>
      <c r="DE74" s="132"/>
      <c r="DF74" s="53">
        <v>19.774981794643587</v>
      </c>
    </row>
    <row r="75" spans="1:110" s="3" customFormat="1" x14ac:dyDescent="0.2">
      <c r="A75" s="3" t="s">
        <v>31</v>
      </c>
      <c r="B75" s="3" t="e">
        <f ca="1">'Annual Raw'!C110</f>
        <v>#NAME?</v>
      </c>
      <c r="C75" s="3" t="e">
        <f ca="1">'Annual Raw'!D110</f>
        <v>#NAME?</v>
      </c>
      <c r="D75" s="3" t="e">
        <f ca="1">'Annual Raw'!E110</f>
        <v>#NAME?</v>
      </c>
      <c r="E75" s="3" t="e">
        <f ca="1">'Annual Raw'!F110</f>
        <v>#NAME?</v>
      </c>
      <c r="F75" s="3" t="e">
        <f ca="1">'Annual Raw'!G110</f>
        <v>#NAME?</v>
      </c>
      <c r="G75" s="3" t="e">
        <f ca="1">'Annual Raw'!H110</f>
        <v>#NAME?</v>
      </c>
      <c r="H75" s="3" t="e">
        <f ca="1">'Annual Raw'!I110</f>
        <v>#NAME?</v>
      </c>
      <c r="I75" s="3" t="e">
        <f ca="1">'Annual Raw'!J110</f>
        <v>#NAME?</v>
      </c>
      <c r="J75" s="3" t="e">
        <f ca="1">'Annual Raw'!K110</f>
        <v>#NAME?</v>
      </c>
      <c r="K75" s="3" t="e">
        <f ca="1">'Annual Raw'!L110</f>
        <v>#NAME?</v>
      </c>
      <c r="L75" s="3" t="e">
        <f ca="1">'Annual Raw'!M110</f>
        <v>#NAME?</v>
      </c>
      <c r="M75" s="3" t="e">
        <f ca="1">'Annual Raw'!N110</f>
        <v>#NAME?</v>
      </c>
      <c r="N75" s="3" t="e">
        <f ca="1">'Annual Raw'!O110</f>
        <v>#NAME?</v>
      </c>
      <c r="O75" s="3" t="e">
        <f ca="1">'Annual Raw'!P110</f>
        <v>#NAME?</v>
      </c>
      <c r="P75" s="3" t="e">
        <f ca="1">'Annual Raw'!Q110</f>
        <v>#NAME?</v>
      </c>
      <c r="Q75" s="3" t="e">
        <f ca="1">'Annual Raw'!R110</f>
        <v>#NAME?</v>
      </c>
      <c r="R75" s="3" t="e">
        <f ca="1">'Annual Raw'!S110</f>
        <v>#NAME?</v>
      </c>
      <c r="S75" s="3" t="e">
        <f ca="1">'Annual Raw'!T110</f>
        <v>#NAME?</v>
      </c>
      <c r="T75" s="3" t="e">
        <f ca="1">'Annual Raw'!U110</f>
        <v>#NAME?</v>
      </c>
      <c r="U75" s="3" t="e">
        <f ca="1">'Annual Raw'!V110</f>
        <v>#NAME?</v>
      </c>
      <c r="V75" s="3" t="e">
        <f ca="1">'Annual Raw'!W110</f>
        <v>#NAME?</v>
      </c>
      <c r="W75" s="3" t="e">
        <f ca="1">'Annual Raw'!X110</f>
        <v>#NAME?</v>
      </c>
      <c r="X75" s="3" t="e">
        <f ca="1">'Annual Raw'!Y110</f>
        <v>#NAME?</v>
      </c>
      <c r="Y75" s="3" t="e">
        <f ca="1">'Annual Raw'!Z110</f>
        <v>#NAME?</v>
      </c>
      <c r="Z75" s="3" t="e">
        <f ca="1">'Annual Raw'!AA110</f>
        <v>#NAME?</v>
      </c>
      <c r="AA75" s="3" t="e">
        <f ca="1">'Annual Raw'!AB110</f>
        <v>#NAME?</v>
      </c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3" customFormat="1" x14ac:dyDescent="0.2">
      <c r="A76" s="3" t="s">
        <v>32</v>
      </c>
      <c r="B76" s="3" t="e">
        <f ca="1">B75/B74</f>
        <v>#NAME?</v>
      </c>
      <c r="C76" s="3" t="e">
        <f t="shared" ref="C76:U76" ca="1" si="810">C75/C74</f>
        <v>#NAME?</v>
      </c>
      <c r="D76" s="3" t="e">
        <f t="shared" ca="1" si="810"/>
        <v>#NAME?</v>
      </c>
      <c r="E76" s="3" t="e">
        <f t="shared" ca="1" si="810"/>
        <v>#NAME?</v>
      </c>
      <c r="F76" s="3" t="e">
        <f t="shared" ca="1" si="810"/>
        <v>#NAME?</v>
      </c>
      <c r="G76" s="3" t="e">
        <f t="shared" ca="1" si="810"/>
        <v>#NAME?</v>
      </c>
      <c r="H76" s="3" t="e">
        <f t="shared" ca="1" si="810"/>
        <v>#NAME?</v>
      </c>
      <c r="I76" s="3" t="e">
        <f t="shared" ca="1" si="810"/>
        <v>#NAME?</v>
      </c>
      <c r="J76" s="3" t="e">
        <f t="shared" ca="1" si="810"/>
        <v>#NAME?</v>
      </c>
      <c r="K76" s="3" t="e">
        <f t="shared" ca="1" si="810"/>
        <v>#NAME?</v>
      </c>
      <c r="L76" s="3" t="e">
        <f t="shared" ca="1" si="810"/>
        <v>#NAME?</v>
      </c>
      <c r="M76" s="3" t="e">
        <f t="shared" ca="1" si="810"/>
        <v>#NAME?</v>
      </c>
      <c r="N76" s="3" t="e">
        <f t="shared" ca="1" si="810"/>
        <v>#NAME?</v>
      </c>
      <c r="O76" s="3" t="e">
        <f t="shared" ca="1" si="810"/>
        <v>#NAME?</v>
      </c>
      <c r="P76" s="3" t="e">
        <f t="shared" ca="1" si="810"/>
        <v>#NAME?</v>
      </c>
      <c r="Q76" s="3" t="e">
        <f t="shared" ca="1" si="810"/>
        <v>#NAME?</v>
      </c>
      <c r="R76" s="3" t="e">
        <f t="shared" ca="1" si="810"/>
        <v>#NAME?</v>
      </c>
      <c r="S76" s="3" t="e">
        <f t="shared" ca="1" si="810"/>
        <v>#NAME?</v>
      </c>
      <c r="T76" s="3" t="e">
        <f t="shared" ca="1" si="810"/>
        <v>#NAME?</v>
      </c>
      <c r="U76" s="3" t="e">
        <f t="shared" ca="1" si="810"/>
        <v>#NAME?</v>
      </c>
      <c r="V76" s="3" t="e">
        <f ca="1">V75/V74</f>
        <v>#NAME?</v>
      </c>
      <c r="W76" s="3" t="e">
        <f t="shared" ref="W76" ca="1" si="811">W75/W74</f>
        <v>#NAME?</v>
      </c>
      <c r="X76" s="3" t="e">
        <f t="shared" ref="X76:Y76" ca="1" si="812">X75/X74</f>
        <v>#NAME?</v>
      </c>
      <c r="Y76" s="3" t="e">
        <f t="shared" ca="1" si="812"/>
        <v>#NAME?</v>
      </c>
      <c r="Z76" s="3" t="e">
        <f t="shared" ref="Z76:AA76" ca="1" si="813">Z75/Z74</f>
        <v>#NAME?</v>
      </c>
      <c r="AA76" s="3" t="e">
        <f t="shared" ca="1" si="813"/>
        <v>#NAME?</v>
      </c>
      <c r="AB76" s="37" t="e">
        <f t="shared" ref="AA76:AD76" ca="1" si="814">AB75/AB74</f>
        <v>#NAME?</v>
      </c>
      <c r="AC76" s="37" t="e">
        <f t="shared" ca="1" si="814"/>
        <v>#NAME?</v>
      </c>
      <c r="AD76" s="37" t="e">
        <f t="shared" ca="1" si="814"/>
        <v>#NAME?</v>
      </c>
      <c r="AE76" s="37" t="e">
        <f t="shared" ref="AE76" ca="1" si="815">AE75/AE74</f>
        <v>#NAME?</v>
      </c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  <c r="DF76" s="3">
        <v>0</v>
      </c>
    </row>
    <row r="77" spans="1:110" s="3" customFormat="1" x14ac:dyDescent="0.2">
      <c r="A77" s="3" t="s">
        <v>33</v>
      </c>
      <c r="B77" s="3" t="e">
        <f ca="1">+B74</f>
        <v>#NAME?</v>
      </c>
      <c r="C77" s="3" t="e">
        <f t="shared" ref="C77:U77" ca="1" si="816">+C74</f>
        <v>#NAME?</v>
      </c>
      <c r="D77" s="3" t="e">
        <f t="shared" ca="1" si="816"/>
        <v>#NAME?</v>
      </c>
      <c r="E77" s="3" t="e">
        <f t="shared" ca="1" si="816"/>
        <v>#NAME?</v>
      </c>
      <c r="F77" s="3" t="e">
        <f t="shared" ca="1" si="816"/>
        <v>#NAME?</v>
      </c>
      <c r="G77" s="3" t="e">
        <f t="shared" ca="1" si="816"/>
        <v>#NAME?</v>
      </c>
      <c r="H77" s="3" t="e">
        <f t="shared" ca="1" si="816"/>
        <v>#NAME?</v>
      </c>
      <c r="I77" s="3" t="e">
        <f t="shared" ca="1" si="816"/>
        <v>#NAME?</v>
      </c>
      <c r="J77" s="3" t="e">
        <f t="shared" ca="1" si="816"/>
        <v>#NAME?</v>
      </c>
      <c r="K77" s="3" t="e">
        <f t="shared" ca="1" si="816"/>
        <v>#NAME?</v>
      </c>
      <c r="L77" s="3" t="e">
        <f t="shared" ca="1" si="816"/>
        <v>#NAME?</v>
      </c>
      <c r="M77" s="3" t="e">
        <f t="shared" ca="1" si="816"/>
        <v>#NAME?</v>
      </c>
      <c r="N77" s="3" t="e">
        <f t="shared" ca="1" si="816"/>
        <v>#NAME?</v>
      </c>
      <c r="O77" s="3" t="e">
        <f t="shared" ca="1" si="816"/>
        <v>#NAME?</v>
      </c>
      <c r="P77" s="3" t="e">
        <f t="shared" ca="1" si="816"/>
        <v>#NAME?</v>
      </c>
      <c r="Q77" s="3" t="e">
        <f t="shared" ca="1" si="816"/>
        <v>#NAME?</v>
      </c>
      <c r="R77" s="3" t="e">
        <f t="shared" ca="1" si="816"/>
        <v>#NAME?</v>
      </c>
      <c r="S77" s="3" t="e">
        <f t="shared" ca="1" si="816"/>
        <v>#NAME?</v>
      </c>
      <c r="T77" s="3" t="e">
        <f ca="1">+T74</f>
        <v>#NAME?</v>
      </c>
      <c r="U77" s="3" t="e">
        <f t="shared" ca="1" si="816"/>
        <v>#NAME?</v>
      </c>
      <c r="V77" s="3" t="e">
        <f ca="1">+V74</f>
        <v>#NAME?</v>
      </c>
      <c r="W77" s="3" t="e">
        <f t="shared" ref="W77" ca="1" si="817">+W74</f>
        <v>#NAME?</v>
      </c>
      <c r="X77" s="3" t="e">
        <f t="shared" ref="X77:Y77" ca="1" si="818">+X74</f>
        <v>#NAME?</v>
      </c>
      <c r="Y77" s="3" t="e">
        <f t="shared" ca="1" si="818"/>
        <v>#NAME?</v>
      </c>
      <c r="Z77" s="3" t="e">
        <f t="shared" ref="Z77:AA77" ca="1" si="819">+Z74</f>
        <v>#NAME?</v>
      </c>
      <c r="AA77" s="3" t="e">
        <f t="shared" ca="1" si="819"/>
        <v>#NAME?</v>
      </c>
      <c r="AB77" s="37" t="e">
        <f t="shared" ref="AA77:AD77" ca="1" si="820">+AB74</f>
        <v>#NAME?</v>
      </c>
      <c r="AC77" s="37" t="e">
        <f t="shared" ca="1" si="820"/>
        <v>#NAME?</v>
      </c>
      <c r="AD77" s="37" t="e">
        <f t="shared" ca="1" si="820"/>
        <v>#NAME?</v>
      </c>
      <c r="AE77" s="37" t="e">
        <f t="shared" ref="AE77" ca="1" si="821">+AE74</f>
        <v>#NAME?</v>
      </c>
      <c r="AL77" s="3" t="e">
        <f ca="1">SUM(AI74:AL74)</f>
        <v>#NAME?</v>
      </c>
      <c r="AM77" s="3" t="e">
        <f t="shared" ref="AM77" ca="1" si="822">SUM(AJ74:AM74)</f>
        <v>#NAME?</v>
      </c>
      <c r="AN77" s="3" t="e">
        <f t="shared" ref="AN77" ca="1" si="823">SUM(AK74:AN74)</f>
        <v>#NAME?</v>
      </c>
      <c r="AO77" s="3" t="e">
        <f t="shared" ref="AO77" ca="1" si="824">SUM(AL74:AO74)</f>
        <v>#NAME?</v>
      </c>
      <c r="AP77" s="3" t="e">
        <f t="shared" ref="AP77" ca="1" si="825">SUM(AM74:AP74)</f>
        <v>#NAME?</v>
      </c>
      <c r="AQ77" s="3" t="e">
        <f t="shared" ref="AQ77" ca="1" si="826">SUM(AN74:AQ74)</f>
        <v>#NAME?</v>
      </c>
      <c r="AR77" s="3" t="e">
        <f t="shared" ref="AR77" ca="1" si="827">SUM(AO74:AR74)</f>
        <v>#NAME?</v>
      </c>
      <c r="AS77" s="3" t="e">
        <f t="shared" ref="AS77" ca="1" si="828">SUM(AP74:AS74)</f>
        <v>#NAME?</v>
      </c>
      <c r="AT77" s="3" t="e">
        <f t="shared" ref="AT77" ca="1" si="829">SUM(AQ74:AT74)</f>
        <v>#NAME?</v>
      </c>
      <c r="AU77" s="3" t="e">
        <f t="shared" ref="AU77" ca="1" si="830">SUM(AR74:AU74)</f>
        <v>#NAME?</v>
      </c>
      <c r="AV77" s="3" t="e">
        <f t="shared" ref="AV77" ca="1" si="831">SUM(AS74:AV74)</f>
        <v>#NAME?</v>
      </c>
      <c r="AW77" s="3" t="e">
        <f t="shared" ref="AW77" ca="1" si="832">SUM(AT74:AW74)</f>
        <v>#NAME?</v>
      </c>
      <c r="AX77" s="3" t="e">
        <f t="shared" ref="AX77" ca="1" si="833">SUM(AU74:AX74)</f>
        <v>#NAME?</v>
      </c>
      <c r="AY77" s="3" t="e">
        <f t="shared" ref="AY77" ca="1" si="834">SUM(AV74:AY74)</f>
        <v>#NAME?</v>
      </c>
      <c r="AZ77" s="3" t="e">
        <f t="shared" ref="AZ77" ca="1" si="835">SUM(AW74:AZ74)</f>
        <v>#NAME?</v>
      </c>
      <c r="BA77" s="3" t="e">
        <f t="shared" ref="BA77" ca="1" si="836">SUM(AX74:BA74)</f>
        <v>#NAME?</v>
      </c>
      <c r="BB77" s="3" t="e">
        <f t="shared" ref="BB77" ca="1" si="837">SUM(AY74:BB74)</f>
        <v>#NAME?</v>
      </c>
      <c r="BC77" s="3" t="e">
        <f t="shared" ref="BC77" ca="1" si="838">SUM(AZ74:BC74)</f>
        <v>#NAME?</v>
      </c>
      <c r="BD77" s="3" t="e">
        <f t="shared" ref="BD77" ca="1" si="839">SUM(BA74:BD74)</f>
        <v>#NAME?</v>
      </c>
      <c r="BE77" s="3" t="e">
        <f t="shared" ref="BE77" ca="1" si="840">SUM(BB74:BE74)</f>
        <v>#NAME?</v>
      </c>
      <c r="BF77" s="3" t="e">
        <f t="shared" ref="BF77" ca="1" si="841">SUM(BC74:BF74)</f>
        <v>#NAME?</v>
      </c>
      <c r="BG77" s="3" t="e">
        <f t="shared" ref="BG77" ca="1" si="842">SUM(BD74:BG74)</f>
        <v>#NAME?</v>
      </c>
      <c r="BH77" s="3" t="e">
        <f t="shared" ref="BH77" ca="1" si="843">SUM(BE74:BH74)</f>
        <v>#NAME?</v>
      </c>
      <c r="BI77" s="3" t="e">
        <f t="shared" ref="BI77" ca="1" si="844">SUM(BF74:BI74)</f>
        <v>#NAME?</v>
      </c>
      <c r="BJ77" s="3" t="e">
        <f t="shared" ref="BJ77" ca="1" si="845">SUM(BG74:BJ74)</f>
        <v>#NAME?</v>
      </c>
      <c r="BK77" s="3" t="e">
        <f t="shared" ref="BK77" ca="1" si="846">SUM(BH74:BK74)</f>
        <v>#NAME?</v>
      </c>
      <c r="BL77" s="3" t="e">
        <f t="shared" ref="BL77" ca="1" si="847">SUM(BI74:BL74)</f>
        <v>#NAME?</v>
      </c>
      <c r="BM77" s="3" t="e">
        <f t="shared" ref="BM77" ca="1" si="848">SUM(BJ74:BM74)</f>
        <v>#NAME?</v>
      </c>
      <c r="BN77" s="3" t="e">
        <f t="shared" ref="BN77" ca="1" si="849">SUM(BK74:BN74)</f>
        <v>#NAME?</v>
      </c>
      <c r="BO77" s="3" t="e">
        <f t="shared" ref="BO77" ca="1" si="850">SUM(BL74:BO74)</f>
        <v>#NAME?</v>
      </c>
      <c r="BP77" s="3" t="e">
        <f t="shared" ref="BP77" ca="1" si="851">SUM(BM74:BP74)</f>
        <v>#NAME?</v>
      </c>
      <c r="BQ77" s="3" t="e">
        <f t="shared" ref="BQ77" ca="1" si="852">SUM(BN74:BQ74)</f>
        <v>#NAME?</v>
      </c>
      <c r="BR77" s="3" t="e">
        <f t="shared" ref="BR77" ca="1" si="853">SUM(BO74:BR74)</f>
        <v>#NAME?</v>
      </c>
      <c r="BS77" s="3" t="e">
        <f t="shared" ref="BS77" ca="1" si="854">SUM(BP74:BS74)</f>
        <v>#NAME?</v>
      </c>
      <c r="BT77" s="3" t="e">
        <f t="shared" ref="BT77" ca="1" si="855">SUM(BQ74:BT74)</f>
        <v>#NAME?</v>
      </c>
      <c r="BU77" s="3" t="e">
        <f t="shared" ref="BU77" ca="1" si="856">SUM(BR74:BU74)</f>
        <v>#NAME?</v>
      </c>
      <c r="BV77" s="3" t="e">
        <f t="shared" ref="BV77" ca="1" si="857">SUM(BS74:BV74)</f>
        <v>#NAME?</v>
      </c>
      <c r="BW77" s="3" t="e">
        <f t="shared" ref="BW77" ca="1" si="858">SUM(BT74:BW74)</f>
        <v>#NAME?</v>
      </c>
      <c r="BX77" s="3" t="e">
        <f t="shared" ref="BX77" ca="1" si="859">SUM(BU74:BX74)</f>
        <v>#NAME?</v>
      </c>
      <c r="BY77" s="3" t="e">
        <f t="shared" ref="BY77" ca="1" si="860">SUM(BV74:BY74)</f>
        <v>#NAME?</v>
      </c>
      <c r="BZ77" s="3" t="e">
        <f t="shared" ref="BZ77" ca="1" si="861">SUM(BW74:BZ74)</f>
        <v>#NAME?</v>
      </c>
      <c r="CA77" s="3" t="e">
        <f t="shared" ref="CA77" ca="1" si="862">SUM(BX74:CA74)</f>
        <v>#NAME?</v>
      </c>
      <c r="CB77" s="3" t="e">
        <f t="shared" ref="CB77" ca="1" si="863">SUM(BY74:CB74)</f>
        <v>#NAME?</v>
      </c>
      <c r="CC77" s="3" t="e">
        <f t="shared" ref="CC77" ca="1" si="864">SUM(BZ74:CC74)</f>
        <v>#NAME?</v>
      </c>
      <c r="CD77" s="3" t="e">
        <f t="shared" ref="CD77" ca="1" si="865">SUM(CA74:CD74)</f>
        <v>#NAME?</v>
      </c>
      <c r="CE77" s="3" t="e">
        <f t="shared" ref="CE77" ca="1" si="866">SUM(CB74:CE74)</f>
        <v>#NAME?</v>
      </c>
      <c r="CF77" s="3" t="e">
        <f t="shared" ref="CF77" ca="1" si="867">SUM(CC74:CF74)</f>
        <v>#NAME?</v>
      </c>
      <c r="CG77" s="3" t="e">
        <f t="shared" ref="CG77" ca="1" si="868">SUM(CD74:CG74)</f>
        <v>#NAME?</v>
      </c>
      <c r="CH77" s="3" t="e">
        <f t="shared" ref="CH77:CL77" ca="1" si="869">SUM(CE74:CH74)</f>
        <v>#NAME?</v>
      </c>
      <c r="CI77" s="3" t="e">
        <f t="shared" ca="1" si="869"/>
        <v>#NAME?</v>
      </c>
      <c r="CJ77" s="3" t="e">
        <f t="shared" ca="1" si="869"/>
        <v>#NAME?</v>
      </c>
      <c r="CK77" s="3" t="e">
        <f t="shared" ca="1" si="869"/>
        <v>#NAME?</v>
      </c>
      <c r="CL77" s="3" t="e">
        <f t="shared" ca="1" si="869"/>
        <v>#NAME?</v>
      </c>
      <c r="CM77" s="37" t="e">
        <f t="shared" ref="CM77" ca="1" si="870">SUM(CJ74:CM74)</f>
        <v>#NAME?</v>
      </c>
      <c r="CN77" s="37" t="e">
        <f t="shared" ref="CN77" ca="1" si="871">SUM(CK74:CN74)</f>
        <v>#NAME?</v>
      </c>
      <c r="CO77" s="37" t="e">
        <f t="shared" ref="CO77" ca="1" si="872">SUM(CL74:CO74)</f>
        <v>#NAME?</v>
      </c>
      <c r="CP77" s="37" t="e">
        <f t="shared" ref="CP77" ca="1" si="873">SUM(CM74:CP74)</f>
        <v>#NAME?</v>
      </c>
      <c r="CQ77" s="37" t="e">
        <f t="shared" ref="CQ77" ca="1" si="874">SUM(CN74:CQ74)</f>
        <v>#NAME?</v>
      </c>
      <c r="CR77" s="37" t="e">
        <f t="shared" ref="CR77" ca="1" si="875">SUM(CO74:CR74)</f>
        <v>#NAME?</v>
      </c>
      <c r="CS77" s="37" t="e">
        <f t="shared" ref="CS77" ca="1" si="876">SUM(CP74:CS74)</f>
        <v>#NAME?</v>
      </c>
      <c r="CT77" s="37" t="e">
        <f t="shared" ref="CT77" ca="1" si="877">SUM(CQ74:CT74)</f>
        <v>#NAME?</v>
      </c>
      <c r="CU77" s="37" t="e">
        <f t="shared" ref="CU77" ca="1" si="878">SUM(CR74:CU74)</f>
        <v>#NAME?</v>
      </c>
      <c r="CV77" s="37" t="e">
        <f t="shared" ref="CV77" ca="1" si="879">SUM(CS74:CV74)</f>
        <v>#NAME?</v>
      </c>
      <c r="CW77" s="37" t="e">
        <f t="shared" ref="CW77" ca="1" si="880">SUM(CT74:CW74)</f>
        <v>#NAME?</v>
      </c>
      <c r="CX77" s="37" t="e">
        <f t="shared" ref="CX77" ca="1" si="881">SUM(CU74:CX74)</f>
        <v>#NAME?</v>
      </c>
      <c r="CY77" s="37" t="e">
        <f t="shared" ref="CY77" ca="1" si="882">SUM(CV74:CY74)</f>
        <v>#NAME?</v>
      </c>
      <c r="CZ77" s="37" t="e">
        <f t="shared" ref="CZ77" ca="1" si="883">SUM(CW74:CZ74)</f>
        <v>#NAME?</v>
      </c>
      <c r="DA77" s="37" t="e">
        <f t="shared" ref="DA77" ca="1" si="884">SUM(CX74:DA74)</f>
        <v>#NAME?</v>
      </c>
      <c r="DB77" s="37" t="e">
        <f t="shared" ref="DB77" ca="1" si="885">SUM(CY74:DB74)</f>
        <v>#NAME?</v>
      </c>
      <c r="DE77" s="134"/>
      <c r="DF77" s="3">
        <v>19.774981794643587</v>
      </c>
    </row>
    <row r="78" spans="1:110" s="97" customFormat="1" x14ac:dyDescent="0.2">
      <c r="A78" s="97" t="s">
        <v>425</v>
      </c>
      <c r="C78" s="101" t="e">
        <f t="shared" ref="C78:AA78" ca="1" si="886">+C77/B77-1</f>
        <v>#NAME?</v>
      </c>
      <c r="D78" s="101" t="e">
        <f t="shared" ca="1" si="886"/>
        <v>#NAME?</v>
      </c>
      <c r="E78" s="101" t="e">
        <f t="shared" ca="1" si="886"/>
        <v>#NAME?</v>
      </c>
      <c r="F78" s="101" t="e">
        <f t="shared" ca="1" si="886"/>
        <v>#NAME?</v>
      </c>
      <c r="G78" s="101" t="e">
        <f t="shared" ca="1" si="886"/>
        <v>#NAME?</v>
      </c>
      <c r="H78" s="101" t="e">
        <f t="shared" ca="1" si="886"/>
        <v>#NAME?</v>
      </c>
      <c r="I78" s="101" t="e">
        <f t="shared" ca="1" si="886"/>
        <v>#NAME?</v>
      </c>
      <c r="J78" s="101" t="e">
        <f t="shared" ca="1" si="886"/>
        <v>#NAME?</v>
      </c>
      <c r="K78" s="101" t="e">
        <f t="shared" ca="1" si="886"/>
        <v>#NAME?</v>
      </c>
      <c r="L78" s="101" t="e">
        <f t="shared" ca="1" si="886"/>
        <v>#NAME?</v>
      </c>
      <c r="M78" s="101" t="e">
        <f t="shared" ca="1" si="886"/>
        <v>#NAME?</v>
      </c>
      <c r="N78" s="101" t="e">
        <f t="shared" ca="1" si="886"/>
        <v>#NAME?</v>
      </c>
      <c r="O78" s="101" t="e">
        <f t="shared" ca="1" si="886"/>
        <v>#NAME?</v>
      </c>
      <c r="P78" s="101" t="e">
        <f t="shared" ca="1" si="886"/>
        <v>#NAME?</v>
      </c>
      <c r="Q78" s="101" t="e">
        <f t="shared" ca="1" si="886"/>
        <v>#NAME?</v>
      </c>
      <c r="R78" s="101" t="e">
        <f t="shared" ca="1" si="886"/>
        <v>#NAME?</v>
      </c>
      <c r="S78" s="101" t="e">
        <f t="shared" ca="1" si="886"/>
        <v>#NAME?</v>
      </c>
      <c r="T78" s="101" t="e">
        <f t="shared" ca="1" si="886"/>
        <v>#NAME?</v>
      </c>
      <c r="U78" s="101" t="e">
        <f t="shared" ca="1" si="886"/>
        <v>#NAME?</v>
      </c>
      <c r="V78" s="101" t="e">
        <f t="shared" ca="1" si="886"/>
        <v>#NAME?</v>
      </c>
      <c r="W78" s="101" t="e">
        <f t="shared" ca="1" si="886"/>
        <v>#NAME?</v>
      </c>
      <c r="X78" s="101" t="e">
        <f t="shared" ca="1" si="886"/>
        <v>#NAME?</v>
      </c>
      <c r="Y78" s="101" t="e">
        <f t="shared" ca="1" si="886"/>
        <v>#NAME?</v>
      </c>
      <c r="Z78" s="101" t="e">
        <f t="shared" ca="1" si="886"/>
        <v>#NAME?</v>
      </c>
      <c r="AA78" s="101" t="e">
        <f t="shared" ca="1" si="886"/>
        <v>#NAME?</v>
      </c>
      <c r="AB78" s="174" t="e">
        <f t="shared" ref="AB78" ca="1" si="887">+AB77/AA77-1</f>
        <v>#NAME?</v>
      </c>
      <c r="AC78" s="174" t="e">
        <f t="shared" ref="AC78" ca="1" si="888">+AC77/AB77-1</f>
        <v>#NAME?</v>
      </c>
      <c r="AD78" s="174" t="e">
        <f t="shared" ref="AD78" ca="1" si="889">+AD77/AC77-1</f>
        <v>#NAME?</v>
      </c>
      <c r="AE78" s="174" t="e">
        <f t="shared" ref="AE78" ca="1" si="890">+AE77/AD77-1</f>
        <v>#NAME?</v>
      </c>
      <c r="AL78" s="176"/>
      <c r="AM78" s="176"/>
      <c r="AN78" s="176"/>
      <c r="AO78" s="176"/>
      <c r="AP78" s="176" t="e">
        <f t="shared" ref="AP78:CL78" ca="1" si="891">+IF(AL77&lt;0,1-AP77/AL77,AP77/AL77-1)</f>
        <v>#NAME?</v>
      </c>
      <c r="AQ78" s="176" t="e">
        <f t="shared" ca="1" si="891"/>
        <v>#NAME?</v>
      </c>
      <c r="AR78" s="176" t="e">
        <f t="shared" ca="1" si="891"/>
        <v>#NAME?</v>
      </c>
      <c r="AS78" s="176" t="e">
        <f t="shared" ca="1" si="891"/>
        <v>#NAME?</v>
      </c>
      <c r="AT78" s="176" t="e">
        <f t="shared" ca="1" si="891"/>
        <v>#NAME?</v>
      </c>
      <c r="AU78" s="176" t="e">
        <f t="shared" ca="1" si="891"/>
        <v>#NAME?</v>
      </c>
      <c r="AV78" s="176" t="e">
        <f t="shared" ca="1" si="891"/>
        <v>#NAME?</v>
      </c>
      <c r="AW78" s="176" t="e">
        <f t="shared" ca="1" si="891"/>
        <v>#NAME?</v>
      </c>
      <c r="AX78" s="176" t="e">
        <f t="shared" ca="1" si="891"/>
        <v>#NAME?</v>
      </c>
      <c r="AY78" s="176" t="e">
        <f t="shared" ca="1" si="891"/>
        <v>#NAME?</v>
      </c>
      <c r="AZ78" s="176" t="e">
        <f t="shared" ca="1" si="891"/>
        <v>#NAME?</v>
      </c>
      <c r="BA78" s="176" t="e">
        <f t="shared" ca="1" si="891"/>
        <v>#NAME?</v>
      </c>
      <c r="BB78" s="176" t="e">
        <f t="shared" ca="1" si="891"/>
        <v>#NAME?</v>
      </c>
      <c r="BC78" s="176" t="e">
        <f t="shared" ca="1" si="891"/>
        <v>#NAME?</v>
      </c>
      <c r="BD78" s="176" t="e">
        <f t="shared" ca="1" si="891"/>
        <v>#NAME?</v>
      </c>
      <c r="BE78" s="176" t="e">
        <f t="shared" ca="1" si="891"/>
        <v>#NAME?</v>
      </c>
      <c r="BF78" s="176" t="e">
        <f t="shared" ca="1" si="891"/>
        <v>#NAME?</v>
      </c>
      <c r="BG78" s="176" t="e">
        <f t="shared" ca="1" si="891"/>
        <v>#NAME?</v>
      </c>
      <c r="BH78" s="176" t="e">
        <f t="shared" ca="1" si="891"/>
        <v>#NAME?</v>
      </c>
      <c r="BI78" s="176" t="e">
        <f t="shared" ca="1" si="891"/>
        <v>#NAME?</v>
      </c>
      <c r="BJ78" s="176" t="e">
        <f t="shared" ca="1" si="891"/>
        <v>#NAME?</v>
      </c>
      <c r="BK78" s="176" t="e">
        <f t="shared" ca="1" si="891"/>
        <v>#NAME?</v>
      </c>
      <c r="BL78" s="176" t="e">
        <f t="shared" ca="1" si="891"/>
        <v>#NAME?</v>
      </c>
      <c r="BM78" s="176" t="e">
        <f t="shared" ca="1" si="891"/>
        <v>#NAME?</v>
      </c>
      <c r="BN78" s="176" t="e">
        <f t="shared" ca="1" si="891"/>
        <v>#NAME?</v>
      </c>
      <c r="BO78" s="176" t="e">
        <f t="shared" ca="1" si="891"/>
        <v>#NAME?</v>
      </c>
      <c r="BP78" s="176" t="e">
        <f t="shared" ca="1" si="891"/>
        <v>#NAME?</v>
      </c>
      <c r="BQ78" s="176" t="e">
        <f t="shared" ca="1" si="891"/>
        <v>#NAME?</v>
      </c>
      <c r="BR78" s="176" t="e">
        <f t="shared" ca="1" si="891"/>
        <v>#NAME?</v>
      </c>
      <c r="BS78" s="176" t="e">
        <f t="shared" ca="1" si="891"/>
        <v>#NAME?</v>
      </c>
      <c r="BT78" s="176" t="e">
        <f t="shared" ca="1" si="891"/>
        <v>#NAME?</v>
      </c>
      <c r="BU78" s="176" t="e">
        <f t="shared" ca="1" si="891"/>
        <v>#NAME?</v>
      </c>
      <c r="BV78" s="176" t="e">
        <f t="shared" ca="1" si="891"/>
        <v>#NAME?</v>
      </c>
      <c r="BW78" s="176" t="e">
        <f t="shared" ca="1" si="891"/>
        <v>#NAME?</v>
      </c>
      <c r="BX78" s="176" t="e">
        <f t="shared" ca="1" si="891"/>
        <v>#NAME?</v>
      </c>
      <c r="BY78" s="176" t="e">
        <f t="shared" ca="1" si="891"/>
        <v>#NAME?</v>
      </c>
      <c r="BZ78" s="176" t="e">
        <f t="shared" ca="1" si="891"/>
        <v>#NAME?</v>
      </c>
      <c r="CA78" s="176" t="e">
        <f t="shared" ca="1" si="891"/>
        <v>#NAME?</v>
      </c>
      <c r="CB78" s="176" t="e">
        <f t="shared" ca="1" si="891"/>
        <v>#NAME?</v>
      </c>
      <c r="CC78" s="176" t="e">
        <f t="shared" ca="1" si="891"/>
        <v>#NAME?</v>
      </c>
      <c r="CD78" s="176" t="e">
        <f t="shared" ca="1" si="891"/>
        <v>#NAME?</v>
      </c>
      <c r="CE78" s="176" t="e">
        <f t="shared" ca="1" si="891"/>
        <v>#NAME?</v>
      </c>
      <c r="CF78" s="176" t="e">
        <f t="shared" ca="1" si="891"/>
        <v>#NAME?</v>
      </c>
      <c r="CG78" s="176" t="e">
        <f t="shared" ca="1" si="891"/>
        <v>#NAME?</v>
      </c>
      <c r="CH78" s="176" t="e">
        <f t="shared" ca="1" si="891"/>
        <v>#NAME?</v>
      </c>
      <c r="CI78" s="176" t="e">
        <f t="shared" ca="1" si="891"/>
        <v>#NAME?</v>
      </c>
      <c r="CJ78" s="176" t="e">
        <f t="shared" ca="1" si="891"/>
        <v>#NAME?</v>
      </c>
      <c r="CK78" s="176" t="e">
        <f t="shared" ca="1" si="891"/>
        <v>#NAME?</v>
      </c>
      <c r="CL78" s="176" t="e">
        <f t="shared" ca="1" si="891"/>
        <v>#NAME?</v>
      </c>
      <c r="CM78" s="102" t="e">
        <f t="shared" ref="CM78:DB78" ca="1" si="892">+IF(CI77&lt;0,1-CM77/CI77,CM77/CI77-1)</f>
        <v>#NAME?</v>
      </c>
      <c r="CN78" s="102" t="e">
        <f t="shared" ca="1" si="892"/>
        <v>#NAME?</v>
      </c>
      <c r="CO78" s="102" t="e">
        <f t="shared" ca="1" si="892"/>
        <v>#NAME?</v>
      </c>
      <c r="CP78" s="102" t="e">
        <f t="shared" ca="1" si="892"/>
        <v>#NAME?</v>
      </c>
      <c r="CQ78" s="102" t="e">
        <f t="shared" ca="1" si="892"/>
        <v>#NAME?</v>
      </c>
      <c r="CR78" s="102" t="e">
        <f t="shared" ca="1" si="892"/>
        <v>#NAME?</v>
      </c>
      <c r="CS78" s="102" t="e">
        <f t="shared" ca="1" si="892"/>
        <v>#NAME?</v>
      </c>
      <c r="CT78" s="102" t="e">
        <f t="shared" ca="1" si="892"/>
        <v>#NAME?</v>
      </c>
      <c r="CU78" s="102" t="e">
        <f t="shared" ca="1" si="892"/>
        <v>#NAME?</v>
      </c>
      <c r="CV78" s="102" t="e">
        <f t="shared" ca="1" si="892"/>
        <v>#NAME?</v>
      </c>
      <c r="CW78" s="102" t="e">
        <f t="shared" ca="1" si="892"/>
        <v>#NAME?</v>
      </c>
      <c r="CX78" s="102" t="e">
        <f t="shared" ca="1" si="892"/>
        <v>#NAME?</v>
      </c>
      <c r="CY78" s="102" t="e">
        <f t="shared" ca="1" si="892"/>
        <v>#NAME?</v>
      </c>
      <c r="CZ78" s="102" t="e">
        <f t="shared" ca="1" si="892"/>
        <v>#NAME?</v>
      </c>
      <c r="DA78" s="102" t="e">
        <f t="shared" ca="1" si="892"/>
        <v>#NAME?</v>
      </c>
      <c r="DB78" s="102" t="e">
        <f t="shared" ca="1" si="892"/>
        <v>#NAME?</v>
      </c>
      <c r="DE78" s="135"/>
      <c r="DF78" s="97">
        <v>0.16688868199288676</v>
      </c>
    </row>
    <row r="79" spans="1:110" s="144" customFormat="1" x14ac:dyDescent="0.2">
      <c r="A79" s="144" t="s">
        <v>424</v>
      </c>
      <c r="AB79" s="145"/>
      <c r="AC79" s="145"/>
      <c r="AD79" s="145"/>
      <c r="AE79" s="145"/>
      <c r="CM79" s="145"/>
      <c r="CN79" s="145"/>
      <c r="CO79" s="145"/>
      <c r="CP79" s="145">
        <v>12.7</v>
      </c>
      <c r="CQ79" s="145"/>
      <c r="CR79" s="145"/>
      <c r="CS79" s="145"/>
      <c r="CT79" s="145">
        <v>16.600000000000001</v>
      </c>
      <c r="CU79" s="145"/>
      <c r="CV79" s="145"/>
      <c r="CW79" s="145"/>
      <c r="CX79" s="145">
        <v>20.3</v>
      </c>
      <c r="CY79" s="145"/>
      <c r="CZ79" s="145"/>
      <c r="DA79" s="145"/>
      <c r="DB79" s="145"/>
      <c r="DE79" s="146"/>
    </row>
    <row r="80" spans="1:110" s="144" customFormat="1" x14ac:dyDescent="0.2">
      <c r="A80" s="144" t="s">
        <v>436</v>
      </c>
      <c r="AB80" s="145"/>
      <c r="AC80" s="145"/>
      <c r="AD80" s="145"/>
      <c r="AE80" s="145"/>
      <c r="CM80" s="145"/>
      <c r="CN80" s="145"/>
      <c r="CO80" s="145"/>
      <c r="CP80" s="145" t="e">
        <f ca="1">+CP77/CP79-1</f>
        <v>#NAME?</v>
      </c>
      <c r="CQ80" s="145"/>
      <c r="CR80" s="145"/>
      <c r="CS80" s="145"/>
      <c r="CT80" s="145" t="e">
        <f ca="1">+CT77/CT79-1</f>
        <v>#NAME?</v>
      </c>
      <c r="CU80" s="145"/>
      <c r="CV80" s="145"/>
      <c r="CW80" s="145"/>
      <c r="CX80" s="145" t="e">
        <f ca="1">+CX77/CX79-1</f>
        <v>#NAME?</v>
      </c>
      <c r="CY80" s="145"/>
      <c r="CZ80" s="145"/>
      <c r="DA80" s="145"/>
      <c r="DB80" s="145"/>
      <c r="DE80" s="146"/>
    </row>
    <row r="81" spans="1:110" s="3" customFormat="1" x14ac:dyDescent="0.2">
      <c r="A81" s="3" t="s">
        <v>34</v>
      </c>
      <c r="B81" s="3" t="e">
        <f ca="1">'Annual Raw'!C112</f>
        <v>#NAME?</v>
      </c>
      <c r="C81" s="3" t="e">
        <f ca="1">'Annual Raw'!D112</f>
        <v>#NAME?</v>
      </c>
      <c r="D81" s="3" t="e">
        <f ca="1">'Annual Raw'!E112</f>
        <v>#NAME?</v>
      </c>
      <c r="E81" s="3" t="e">
        <f ca="1">'Annual Raw'!F112</f>
        <v>#NAME?</v>
      </c>
      <c r="F81" s="3" t="e">
        <f ca="1">'Annual Raw'!G112</f>
        <v>#NAME?</v>
      </c>
      <c r="G81" s="3" t="e">
        <f ca="1">'Annual Raw'!H112</f>
        <v>#NAME?</v>
      </c>
      <c r="H81" s="3" t="e">
        <f ca="1">'Annual Raw'!I112</f>
        <v>#NAME?</v>
      </c>
      <c r="I81" s="3" t="e">
        <f ca="1">'Annual Raw'!J112</f>
        <v>#NAME?</v>
      </c>
      <c r="J81" s="3" t="e">
        <f ca="1">'Annual Raw'!K112</f>
        <v>#NAME?</v>
      </c>
      <c r="K81" s="3" t="e">
        <f ca="1">'Annual Raw'!L112</f>
        <v>#NAME?</v>
      </c>
      <c r="L81" s="3" t="e">
        <f ca="1">'Annual Raw'!M112</f>
        <v>#NAME?</v>
      </c>
      <c r="M81" s="3" t="e">
        <f ca="1">'Annual Raw'!N112</f>
        <v>#NAME?</v>
      </c>
      <c r="N81" s="3" t="e">
        <f ca="1">'Annual Raw'!O112</f>
        <v>#NAME?</v>
      </c>
      <c r="O81" s="3" t="e">
        <f ca="1">'Annual Raw'!P112</f>
        <v>#NAME?</v>
      </c>
      <c r="P81" s="3" t="e">
        <f ca="1">'Annual Raw'!Q112</f>
        <v>#NAME?</v>
      </c>
      <c r="Q81" s="3" t="e">
        <f ca="1">'Annual Raw'!R112</f>
        <v>#NAME?</v>
      </c>
      <c r="R81" s="3" t="e">
        <f ca="1">'Annual Raw'!S112</f>
        <v>#NAME?</v>
      </c>
      <c r="S81" s="3" t="e">
        <f ca="1">'Annual Raw'!T112</f>
        <v>#NAME?</v>
      </c>
      <c r="T81" s="3" t="e">
        <f ca="1">'Annual Raw'!U112</f>
        <v>#NAME?</v>
      </c>
      <c r="U81" s="3" t="e">
        <f ca="1">'Annual Raw'!V112</f>
        <v>#NAME?</v>
      </c>
      <c r="V81" s="3" t="e">
        <f ca="1">'Annual Raw'!W112</f>
        <v>#NAME?</v>
      </c>
      <c r="W81" s="3" t="e">
        <f ca="1">'Annual Raw'!X112</f>
        <v>#NAME?</v>
      </c>
      <c r="X81" s="3" t="e">
        <f ca="1">'Annual Raw'!Y112</f>
        <v>#NAME?</v>
      </c>
      <c r="Y81" s="3" t="e">
        <f ca="1">'Annual Raw'!Z112</f>
        <v>#NAME?</v>
      </c>
      <c r="Z81" s="3" t="e">
        <f ca="1">'Annual Raw'!AA112</f>
        <v>#NAME?</v>
      </c>
      <c r="AA81" s="3" t="e">
        <f ca="1">'Annual Raw'!AB112</f>
        <v>#NAME?</v>
      </c>
      <c r="AB81" s="37"/>
      <c r="AC81" s="37"/>
      <c r="AD81" s="37"/>
      <c r="AE81" s="37"/>
      <c r="AI81" s="3" t="e">
        <f ca="1">'QTR Raw'!C49</f>
        <v>#NAME?</v>
      </c>
      <c r="AJ81" s="3" t="e">
        <f ca="1">'QTR Raw'!D49</f>
        <v>#NAME?</v>
      </c>
      <c r="AK81" s="3" t="e">
        <f ca="1">'QTR Raw'!E49</f>
        <v>#NAME?</v>
      </c>
      <c r="AL81" s="3" t="e">
        <f ca="1">'QTR Raw'!F49</f>
        <v>#NAME?</v>
      </c>
      <c r="AM81" s="3" t="e">
        <f ca="1">'QTR Raw'!G49</f>
        <v>#NAME?</v>
      </c>
      <c r="AN81" s="3" t="e">
        <f ca="1">'QTR Raw'!H49</f>
        <v>#NAME?</v>
      </c>
      <c r="AO81" s="3" t="e">
        <f ca="1">'QTR Raw'!I49</f>
        <v>#NAME?</v>
      </c>
      <c r="AP81" s="3" t="e">
        <f ca="1">'QTR Raw'!J49</f>
        <v>#NAME?</v>
      </c>
      <c r="AQ81" s="3" t="e">
        <f ca="1">'QTR Raw'!K49</f>
        <v>#NAME?</v>
      </c>
      <c r="AR81" s="3" t="e">
        <f ca="1">'QTR Raw'!L49</f>
        <v>#NAME?</v>
      </c>
      <c r="AS81" s="3" t="e">
        <f ca="1">'QTR Raw'!M49</f>
        <v>#NAME?</v>
      </c>
      <c r="AT81" s="3" t="e">
        <f ca="1">'QTR Raw'!N49</f>
        <v>#NAME?</v>
      </c>
      <c r="AU81" s="3" t="e">
        <f ca="1">'QTR Raw'!O49</f>
        <v>#NAME?</v>
      </c>
      <c r="AV81" s="3" t="e">
        <f ca="1">'QTR Raw'!P49</f>
        <v>#NAME?</v>
      </c>
      <c r="AW81" s="3" t="e">
        <f ca="1">'QTR Raw'!Q49</f>
        <v>#NAME?</v>
      </c>
      <c r="AX81" s="3" t="e">
        <f ca="1">'QTR Raw'!R49</f>
        <v>#NAME?</v>
      </c>
      <c r="AY81" s="3" t="e">
        <f ca="1">'QTR Raw'!S49</f>
        <v>#NAME?</v>
      </c>
      <c r="AZ81" s="3" t="e">
        <f ca="1">'QTR Raw'!T49</f>
        <v>#NAME?</v>
      </c>
      <c r="BA81" s="3" t="e">
        <f ca="1">'QTR Raw'!U49</f>
        <v>#NAME?</v>
      </c>
      <c r="BB81" s="3" t="e">
        <f ca="1">'QTR Raw'!V49</f>
        <v>#NAME?</v>
      </c>
      <c r="BC81" s="3" t="e">
        <f ca="1">'QTR Raw'!W49</f>
        <v>#NAME?</v>
      </c>
      <c r="BD81" s="3" t="e">
        <f ca="1">'QTR Raw'!X49</f>
        <v>#NAME?</v>
      </c>
      <c r="BE81" s="3" t="e">
        <f ca="1">'QTR Raw'!Y49</f>
        <v>#NAME?</v>
      </c>
      <c r="BF81" s="3" t="e">
        <f ca="1">'QTR Raw'!Z49</f>
        <v>#NAME?</v>
      </c>
      <c r="BG81" s="3" t="e">
        <f ca="1">'QTR Raw'!AA49</f>
        <v>#NAME?</v>
      </c>
      <c r="BH81" s="3" t="e">
        <f ca="1">'QTR Raw'!AB49</f>
        <v>#NAME?</v>
      </c>
      <c r="BI81" s="3" t="e">
        <f ca="1">'QTR Raw'!AC49</f>
        <v>#NAME?</v>
      </c>
      <c r="BJ81" s="3" t="e">
        <f ca="1">'QTR Raw'!AD49</f>
        <v>#NAME?</v>
      </c>
      <c r="BK81" s="3" t="e">
        <f ca="1">'QTR Raw'!AE49</f>
        <v>#NAME?</v>
      </c>
      <c r="BL81" s="3" t="e">
        <f ca="1">'QTR Raw'!AF49</f>
        <v>#NAME?</v>
      </c>
      <c r="BM81" s="3" t="e">
        <f ca="1">'QTR Raw'!AG49</f>
        <v>#NAME?</v>
      </c>
      <c r="BN81" s="3" t="e">
        <f ca="1">'QTR Raw'!AH49</f>
        <v>#NAME?</v>
      </c>
      <c r="BO81" s="3" t="e">
        <f ca="1">'QTR Raw'!AI49</f>
        <v>#NAME?</v>
      </c>
      <c r="BP81" s="3" t="e">
        <f ca="1">'QTR Raw'!AJ49</f>
        <v>#NAME?</v>
      </c>
      <c r="BQ81" s="3" t="e">
        <f ca="1">'QTR Raw'!AK49</f>
        <v>#NAME?</v>
      </c>
      <c r="BR81" s="3" t="e">
        <f ca="1">'QTR Raw'!AL49</f>
        <v>#NAME?</v>
      </c>
      <c r="BS81" s="3" t="e">
        <f ca="1">'QTR Raw'!AM49</f>
        <v>#NAME?</v>
      </c>
      <c r="BT81" s="3" t="e">
        <f ca="1">'QTR Raw'!AN49</f>
        <v>#NAME?</v>
      </c>
      <c r="BU81" s="3" t="e">
        <f ca="1">'QTR Raw'!AO49</f>
        <v>#NAME?</v>
      </c>
      <c r="BV81" s="3" t="e">
        <f ca="1">'QTR Raw'!AP49</f>
        <v>#NAME?</v>
      </c>
      <c r="BW81" s="3" t="e">
        <f ca="1">'QTR Raw'!AQ49</f>
        <v>#NAME?</v>
      </c>
      <c r="BX81" s="3" t="e">
        <f ca="1">'QTR Raw'!AR49</f>
        <v>#NAME?</v>
      </c>
      <c r="BY81" s="3" t="e">
        <f ca="1">'QTR Raw'!AS49</f>
        <v>#NAME?</v>
      </c>
      <c r="BZ81" s="3" t="e">
        <f ca="1">'QTR Raw'!AT49</f>
        <v>#NAME?</v>
      </c>
      <c r="CA81" s="3" t="e">
        <f ca="1">'QTR Raw'!AU49</f>
        <v>#NAME?</v>
      </c>
      <c r="CB81" s="3" t="e">
        <f ca="1">'QTR Raw'!AV49</f>
        <v>#NAME?</v>
      </c>
      <c r="CC81" s="3" t="e">
        <f ca="1">'QTR Raw'!AW49</f>
        <v>#NAME?</v>
      </c>
      <c r="CD81" s="3" t="e">
        <f ca="1">'QTR Raw'!AX49</f>
        <v>#NAME?</v>
      </c>
      <c r="CE81" s="3" t="e">
        <f ca="1">'QTR Raw'!AY49</f>
        <v>#NAME?</v>
      </c>
      <c r="CF81" s="3" t="e">
        <f ca="1">'QTR Raw'!AZ49</f>
        <v>#NAME?</v>
      </c>
      <c r="CG81" s="3" t="e">
        <f ca="1">'QTR Raw'!BA49</f>
        <v>#NAME?</v>
      </c>
      <c r="CH81" s="3" t="e">
        <f ca="1">'QTR Raw'!BB49</f>
        <v>#NAME?</v>
      </c>
      <c r="CI81" s="3" t="e">
        <f ca="1">'QTR Raw'!BC49</f>
        <v>#NAME?</v>
      </c>
      <c r="CJ81" s="3" t="e">
        <f ca="1">'QTR Raw'!BD49</f>
        <v>#NAME?</v>
      </c>
      <c r="CK81" s="3" t="e">
        <f ca="1">'QTR Raw'!BE49</f>
        <v>#NAME?</v>
      </c>
      <c r="CL81" s="3" t="e">
        <f ca="1">'QTR Raw'!BF49</f>
        <v>#NAME?</v>
      </c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E81" s="134"/>
    </row>
    <row r="82" spans="1:110" s="3" customFormat="1" x14ac:dyDescent="0.2">
      <c r="A82" s="3" t="s">
        <v>35</v>
      </c>
      <c r="B82" s="3" t="e">
        <f ca="1">'Annual Raw'!C113</f>
        <v>#NAME?</v>
      </c>
      <c r="C82" s="3" t="e">
        <f ca="1">'Annual Raw'!D113</f>
        <v>#NAME?</v>
      </c>
      <c r="D82" s="3" t="e">
        <f ca="1">'Annual Raw'!E113</f>
        <v>#NAME?</v>
      </c>
      <c r="E82" s="3" t="e">
        <f ca="1">'Annual Raw'!F113</f>
        <v>#NAME?</v>
      </c>
      <c r="F82" s="3" t="e">
        <f ca="1">'Annual Raw'!G113</f>
        <v>#NAME?</v>
      </c>
      <c r="G82" s="3" t="e">
        <f ca="1">'Annual Raw'!H113</f>
        <v>#NAME?</v>
      </c>
      <c r="H82" s="3" t="e">
        <f ca="1">'Annual Raw'!I113</f>
        <v>#NAME?</v>
      </c>
      <c r="I82" s="3" t="e">
        <f ca="1">'Annual Raw'!J113</f>
        <v>#NAME?</v>
      </c>
      <c r="J82" s="3" t="e">
        <f ca="1">'Annual Raw'!K113</f>
        <v>#NAME?</v>
      </c>
      <c r="K82" s="3" t="e">
        <f ca="1">'Annual Raw'!L113</f>
        <v>#NAME?</v>
      </c>
      <c r="L82" s="3" t="e">
        <f ca="1">'Annual Raw'!M113</f>
        <v>#NAME?</v>
      </c>
      <c r="M82" s="3" t="e">
        <f ca="1">'Annual Raw'!N113</f>
        <v>#NAME?</v>
      </c>
      <c r="N82" s="3" t="e">
        <f ca="1">'Annual Raw'!O113</f>
        <v>#NAME?</v>
      </c>
      <c r="O82" s="3" t="e">
        <f ca="1">'Annual Raw'!P113</f>
        <v>#NAME?</v>
      </c>
      <c r="P82" s="3" t="e">
        <f ca="1">'Annual Raw'!Q113</f>
        <v>#NAME?</v>
      </c>
      <c r="Q82" s="3" t="e">
        <f ca="1">'Annual Raw'!R113</f>
        <v>#NAME?</v>
      </c>
      <c r="R82" s="3" t="e">
        <f ca="1">'Annual Raw'!S113</f>
        <v>#NAME?</v>
      </c>
      <c r="S82" s="3" t="e">
        <f ca="1">'Annual Raw'!T113</f>
        <v>#NAME?</v>
      </c>
      <c r="T82" s="3" t="e">
        <f ca="1">'Annual Raw'!U113</f>
        <v>#NAME?</v>
      </c>
      <c r="U82" s="3" t="e">
        <f ca="1">'Annual Raw'!V113</f>
        <v>#NAME?</v>
      </c>
      <c r="V82" s="3" t="e">
        <f ca="1">'Annual Raw'!W113</f>
        <v>#NAME?</v>
      </c>
      <c r="W82" s="3" t="e">
        <f ca="1">'Annual Raw'!X113</f>
        <v>#NAME?</v>
      </c>
      <c r="X82" s="3" t="e">
        <f ca="1">'Annual Raw'!Y113</f>
        <v>#NAME?</v>
      </c>
      <c r="Y82" s="3" t="e">
        <f ca="1">'Annual Raw'!Z113</f>
        <v>#NAME?</v>
      </c>
      <c r="Z82" s="3" t="e">
        <f ca="1">'Annual Raw'!AA113</f>
        <v>#NAME?</v>
      </c>
      <c r="AA82" s="3" t="e">
        <f ca="1">'Annual Raw'!AB113</f>
        <v>#NAME?</v>
      </c>
      <c r="AB82" s="37"/>
      <c r="AC82" s="37"/>
      <c r="AD82" s="37"/>
      <c r="AE82" s="37"/>
      <c r="AI82" s="3" t="e">
        <f ca="1">'QTR Raw'!C50</f>
        <v>#NAME?</v>
      </c>
      <c r="AJ82" s="3" t="e">
        <f ca="1">'QTR Raw'!D50</f>
        <v>#NAME?</v>
      </c>
      <c r="AK82" s="3" t="e">
        <f ca="1">'QTR Raw'!E50</f>
        <v>#NAME?</v>
      </c>
      <c r="AL82" s="3" t="e">
        <f ca="1">'QTR Raw'!F50</f>
        <v>#NAME?</v>
      </c>
      <c r="AM82" s="3" t="e">
        <f ca="1">'QTR Raw'!G50</f>
        <v>#NAME?</v>
      </c>
      <c r="AN82" s="3" t="e">
        <f ca="1">'QTR Raw'!H50</f>
        <v>#NAME?</v>
      </c>
      <c r="AO82" s="3" t="e">
        <f ca="1">'QTR Raw'!I50</f>
        <v>#NAME?</v>
      </c>
      <c r="AP82" s="3" t="e">
        <f ca="1">'QTR Raw'!J50</f>
        <v>#NAME?</v>
      </c>
      <c r="AQ82" s="3" t="e">
        <f ca="1">'QTR Raw'!K50</f>
        <v>#NAME?</v>
      </c>
      <c r="AR82" s="3" t="e">
        <f ca="1">'QTR Raw'!L50</f>
        <v>#NAME?</v>
      </c>
      <c r="AS82" s="3" t="e">
        <f ca="1">'QTR Raw'!M50</f>
        <v>#NAME?</v>
      </c>
      <c r="AT82" s="3" t="e">
        <f ca="1">'QTR Raw'!N50</f>
        <v>#NAME?</v>
      </c>
      <c r="AU82" s="3" t="e">
        <f ca="1">'QTR Raw'!O50</f>
        <v>#NAME?</v>
      </c>
      <c r="AV82" s="3" t="e">
        <f ca="1">'QTR Raw'!P50</f>
        <v>#NAME?</v>
      </c>
      <c r="AW82" s="3" t="e">
        <f ca="1">'QTR Raw'!Q50</f>
        <v>#NAME?</v>
      </c>
      <c r="AX82" s="3" t="e">
        <f ca="1">'QTR Raw'!R50</f>
        <v>#NAME?</v>
      </c>
      <c r="AY82" s="3" t="e">
        <f ca="1">'QTR Raw'!S50</f>
        <v>#NAME?</v>
      </c>
      <c r="AZ82" s="3" t="e">
        <f ca="1">'QTR Raw'!T50</f>
        <v>#NAME?</v>
      </c>
      <c r="BA82" s="3" t="e">
        <f ca="1">'QTR Raw'!U50</f>
        <v>#NAME?</v>
      </c>
      <c r="BB82" s="3" t="e">
        <f ca="1">'QTR Raw'!V50</f>
        <v>#NAME?</v>
      </c>
      <c r="BC82" s="3" t="e">
        <f ca="1">'QTR Raw'!W50</f>
        <v>#NAME?</v>
      </c>
      <c r="BD82" s="3" t="e">
        <f ca="1">'QTR Raw'!X50</f>
        <v>#NAME?</v>
      </c>
      <c r="BE82" s="3" t="e">
        <f ca="1">'QTR Raw'!Y50</f>
        <v>#NAME?</v>
      </c>
      <c r="BF82" s="3" t="e">
        <f ca="1">'QTR Raw'!Z50</f>
        <v>#NAME?</v>
      </c>
      <c r="BG82" s="3" t="e">
        <f ca="1">'QTR Raw'!AA50</f>
        <v>#NAME?</v>
      </c>
      <c r="BH82" s="3" t="e">
        <f ca="1">'QTR Raw'!AB50</f>
        <v>#NAME?</v>
      </c>
      <c r="BI82" s="3" t="e">
        <f ca="1">'QTR Raw'!AC50</f>
        <v>#NAME?</v>
      </c>
      <c r="BJ82" s="3" t="e">
        <f ca="1">'QTR Raw'!AD50</f>
        <v>#NAME?</v>
      </c>
      <c r="BK82" s="3" t="e">
        <f ca="1">'QTR Raw'!AE50</f>
        <v>#NAME?</v>
      </c>
      <c r="BL82" s="3" t="e">
        <f ca="1">'QTR Raw'!AF50</f>
        <v>#NAME?</v>
      </c>
      <c r="BM82" s="3" t="e">
        <f ca="1">'QTR Raw'!AG50</f>
        <v>#NAME?</v>
      </c>
      <c r="BN82" s="3" t="e">
        <f ca="1">'QTR Raw'!AH50</f>
        <v>#NAME?</v>
      </c>
      <c r="BO82" s="3" t="e">
        <f ca="1">'QTR Raw'!AI50</f>
        <v>#NAME?</v>
      </c>
      <c r="BP82" s="3" t="e">
        <f ca="1">'QTR Raw'!AJ50</f>
        <v>#NAME?</v>
      </c>
      <c r="BQ82" s="3" t="e">
        <f ca="1">'QTR Raw'!AK50</f>
        <v>#NAME?</v>
      </c>
      <c r="BR82" s="3" t="e">
        <f ca="1">'QTR Raw'!AL50</f>
        <v>#NAME?</v>
      </c>
      <c r="BS82" s="3" t="e">
        <f ca="1">'QTR Raw'!AM50</f>
        <v>#NAME?</v>
      </c>
      <c r="BT82" s="3" t="e">
        <f ca="1">'QTR Raw'!AN50</f>
        <v>#NAME?</v>
      </c>
      <c r="BU82" s="3" t="e">
        <f ca="1">'QTR Raw'!AO50</f>
        <v>#NAME?</v>
      </c>
      <c r="BV82" s="3" t="e">
        <f ca="1">'QTR Raw'!AP50</f>
        <v>#NAME?</v>
      </c>
      <c r="BW82" s="3" t="e">
        <f ca="1">'QTR Raw'!AQ50</f>
        <v>#NAME?</v>
      </c>
      <c r="BX82" s="3" t="e">
        <f ca="1">'QTR Raw'!AR50</f>
        <v>#NAME?</v>
      </c>
      <c r="BY82" s="3" t="e">
        <f ca="1">'QTR Raw'!AS50</f>
        <v>#NAME?</v>
      </c>
      <c r="BZ82" s="3" t="e">
        <f ca="1">'QTR Raw'!AT50</f>
        <v>#NAME?</v>
      </c>
      <c r="CA82" s="3" t="e">
        <f ca="1">'QTR Raw'!AU50</f>
        <v>#NAME?</v>
      </c>
      <c r="CB82" s="3" t="e">
        <f ca="1">'QTR Raw'!AV50</f>
        <v>#NAME?</v>
      </c>
      <c r="CC82" s="3" t="e">
        <f ca="1">'QTR Raw'!AW50</f>
        <v>#NAME?</v>
      </c>
      <c r="CD82" s="3" t="e">
        <f ca="1">'QTR Raw'!AX50</f>
        <v>#NAME?</v>
      </c>
      <c r="CE82" s="3" t="e">
        <f ca="1">'QTR Raw'!AY50</f>
        <v>#NAME?</v>
      </c>
      <c r="CF82" s="3" t="e">
        <f ca="1">'QTR Raw'!AZ50</f>
        <v>#NAME?</v>
      </c>
      <c r="CG82" s="3" t="e">
        <f ca="1">'QTR Raw'!BA50</f>
        <v>#NAME?</v>
      </c>
      <c r="CH82" s="3" t="e">
        <f ca="1">'QTR Raw'!BB50</f>
        <v>#NAME?</v>
      </c>
      <c r="CI82" s="3" t="e">
        <f ca="1">'QTR Raw'!BC50</f>
        <v>#NAME?</v>
      </c>
      <c r="CJ82" s="3" t="e">
        <f ca="1">'QTR Raw'!BD50</f>
        <v>#NAME?</v>
      </c>
      <c r="CK82" s="3" t="e">
        <f ca="1">'QTR Raw'!BE50</f>
        <v>#NAME?</v>
      </c>
      <c r="CL82" s="3" t="e">
        <f ca="1">'QTR Raw'!BF50</f>
        <v>#NAME?</v>
      </c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</row>
    <row r="83" spans="1:110" s="3" customFormat="1" x14ac:dyDescent="0.2">
      <c r="AB83" s="37"/>
      <c r="AC83" s="37"/>
      <c r="AD83" s="37"/>
      <c r="AE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36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457</v>
      </c>
      <c r="B85" s="13" t="e">
        <f ca="1">'Annual Raw'!C106</f>
        <v>#NAME?</v>
      </c>
      <c r="C85" s="13" t="e">
        <f ca="1">'Annual Raw'!D106</f>
        <v>#NAME?</v>
      </c>
      <c r="D85" s="13" t="e">
        <f ca="1">'Annual Raw'!E106</f>
        <v>#NAME?</v>
      </c>
      <c r="E85" s="13" t="e">
        <f ca="1">'Annual Raw'!F106</f>
        <v>#NAME?</v>
      </c>
      <c r="F85" s="13" t="e">
        <f ca="1">'Annual Raw'!G106</f>
        <v>#NAME?</v>
      </c>
      <c r="G85" s="13" t="e">
        <f ca="1">'Annual Raw'!H106</f>
        <v>#NAME?</v>
      </c>
      <c r="H85" s="13" t="e">
        <f ca="1">'Annual Raw'!I106</f>
        <v>#NAME?</v>
      </c>
      <c r="I85" s="13" t="e">
        <f ca="1">'Annual Raw'!J106</f>
        <v>#NAME?</v>
      </c>
      <c r="J85" s="13" t="e">
        <f ca="1">'Annual Raw'!K106</f>
        <v>#NAME?</v>
      </c>
      <c r="K85" s="13" t="e">
        <f ca="1">'Annual Raw'!L106</f>
        <v>#NAME?</v>
      </c>
      <c r="L85" s="13" t="e">
        <f ca="1">'Annual Raw'!M106</f>
        <v>#NAME?</v>
      </c>
      <c r="M85" s="13" t="e">
        <f ca="1">'Annual Raw'!N106</f>
        <v>#NAME?</v>
      </c>
      <c r="N85" s="13" t="e">
        <f ca="1">'Annual Raw'!O106</f>
        <v>#NAME?</v>
      </c>
      <c r="O85" s="13" t="e">
        <f ca="1">'Annual Raw'!P106</f>
        <v>#NAME?</v>
      </c>
      <c r="P85" s="13" t="e">
        <f ca="1">'Annual Raw'!Q106</f>
        <v>#NAME?</v>
      </c>
      <c r="Q85" s="13" t="e">
        <f ca="1">'Annual Raw'!R106</f>
        <v>#NAME?</v>
      </c>
      <c r="R85" s="13" t="e">
        <f ca="1">'Annual Raw'!S106</f>
        <v>#NAME?</v>
      </c>
      <c r="S85" s="13" t="e">
        <f ca="1">'Annual Raw'!T106</f>
        <v>#NAME?</v>
      </c>
      <c r="T85" s="13" t="e">
        <f ca="1">'Annual Raw'!U106</f>
        <v>#NAME?</v>
      </c>
      <c r="U85" s="13" t="e">
        <f ca="1">'Annual Raw'!V106</f>
        <v>#NAME?</v>
      </c>
      <c r="V85" s="13" t="e">
        <f ca="1">'Annual Raw'!W106</f>
        <v>#NAME?</v>
      </c>
      <c r="W85" s="13" t="e">
        <f ca="1">'Annual Raw'!X106</f>
        <v>#NAME?</v>
      </c>
      <c r="X85" s="13" t="e">
        <f ca="1">'Annual Raw'!Y106</f>
        <v>#NAME?</v>
      </c>
      <c r="Y85" s="13" t="e">
        <f ca="1">'Annual Raw'!Z106</f>
        <v>#NAME?</v>
      </c>
      <c r="Z85" s="13" t="e">
        <f ca="1">'Annual Raw'!AA106</f>
        <v>#NAME?</v>
      </c>
      <c r="AA85" s="13" t="e">
        <f ca="1">'Annual Raw'!AB106</f>
        <v>#NAME?</v>
      </c>
      <c r="AB85" s="37">
        <f>+CP85</f>
        <v>438</v>
      </c>
      <c r="AC85" s="37">
        <f>+CT85</f>
        <v>438</v>
      </c>
      <c r="AD85" s="37">
        <f>+CX85</f>
        <v>438</v>
      </c>
      <c r="AE85" s="37">
        <f>+DB85</f>
        <v>438</v>
      </c>
      <c r="AJ85" s="13" t="e">
        <f ca="1">'QTR Share Price'!HP21</f>
        <v>#NAME?</v>
      </c>
      <c r="AK85" s="13" t="e">
        <f ca="1">'QTR Share Price'!HQ21</f>
        <v>#NAME?</v>
      </c>
      <c r="AL85" s="13" t="e">
        <f ca="1">'QTR Share Price'!HR21</f>
        <v>#NAME?</v>
      </c>
      <c r="AM85" s="13" t="e">
        <f ca="1">'QTR Share Price'!HS21</f>
        <v>#NAME?</v>
      </c>
      <c r="AN85" s="13" t="e">
        <f ca="1">'QTR Share Price'!HT21</f>
        <v>#NAME?</v>
      </c>
      <c r="AO85" s="13" t="e">
        <f ca="1">'QTR Share Price'!HU21</f>
        <v>#NAME?</v>
      </c>
      <c r="AP85" s="13" t="e">
        <f ca="1">'QTR Share Price'!HV21</f>
        <v>#NAME?</v>
      </c>
      <c r="AQ85" s="13" t="e">
        <f ca="1">'QTR Share Price'!HW21</f>
        <v>#NAME?</v>
      </c>
      <c r="AR85" s="13" t="e">
        <f ca="1">'QTR Share Price'!HX21</f>
        <v>#NAME?</v>
      </c>
      <c r="AS85" s="13" t="e">
        <f ca="1">'QTR Share Price'!HY21</f>
        <v>#NAME?</v>
      </c>
      <c r="AT85" s="13" t="e">
        <f ca="1">'QTR Share Price'!HZ21</f>
        <v>#NAME?</v>
      </c>
      <c r="AU85" s="13" t="e">
        <f ca="1">'QTR Share Price'!IA21</f>
        <v>#NAME?</v>
      </c>
      <c r="AV85" s="13" t="e">
        <f ca="1">'QTR Share Price'!IB21</f>
        <v>#NAME?</v>
      </c>
      <c r="AW85" s="13" t="e">
        <f ca="1">'QTR Share Price'!IC21</f>
        <v>#NAME?</v>
      </c>
      <c r="AX85" s="13" t="e">
        <f ca="1">'QTR Share Price'!ID21</f>
        <v>#NAME?</v>
      </c>
      <c r="AY85" s="13" t="e">
        <f ca="1">'QTR Share Price'!IE21</f>
        <v>#NAME?</v>
      </c>
      <c r="AZ85" s="13" t="e">
        <f ca="1">'QTR Share Price'!IF21</f>
        <v>#NAME?</v>
      </c>
      <c r="BA85" s="13" t="e">
        <f ca="1">'QTR Share Price'!IG21</f>
        <v>#NAME?</v>
      </c>
      <c r="BB85" s="13" t="e">
        <f ca="1">'QTR Share Price'!IH21</f>
        <v>#NAME?</v>
      </c>
      <c r="BC85" s="13" t="e">
        <f ca="1">'QTR Share Price'!II21</f>
        <v>#NAME?</v>
      </c>
      <c r="BD85" s="13" t="e">
        <f ca="1">'QTR Share Price'!IJ21</f>
        <v>#NAME?</v>
      </c>
      <c r="BE85" s="13" t="e">
        <f ca="1">'QTR Share Price'!IK21</f>
        <v>#NAME?</v>
      </c>
      <c r="BF85" s="13" t="e">
        <f ca="1">'QTR Share Price'!IL21</f>
        <v>#NAME?</v>
      </c>
      <c r="BG85" s="13" t="e">
        <f ca="1">'QTR Share Price'!IM21</f>
        <v>#NAME?</v>
      </c>
      <c r="BH85" s="13" t="e">
        <f ca="1">'QTR Share Price'!IN21</f>
        <v>#NAME?</v>
      </c>
      <c r="BI85" s="13" t="e">
        <f ca="1">'QTR Share Price'!IO21</f>
        <v>#NAME?</v>
      </c>
      <c r="BJ85" s="13" t="e">
        <f ca="1">'QTR Share Price'!IP21</f>
        <v>#NAME?</v>
      </c>
      <c r="BK85" s="13" t="e">
        <f ca="1">'QTR Share Price'!IQ21</f>
        <v>#NAME?</v>
      </c>
      <c r="BL85" s="13" t="e">
        <f ca="1">'QTR Share Price'!IR21</f>
        <v>#NAME?</v>
      </c>
      <c r="BM85" s="13" t="e">
        <f ca="1">'QTR Share Price'!IS21</f>
        <v>#NAME?</v>
      </c>
      <c r="BN85" s="13" t="e">
        <f ca="1">'QTR Share Price'!IT21</f>
        <v>#NAME?</v>
      </c>
      <c r="BO85" s="13" t="e">
        <f ca="1">'QTR Share Price'!IU21</f>
        <v>#NAME?</v>
      </c>
      <c r="BP85" s="13" t="e">
        <f ca="1">'QTR Share Price'!IV21</f>
        <v>#NAME?</v>
      </c>
      <c r="BQ85" s="13" t="e">
        <f ca="1">'QTR Share Price'!IW21</f>
        <v>#NAME?</v>
      </c>
      <c r="BR85" s="13" t="e">
        <f ca="1">'QTR Share Price'!IX21</f>
        <v>#NAME?</v>
      </c>
      <c r="BS85" s="13" t="e">
        <f ca="1">'QTR Share Price'!IY21</f>
        <v>#NAME?</v>
      </c>
      <c r="BT85" s="13" t="e">
        <f ca="1">'QTR Share Price'!IZ21</f>
        <v>#NAME?</v>
      </c>
      <c r="BU85" s="13" t="e">
        <f ca="1">'QTR Share Price'!JA21</f>
        <v>#NAME?</v>
      </c>
      <c r="BV85" s="13" t="e">
        <f ca="1">'QTR Share Price'!JB21</f>
        <v>#NAME?</v>
      </c>
      <c r="BW85" s="13" t="e">
        <f ca="1">'QTR Share Price'!JC21</f>
        <v>#NAME?</v>
      </c>
      <c r="BX85" s="13" t="e">
        <f ca="1">'QTR Share Price'!JD21</f>
        <v>#NAME?</v>
      </c>
      <c r="BY85" s="13" t="e">
        <f ca="1">'QTR Share Price'!JE21</f>
        <v>#NAME?</v>
      </c>
      <c r="BZ85" s="13" t="e">
        <f ca="1">'QTR Share Price'!JF21</f>
        <v>#NAME?</v>
      </c>
      <c r="CA85" s="13" t="e">
        <f ca="1">'QTR Share Price'!JG21</f>
        <v>#NAME?</v>
      </c>
      <c r="CB85" s="13" t="e">
        <f ca="1">'QTR Share Price'!JH21</f>
        <v>#NAME?</v>
      </c>
      <c r="CC85" s="13" t="e">
        <f ca="1">'QTR Share Price'!JI21</f>
        <v>#NAME?</v>
      </c>
      <c r="CD85" s="13" t="e">
        <f ca="1">'QTR Share Price'!JJ21</f>
        <v>#NAME?</v>
      </c>
      <c r="CE85" s="13" t="e">
        <f ca="1">'QTR Share Price'!JK21</f>
        <v>#NAME?</v>
      </c>
      <c r="CF85" s="13" t="e">
        <f ca="1">'QTR Share Price'!JL21</f>
        <v>#NAME?</v>
      </c>
      <c r="CG85" s="13" t="e">
        <f ca="1">'QTR Share Price'!JM21</f>
        <v>#NAME?</v>
      </c>
      <c r="CH85" s="13" t="e">
        <f ca="1">'QTR Share Price'!JN21</f>
        <v>#NAME?</v>
      </c>
      <c r="CI85" s="13" t="e">
        <f ca="1">'QTR Share Price'!JO21</f>
        <v>#NAME?</v>
      </c>
      <c r="CJ85" s="13" t="e">
        <f ca="1">'QTR Share Price'!JP21</f>
        <v>#NAME?</v>
      </c>
      <c r="CK85" s="13" t="e">
        <f ca="1">'QTR Share Price'!JQ21</f>
        <v>#NAME?</v>
      </c>
      <c r="CL85" s="13" t="e">
        <f ca="1">'QTR Share Price'!JR21</f>
        <v>#NAME?</v>
      </c>
      <c r="CM85" s="37">
        <v>438</v>
      </c>
      <c r="CN85" s="37">
        <f t="shared" ref="CN85" si="893">+CM85</f>
        <v>438</v>
      </c>
      <c r="CO85" s="37">
        <f t="shared" ref="CO85" si="894">+CN85</f>
        <v>438</v>
      </c>
      <c r="CP85" s="37">
        <f t="shared" ref="CP85" si="895">+CO85</f>
        <v>438</v>
      </c>
      <c r="CQ85" s="37">
        <f t="shared" ref="CQ85" si="896">+CP85</f>
        <v>438</v>
      </c>
      <c r="CR85" s="37">
        <f t="shared" ref="CR85" si="897">+CQ85</f>
        <v>438</v>
      </c>
      <c r="CS85" s="37">
        <f t="shared" ref="CS85" si="898">+CR85</f>
        <v>438</v>
      </c>
      <c r="CT85" s="37">
        <f t="shared" ref="CT85" si="899">+CS85</f>
        <v>438</v>
      </c>
      <c r="CU85" s="37">
        <f t="shared" ref="CU85" si="900">+CT85</f>
        <v>438</v>
      </c>
      <c r="CV85" s="37">
        <f t="shared" ref="CV85" si="901">+CU85</f>
        <v>438</v>
      </c>
      <c r="CW85" s="37">
        <f t="shared" ref="CW85" si="902">+CV85</f>
        <v>438</v>
      </c>
      <c r="CX85" s="37">
        <f t="shared" ref="CX85" si="903">+CW85</f>
        <v>438</v>
      </c>
      <c r="CY85" s="37">
        <f t="shared" ref="CY85" si="904">+CX85</f>
        <v>438</v>
      </c>
      <c r="CZ85" s="37">
        <f t="shared" ref="CZ85" si="905">+CY85</f>
        <v>438</v>
      </c>
      <c r="DA85" s="37">
        <f t="shared" ref="DA85" si="906">+CZ85</f>
        <v>438</v>
      </c>
      <c r="DB85" s="37">
        <f t="shared" ref="DB85" si="907">+DA85</f>
        <v>438</v>
      </c>
      <c r="DE85" s="134"/>
      <c r="DF85" s="13">
        <v>400.9</v>
      </c>
    </row>
    <row r="86" spans="1:110" s="13" customFormat="1" x14ac:dyDescent="0.2">
      <c r="A86" s="13" t="s">
        <v>458</v>
      </c>
      <c r="B86" s="13" t="e">
        <f ca="1">'Annual Raw'!C107</f>
        <v>#NAME?</v>
      </c>
      <c r="C86" s="13" t="e">
        <f ca="1">'Annual Raw'!D107</f>
        <v>#NAME?</v>
      </c>
      <c r="D86" s="13" t="e">
        <f ca="1">'Annual Raw'!E107</f>
        <v>#NAME?</v>
      </c>
      <c r="E86" s="13" t="e">
        <f ca="1">'Annual Raw'!F107</f>
        <v>#NAME?</v>
      </c>
      <c r="F86" s="13" t="e">
        <f ca="1">'Annual Raw'!G107</f>
        <v>#NAME?</v>
      </c>
      <c r="G86" s="13" t="e">
        <f ca="1">'Annual Raw'!H107</f>
        <v>#NAME?</v>
      </c>
      <c r="H86" s="13" t="e">
        <f ca="1">'Annual Raw'!I107</f>
        <v>#NAME?</v>
      </c>
      <c r="I86" s="13" t="e">
        <f ca="1">'Annual Raw'!J107</f>
        <v>#NAME?</v>
      </c>
      <c r="J86" s="13" t="e">
        <f ca="1">'Annual Raw'!K107</f>
        <v>#NAME?</v>
      </c>
      <c r="K86" s="13" t="e">
        <f ca="1">'Annual Raw'!L107</f>
        <v>#NAME?</v>
      </c>
      <c r="L86" s="13" t="e">
        <f ca="1">'Annual Raw'!M107</f>
        <v>#NAME?</v>
      </c>
      <c r="M86" s="13" t="e">
        <f ca="1">'Annual Raw'!N107</f>
        <v>#NAME?</v>
      </c>
      <c r="N86" s="13" t="e">
        <f ca="1">'Annual Raw'!O107</f>
        <v>#NAME?</v>
      </c>
      <c r="O86" s="13" t="e">
        <f ca="1">'Annual Raw'!P107</f>
        <v>#NAME?</v>
      </c>
      <c r="P86" s="13" t="e">
        <f ca="1">'Annual Raw'!Q107</f>
        <v>#NAME?</v>
      </c>
      <c r="Q86" s="13" t="e">
        <f ca="1">'Annual Raw'!R107</f>
        <v>#NAME?</v>
      </c>
      <c r="R86" s="13" t="e">
        <f ca="1">'Annual Raw'!S107</f>
        <v>#NAME?</v>
      </c>
      <c r="S86" s="13" t="e">
        <f ca="1">'Annual Raw'!T107</f>
        <v>#NAME?</v>
      </c>
      <c r="T86" s="13" t="e">
        <f ca="1">'Annual Raw'!U107</f>
        <v>#NAME?</v>
      </c>
      <c r="U86" s="13" t="e">
        <f ca="1">'Annual Raw'!V107</f>
        <v>#NAME?</v>
      </c>
      <c r="V86" s="13" t="e">
        <f ca="1">'Annual Raw'!W107</f>
        <v>#NAME?</v>
      </c>
      <c r="W86" s="13" t="e">
        <f ca="1">'Annual Raw'!X107</f>
        <v>#NAME?</v>
      </c>
      <c r="X86" s="13" t="e">
        <f ca="1">'Annual Raw'!Y107</f>
        <v>#NAME?</v>
      </c>
      <c r="Y86" s="13" t="e">
        <f ca="1">'Annual Raw'!Z107</f>
        <v>#NAME?</v>
      </c>
      <c r="Z86" s="13" t="e">
        <f ca="1">'Annual Raw'!AA107</f>
        <v>#NAME?</v>
      </c>
      <c r="AA86" s="13" t="e">
        <f ca="1">'Annual Raw'!AB107</f>
        <v>#NAME?</v>
      </c>
      <c r="AB86" s="37" t="e">
        <f ca="1">+MAX(CM86:CP86)</f>
        <v>#NAME?</v>
      </c>
      <c r="AC86" s="37" t="e">
        <f ca="1">+MAX(CQ86:CT86)</f>
        <v>#NAME?</v>
      </c>
      <c r="AD86" s="37" t="e">
        <f ca="1">+MAX(CU86:CX86)</f>
        <v>#NAME?</v>
      </c>
      <c r="AE86" s="37" t="e">
        <f ca="1">+MAX(CY86:DB86)</f>
        <v>#NAME?</v>
      </c>
      <c r="AJ86" s="13" t="e">
        <f ca="1">'QTR Share Price'!HP19</f>
        <v>#NAME?</v>
      </c>
      <c r="AK86" s="13" t="e">
        <f ca="1">'QTR Share Price'!HQ19</f>
        <v>#NAME?</v>
      </c>
      <c r="AL86" s="13" t="e">
        <f ca="1">'QTR Share Price'!HR19</f>
        <v>#NAME?</v>
      </c>
      <c r="AM86" s="13" t="e">
        <f ca="1">'QTR Share Price'!HS19</f>
        <v>#NAME?</v>
      </c>
      <c r="AN86" s="13" t="e">
        <f ca="1">'QTR Share Price'!HT19</f>
        <v>#NAME?</v>
      </c>
      <c r="AO86" s="13" t="e">
        <f ca="1">'QTR Share Price'!HU19</f>
        <v>#NAME?</v>
      </c>
      <c r="AP86" s="13" t="e">
        <f ca="1">'QTR Share Price'!HV19</f>
        <v>#NAME?</v>
      </c>
      <c r="AQ86" s="13" t="e">
        <f ca="1">'QTR Share Price'!HW19</f>
        <v>#NAME?</v>
      </c>
      <c r="AR86" s="13" t="e">
        <f ca="1">'QTR Share Price'!HX19</f>
        <v>#NAME?</v>
      </c>
      <c r="AS86" s="13" t="e">
        <f ca="1">'QTR Share Price'!HY19</f>
        <v>#NAME?</v>
      </c>
      <c r="AT86" s="13" t="e">
        <f ca="1">'QTR Share Price'!HZ19</f>
        <v>#NAME?</v>
      </c>
      <c r="AU86" s="13" t="e">
        <f ca="1">'QTR Share Price'!IA19</f>
        <v>#NAME?</v>
      </c>
      <c r="AV86" s="13" t="e">
        <f ca="1">'QTR Share Price'!IB19</f>
        <v>#NAME?</v>
      </c>
      <c r="AW86" s="13" t="e">
        <f ca="1">'QTR Share Price'!IC19</f>
        <v>#NAME?</v>
      </c>
      <c r="AX86" s="13" t="e">
        <f ca="1">'QTR Share Price'!ID19</f>
        <v>#NAME?</v>
      </c>
      <c r="AY86" s="13" t="e">
        <f ca="1">'QTR Share Price'!IE19</f>
        <v>#NAME?</v>
      </c>
      <c r="AZ86" s="13" t="e">
        <f ca="1">'QTR Share Price'!IF19</f>
        <v>#NAME?</v>
      </c>
      <c r="BA86" s="13" t="e">
        <f ca="1">'QTR Share Price'!IG19</f>
        <v>#NAME?</v>
      </c>
      <c r="BB86" s="13" t="e">
        <f ca="1">'QTR Share Price'!IH19</f>
        <v>#NAME?</v>
      </c>
      <c r="BC86" s="13" t="e">
        <f ca="1">'QTR Share Price'!II19</f>
        <v>#NAME?</v>
      </c>
      <c r="BD86" s="13" t="e">
        <f ca="1">'QTR Share Price'!IJ19</f>
        <v>#NAME?</v>
      </c>
      <c r="BE86" s="13" t="e">
        <f ca="1">'QTR Share Price'!IK19</f>
        <v>#NAME?</v>
      </c>
      <c r="BF86" s="13" t="e">
        <f ca="1">'QTR Share Price'!IL19</f>
        <v>#NAME?</v>
      </c>
      <c r="BG86" s="13" t="e">
        <f ca="1">'QTR Share Price'!IM19</f>
        <v>#NAME?</v>
      </c>
      <c r="BH86" s="13" t="e">
        <f ca="1">'QTR Share Price'!IN19</f>
        <v>#NAME?</v>
      </c>
      <c r="BI86" s="13" t="e">
        <f ca="1">'QTR Share Price'!IO19</f>
        <v>#NAME?</v>
      </c>
      <c r="BJ86" s="13" t="e">
        <f ca="1">'QTR Share Price'!IP19</f>
        <v>#NAME?</v>
      </c>
      <c r="BK86" s="13" t="e">
        <f ca="1">'QTR Share Price'!IQ19</f>
        <v>#NAME?</v>
      </c>
      <c r="BL86" s="13" t="e">
        <f ca="1">'QTR Share Price'!IR19</f>
        <v>#NAME?</v>
      </c>
      <c r="BM86" s="13" t="e">
        <f ca="1">'QTR Share Price'!IS19</f>
        <v>#NAME?</v>
      </c>
      <c r="BN86" s="13" t="e">
        <f ca="1">'QTR Share Price'!IT19</f>
        <v>#NAME?</v>
      </c>
      <c r="BO86" s="13" t="e">
        <f ca="1">'QTR Share Price'!IU19</f>
        <v>#NAME?</v>
      </c>
      <c r="BP86" s="13" t="e">
        <f ca="1">'QTR Share Price'!IV19</f>
        <v>#NAME?</v>
      </c>
      <c r="BQ86" s="13" t="e">
        <f ca="1">'QTR Share Price'!IW19</f>
        <v>#NAME?</v>
      </c>
      <c r="BR86" s="13" t="e">
        <f ca="1">'QTR Share Price'!IX19</f>
        <v>#NAME?</v>
      </c>
      <c r="BS86" s="13" t="e">
        <f ca="1">'QTR Share Price'!IY19</f>
        <v>#NAME?</v>
      </c>
      <c r="BT86" s="13" t="e">
        <f ca="1">'QTR Share Price'!IZ19</f>
        <v>#NAME?</v>
      </c>
      <c r="BU86" s="13" t="e">
        <f ca="1">'QTR Share Price'!JA19</f>
        <v>#NAME?</v>
      </c>
      <c r="BV86" s="13" t="e">
        <f ca="1">'QTR Share Price'!JB19</f>
        <v>#NAME?</v>
      </c>
      <c r="BW86" s="13" t="e">
        <f ca="1">'QTR Share Price'!JC19</f>
        <v>#NAME?</v>
      </c>
      <c r="BX86" s="13" t="e">
        <f ca="1">'QTR Share Price'!JD19</f>
        <v>#NAME?</v>
      </c>
      <c r="BY86" s="13" t="e">
        <f ca="1">'QTR Share Price'!JE19</f>
        <v>#NAME?</v>
      </c>
      <c r="BZ86" s="13" t="e">
        <f ca="1">'QTR Share Price'!JF19</f>
        <v>#NAME?</v>
      </c>
      <c r="CA86" s="13" t="e">
        <f ca="1">'QTR Share Price'!JG19</f>
        <v>#NAME?</v>
      </c>
      <c r="CB86" s="13" t="e">
        <f ca="1">'QTR Share Price'!JH19</f>
        <v>#NAME?</v>
      </c>
      <c r="CC86" s="13" t="e">
        <f ca="1">'QTR Share Price'!JI19</f>
        <v>#NAME?</v>
      </c>
      <c r="CD86" s="13" t="e">
        <f ca="1">'QTR Share Price'!JJ19</f>
        <v>#NAME?</v>
      </c>
      <c r="CE86" s="13" t="e">
        <f ca="1">'QTR Share Price'!JK19</f>
        <v>#NAME?</v>
      </c>
      <c r="CF86" s="13" t="e">
        <f ca="1">'QTR Share Price'!JL19</f>
        <v>#NAME?</v>
      </c>
      <c r="CG86" s="13" t="e">
        <f ca="1">'QTR Share Price'!JM19</f>
        <v>#NAME?</v>
      </c>
      <c r="CH86" s="13" t="e">
        <f ca="1">'QTR Share Price'!JN19</f>
        <v>#NAME?</v>
      </c>
      <c r="CI86" s="13" t="e">
        <f ca="1">'QTR Share Price'!JO19</f>
        <v>#NAME?</v>
      </c>
      <c r="CJ86" s="13" t="e">
        <f ca="1">'QTR Share Price'!JP19</f>
        <v>#NAME?</v>
      </c>
      <c r="CK86" s="13" t="e">
        <f ca="1">'QTR Share Price'!JQ19</f>
        <v>#NAME?</v>
      </c>
      <c r="CL86" s="13" t="e">
        <f ca="1">'QTR Share Price'!JR19</f>
        <v>#NAME?</v>
      </c>
      <c r="CM86" s="37" t="e">
        <f t="shared" ref="CM86:DB86" ca="1" si="908">+CM115/CM73</f>
        <v>#NAME?</v>
      </c>
      <c r="CN86" s="37" t="e">
        <f t="shared" ca="1" si="908"/>
        <v>#NAME?</v>
      </c>
      <c r="CO86" s="37" t="e">
        <f t="shared" ca="1" si="908"/>
        <v>#NAME?</v>
      </c>
      <c r="CP86" s="37" t="e">
        <f t="shared" ca="1" si="908"/>
        <v>#NAME?</v>
      </c>
      <c r="CQ86" s="37" t="e">
        <f t="shared" ca="1" si="908"/>
        <v>#NAME?</v>
      </c>
      <c r="CR86" s="37" t="e">
        <f t="shared" ca="1" si="908"/>
        <v>#NAME?</v>
      </c>
      <c r="CS86" s="37" t="e">
        <f t="shared" ca="1" si="908"/>
        <v>#NAME?</v>
      </c>
      <c r="CT86" s="37" t="e">
        <f t="shared" ca="1" si="908"/>
        <v>#NAME?</v>
      </c>
      <c r="CU86" s="37" t="e">
        <f t="shared" ca="1" si="908"/>
        <v>#NAME?</v>
      </c>
      <c r="CV86" s="37" t="e">
        <f t="shared" ca="1" si="908"/>
        <v>#NAME?</v>
      </c>
      <c r="CW86" s="37" t="e">
        <f t="shared" ca="1" si="908"/>
        <v>#NAME?</v>
      </c>
      <c r="CX86" s="37" t="e">
        <f t="shared" ca="1" si="908"/>
        <v>#NAME?</v>
      </c>
      <c r="CY86" s="37" t="e">
        <f t="shared" ca="1" si="908"/>
        <v>#NAME?</v>
      </c>
      <c r="CZ86" s="37" t="e">
        <f t="shared" ca="1" si="908"/>
        <v>#NAME?</v>
      </c>
      <c r="DA86" s="37" t="e">
        <f t="shared" ca="1" si="908"/>
        <v>#NAME?</v>
      </c>
      <c r="DB86" s="37" t="e">
        <f t="shared" ca="1" si="908"/>
        <v>#NAME?</v>
      </c>
      <c r="DE86" s="134"/>
      <c r="DF86" s="13">
        <v>625</v>
      </c>
    </row>
    <row r="87" spans="1:110" s="13" customFormat="1" x14ac:dyDescent="0.2">
      <c r="A87" s="13" t="s">
        <v>459</v>
      </c>
      <c r="B87" s="13" t="e">
        <f ca="1">'Annual Raw'!C108</f>
        <v>#NAME?</v>
      </c>
      <c r="C87" s="13" t="e">
        <f ca="1">'Annual Raw'!D108</f>
        <v>#NAME?</v>
      </c>
      <c r="D87" s="13" t="e">
        <f ca="1">'Annual Raw'!E108</f>
        <v>#NAME?</v>
      </c>
      <c r="E87" s="13" t="e">
        <f ca="1">'Annual Raw'!F108</f>
        <v>#NAME?</v>
      </c>
      <c r="F87" s="13" t="e">
        <f ca="1">'Annual Raw'!G108</f>
        <v>#NAME?</v>
      </c>
      <c r="G87" s="13" t="e">
        <f ca="1">'Annual Raw'!H108</f>
        <v>#NAME?</v>
      </c>
      <c r="H87" s="13" t="e">
        <f ca="1">'Annual Raw'!I108</f>
        <v>#NAME?</v>
      </c>
      <c r="I87" s="13" t="e">
        <f ca="1">'Annual Raw'!J108</f>
        <v>#NAME?</v>
      </c>
      <c r="J87" s="13" t="e">
        <f ca="1">'Annual Raw'!K108</f>
        <v>#NAME?</v>
      </c>
      <c r="K87" s="13" t="e">
        <f ca="1">'Annual Raw'!L108</f>
        <v>#NAME?</v>
      </c>
      <c r="L87" s="13" t="e">
        <f ca="1">'Annual Raw'!M108</f>
        <v>#NAME?</v>
      </c>
      <c r="M87" s="13" t="e">
        <f ca="1">'Annual Raw'!N108</f>
        <v>#NAME?</v>
      </c>
      <c r="N87" s="13" t="e">
        <f ca="1">'Annual Raw'!O108</f>
        <v>#NAME?</v>
      </c>
      <c r="O87" s="13" t="e">
        <f ca="1">'Annual Raw'!P108</f>
        <v>#NAME?</v>
      </c>
      <c r="P87" s="13" t="e">
        <f ca="1">'Annual Raw'!Q108</f>
        <v>#NAME?</v>
      </c>
      <c r="Q87" s="13" t="e">
        <f ca="1">'Annual Raw'!R108</f>
        <v>#NAME?</v>
      </c>
      <c r="R87" s="13" t="e">
        <f ca="1">'Annual Raw'!S108</f>
        <v>#NAME?</v>
      </c>
      <c r="S87" s="13" t="e">
        <f ca="1">'Annual Raw'!T108</f>
        <v>#NAME?</v>
      </c>
      <c r="T87" s="13" t="e">
        <f ca="1">'Annual Raw'!U108</f>
        <v>#NAME?</v>
      </c>
      <c r="U87" s="13" t="e">
        <f ca="1">'Annual Raw'!V108</f>
        <v>#NAME?</v>
      </c>
      <c r="V87" s="13" t="e">
        <f ca="1">'Annual Raw'!W108</f>
        <v>#NAME?</v>
      </c>
      <c r="W87" s="13" t="e">
        <f ca="1">'Annual Raw'!X108</f>
        <v>#NAME?</v>
      </c>
      <c r="X87" s="13" t="e">
        <f ca="1">'Annual Raw'!Y108</f>
        <v>#NAME?</v>
      </c>
      <c r="Y87" s="13" t="e">
        <f ca="1">'Annual Raw'!Z108</f>
        <v>#NAME?</v>
      </c>
      <c r="Z87" s="13" t="e">
        <f ca="1">'Annual Raw'!AA108</f>
        <v>#NAME?</v>
      </c>
      <c r="AA87" s="13" t="e">
        <f ca="1">'Annual Raw'!AB108</f>
        <v>#NAME?</v>
      </c>
      <c r="AB87" s="37" t="e">
        <f ca="1">+MIN(CM87:CP87)</f>
        <v>#NAME?</v>
      </c>
      <c r="AC87" s="37" t="e">
        <f ca="1">+MIN(CQ87:CT87)</f>
        <v>#NAME?</v>
      </c>
      <c r="AD87" s="37" t="e">
        <f ca="1">+MIN(CU87:CX87)</f>
        <v>#NAME?</v>
      </c>
      <c r="AE87" s="37" t="e">
        <f ca="1">+MIN(CY87:DB87)</f>
        <v>#NAME?</v>
      </c>
      <c r="AJ87" s="13" t="e">
        <f ca="1">+'QTR Share Price'!HP20</f>
        <v>#NAME?</v>
      </c>
      <c r="AK87" s="13" t="e">
        <f ca="1">+'QTR Share Price'!HQ20</f>
        <v>#NAME?</v>
      </c>
      <c r="AL87" s="13" t="e">
        <f ca="1">+'QTR Share Price'!HR20</f>
        <v>#NAME?</v>
      </c>
      <c r="AM87" s="13" t="e">
        <f ca="1">+'QTR Share Price'!HS20</f>
        <v>#NAME?</v>
      </c>
      <c r="AN87" s="13" t="e">
        <f ca="1">+'QTR Share Price'!HT20</f>
        <v>#NAME?</v>
      </c>
      <c r="AO87" s="13" t="e">
        <f ca="1">+'QTR Share Price'!HU20</f>
        <v>#NAME?</v>
      </c>
      <c r="AP87" s="13" t="e">
        <f ca="1">+'QTR Share Price'!HV20</f>
        <v>#NAME?</v>
      </c>
      <c r="AQ87" s="13" t="e">
        <f ca="1">+'QTR Share Price'!HW20</f>
        <v>#NAME?</v>
      </c>
      <c r="AR87" s="13" t="e">
        <f ca="1">+'QTR Share Price'!HX20</f>
        <v>#NAME?</v>
      </c>
      <c r="AS87" s="13" t="e">
        <f ca="1">+'QTR Share Price'!HY20</f>
        <v>#NAME?</v>
      </c>
      <c r="AT87" s="13" t="e">
        <f ca="1">+'QTR Share Price'!HZ20</f>
        <v>#NAME?</v>
      </c>
      <c r="AU87" s="13" t="e">
        <f ca="1">+'QTR Share Price'!IA20</f>
        <v>#NAME?</v>
      </c>
      <c r="AV87" s="13" t="e">
        <f ca="1">+'QTR Share Price'!IB20</f>
        <v>#NAME?</v>
      </c>
      <c r="AW87" s="13" t="e">
        <f ca="1">+'QTR Share Price'!IC20</f>
        <v>#NAME?</v>
      </c>
      <c r="AX87" s="13" t="e">
        <f ca="1">+'QTR Share Price'!ID20</f>
        <v>#NAME?</v>
      </c>
      <c r="AY87" s="13" t="e">
        <f ca="1">+'QTR Share Price'!IE20</f>
        <v>#NAME?</v>
      </c>
      <c r="AZ87" s="13" t="e">
        <f ca="1">+'QTR Share Price'!IF20</f>
        <v>#NAME?</v>
      </c>
      <c r="BA87" s="13" t="e">
        <f ca="1">+'QTR Share Price'!IG20</f>
        <v>#NAME?</v>
      </c>
      <c r="BB87" s="13" t="e">
        <f ca="1">+'QTR Share Price'!IH20</f>
        <v>#NAME?</v>
      </c>
      <c r="BC87" s="13" t="e">
        <f ca="1">+'QTR Share Price'!II20</f>
        <v>#NAME?</v>
      </c>
      <c r="BD87" s="13" t="e">
        <f ca="1">+'QTR Share Price'!IJ20</f>
        <v>#NAME?</v>
      </c>
      <c r="BE87" s="13" t="e">
        <f ca="1">+'QTR Share Price'!IK20</f>
        <v>#NAME?</v>
      </c>
      <c r="BF87" s="13" t="e">
        <f ca="1">+'QTR Share Price'!IL20</f>
        <v>#NAME?</v>
      </c>
      <c r="BG87" s="13" t="e">
        <f ca="1">+'QTR Share Price'!IM20</f>
        <v>#NAME?</v>
      </c>
      <c r="BH87" s="13" t="e">
        <f ca="1">+'QTR Share Price'!IN20</f>
        <v>#NAME?</v>
      </c>
      <c r="BI87" s="13" t="e">
        <f ca="1">+'QTR Share Price'!IO20</f>
        <v>#NAME?</v>
      </c>
      <c r="BJ87" s="13" t="e">
        <f ca="1">+'QTR Share Price'!IP20</f>
        <v>#NAME?</v>
      </c>
      <c r="BK87" s="13" t="e">
        <f ca="1">+'QTR Share Price'!IQ20</f>
        <v>#NAME?</v>
      </c>
      <c r="BL87" s="13" t="e">
        <f ca="1">+'QTR Share Price'!IR20</f>
        <v>#NAME?</v>
      </c>
      <c r="BM87" s="13" t="e">
        <f ca="1">+'QTR Share Price'!IS20</f>
        <v>#NAME?</v>
      </c>
      <c r="BN87" s="13" t="e">
        <f ca="1">+'QTR Share Price'!IT20</f>
        <v>#NAME?</v>
      </c>
      <c r="BO87" s="13" t="e">
        <f ca="1">+'QTR Share Price'!IU20</f>
        <v>#NAME?</v>
      </c>
      <c r="BP87" s="13" t="e">
        <f ca="1">+'QTR Share Price'!IV20</f>
        <v>#NAME?</v>
      </c>
      <c r="BQ87" s="13" t="e">
        <f ca="1">+'QTR Share Price'!IW20</f>
        <v>#NAME?</v>
      </c>
      <c r="BR87" s="13" t="e">
        <f ca="1">+'QTR Share Price'!IX20</f>
        <v>#NAME?</v>
      </c>
      <c r="BS87" s="13" t="e">
        <f ca="1">+'QTR Share Price'!IY20</f>
        <v>#NAME?</v>
      </c>
      <c r="BT87" s="13" t="e">
        <f ca="1">+'QTR Share Price'!IZ20</f>
        <v>#NAME?</v>
      </c>
      <c r="BU87" s="13" t="e">
        <f ca="1">+'QTR Share Price'!JA20</f>
        <v>#NAME?</v>
      </c>
      <c r="BV87" s="13" t="e">
        <f ca="1">+'QTR Share Price'!JB20</f>
        <v>#NAME?</v>
      </c>
      <c r="BW87" s="13" t="e">
        <f ca="1">+'QTR Share Price'!JC20</f>
        <v>#NAME?</v>
      </c>
      <c r="BX87" s="13" t="e">
        <f ca="1">+'QTR Share Price'!JD20</f>
        <v>#NAME?</v>
      </c>
      <c r="BY87" s="13" t="e">
        <f ca="1">+'QTR Share Price'!JE20</f>
        <v>#NAME?</v>
      </c>
      <c r="BZ87" s="13" t="e">
        <f ca="1">+'QTR Share Price'!JF20</f>
        <v>#NAME?</v>
      </c>
      <c r="CA87" s="13" t="e">
        <f ca="1">+'QTR Share Price'!JG20</f>
        <v>#NAME?</v>
      </c>
      <c r="CB87" s="13" t="e">
        <f ca="1">+'QTR Share Price'!JH20</f>
        <v>#NAME?</v>
      </c>
      <c r="CC87" s="13" t="e">
        <f ca="1">+'QTR Share Price'!JI20</f>
        <v>#NAME?</v>
      </c>
      <c r="CD87" s="13" t="e">
        <f ca="1">+'QTR Share Price'!JJ20</f>
        <v>#NAME?</v>
      </c>
      <c r="CE87" s="13" t="e">
        <f ca="1">+'QTR Share Price'!JK20</f>
        <v>#NAME?</v>
      </c>
      <c r="CF87" s="13" t="e">
        <f ca="1">+'QTR Share Price'!JL20</f>
        <v>#NAME?</v>
      </c>
      <c r="CG87" s="13" t="e">
        <f ca="1">+'QTR Share Price'!JM20</f>
        <v>#NAME?</v>
      </c>
      <c r="CH87" s="13" t="e">
        <f ca="1">+'QTR Share Price'!JN20</f>
        <v>#NAME?</v>
      </c>
      <c r="CI87" s="13" t="e">
        <f ca="1">+'QTR Share Price'!JO20</f>
        <v>#NAME?</v>
      </c>
      <c r="CJ87" s="13" t="e">
        <f ca="1">+'QTR Share Price'!JP20</f>
        <v>#NAME?</v>
      </c>
      <c r="CK87" s="13" t="e">
        <f ca="1">+'QTR Share Price'!JQ20</f>
        <v>#NAME?</v>
      </c>
      <c r="CL87" s="13" t="e">
        <f ca="1">+'QTR Share Price'!JR20</f>
        <v>#NAME?</v>
      </c>
      <c r="CM87" s="37" t="e">
        <f t="shared" ref="CM87:DB87" ca="1" si="909">+CM116/CM73</f>
        <v>#NAME?</v>
      </c>
      <c r="CN87" s="37" t="e">
        <f t="shared" ca="1" si="909"/>
        <v>#NAME?</v>
      </c>
      <c r="CO87" s="37" t="e">
        <f t="shared" ca="1" si="909"/>
        <v>#NAME?</v>
      </c>
      <c r="CP87" s="37" t="e">
        <f t="shared" ca="1" si="909"/>
        <v>#NAME?</v>
      </c>
      <c r="CQ87" s="37" t="e">
        <f t="shared" ca="1" si="909"/>
        <v>#NAME?</v>
      </c>
      <c r="CR87" s="37" t="e">
        <f t="shared" ca="1" si="909"/>
        <v>#NAME?</v>
      </c>
      <c r="CS87" s="37" t="e">
        <f t="shared" ca="1" si="909"/>
        <v>#NAME?</v>
      </c>
      <c r="CT87" s="37" t="e">
        <f t="shared" ca="1" si="909"/>
        <v>#NAME?</v>
      </c>
      <c r="CU87" s="37" t="e">
        <f t="shared" ca="1" si="909"/>
        <v>#NAME?</v>
      </c>
      <c r="CV87" s="37" t="e">
        <f t="shared" ca="1" si="909"/>
        <v>#NAME?</v>
      </c>
      <c r="CW87" s="37" t="e">
        <f t="shared" ca="1" si="909"/>
        <v>#NAME?</v>
      </c>
      <c r="CX87" s="37" t="e">
        <f t="shared" ca="1" si="909"/>
        <v>#NAME?</v>
      </c>
      <c r="CY87" s="37" t="e">
        <f t="shared" ca="1" si="909"/>
        <v>#NAME?</v>
      </c>
      <c r="CZ87" s="37" t="e">
        <f t="shared" ca="1" si="909"/>
        <v>#NAME?</v>
      </c>
      <c r="DA87" s="37" t="e">
        <f t="shared" ca="1" si="909"/>
        <v>#NAME?</v>
      </c>
      <c r="DB87" s="37" t="e">
        <f t="shared" ca="1" si="909"/>
        <v>#NAME?</v>
      </c>
      <c r="DE87" s="134"/>
      <c r="DF87" s="13">
        <v>394</v>
      </c>
    </row>
    <row r="88" spans="1:110" s="14" customFormat="1" x14ac:dyDescent="0.2">
      <c r="AB88" s="16"/>
      <c r="AC88" s="16"/>
      <c r="AD88" s="16"/>
      <c r="AE88" s="16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</row>
    <row r="89" spans="1:110" s="51" customFormat="1" x14ac:dyDescent="0.2">
      <c r="A89" s="51" t="s">
        <v>346</v>
      </c>
      <c r="AB89" s="48" t="e">
        <f t="shared" ref="AB89:AD89" ca="1" si="910">+AB86/AB85-1</f>
        <v>#NAME?</v>
      </c>
      <c r="AC89" s="48" t="e">
        <f t="shared" ca="1" si="910"/>
        <v>#NAME?</v>
      </c>
      <c r="AD89" s="48" t="e">
        <f t="shared" ca="1" si="910"/>
        <v>#NAME?</v>
      </c>
      <c r="AE89" s="48" t="e">
        <f t="shared" ref="AE89" ca="1" si="911">+AE86/AE85-1</f>
        <v>#NAME?</v>
      </c>
      <c r="CM89" s="48" t="e">
        <f t="shared" ref="CM89:DB89" ca="1" si="912">+CM86/CM85-1</f>
        <v>#NAME?</v>
      </c>
      <c r="CN89" s="48" t="e">
        <f t="shared" ca="1" si="912"/>
        <v>#NAME?</v>
      </c>
      <c r="CO89" s="48" t="e">
        <f t="shared" ca="1" si="912"/>
        <v>#NAME?</v>
      </c>
      <c r="CP89" s="48" t="e">
        <f t="shared" ca="1" si="912"/>
        <v>#NAME?</v>
      </c>
      <c r="CQ89" s="48" t="e">
        <f t="shared" ca="1" si="912"/>
        <v>#NAME?</v>
      </c>
      <c r="CR89" s="48" t="e">
        <f t="shared" ca="1" si="912"/>
        <v>#NAME?</v>
      </c>
      <c r="CS89" s="48" t="e">
        <f t="shared" ca="1" si="912"/>
        <v>#NAME?</v>
      </c>
      <c r="CT89" s="48" t="e">
        <f t="shared" ca="1" si="912"/>
        <v>#NAME?</v>
      </c>
      <c r="CU89" s="48" t="e">
        <f t="shared" ca="1" si="912"/>
        <v>#NAME?</v>
      </c>
      <c r="CV89" s="48" t="e">
        <f t="shared" ca="1" si="912"/>
        <v>#NAME?</v>
      </c>
      <c r="CW89" s="48" t="e">
        <f t="shared" ca="1" si="912"/>
        <v>#NAME?</v>
      </c>
      <c r="CX89" s="48" t="e">
        <f t="shared" ca="1" si="912"/>
        <v>#NAME?</v>
      </c>
      <c r="CY89" s="48" t="e">
        <f t="shared" ca="1" si="912"/>
        <v>#NAME?</v>
      </c>
      <c r="CZ89" s="48" t="e">
        <f t="shared" ca="1" si="912"/>
        <v>#NAME?</v>
      </c>
      <c r="DA89" s="48" t="e">
        <f t="shared" ca="1" si="912"/>
        <v>#NAME?</v>
      </c>
      <c r="DB89" s="48" t="e">
        <f t="shared" ca="1" si="912"/>
        <v>#NAME?</v>
      </c>
      <c r="DE89" s="129"/>
      <c r="DF89" s="51">
        <v>0.55899226739835384</v>
      </c>
    </row>
    <row r="90" spans="1:110" s="51" customFormat="1" x14ac:dyDescent="0.2">
      <c r="A90" s="51" t="s">
        <v>347</v>
      </c>
      <c r="AB90" s="48" t="e">
        <f t="shared" ref="AB90:AD90" ca="1" si="913">+AB87/AB85-1</f>
        <v>#NAME?</v>
      </c>
      <c r="AC90" s="48" t="e">
        <f t="shared" ca="1" si="913"/>
        <v>#NAME?</v>
      </c>
      <c r="AD90" s="48" t="e">
        <f t="shared" ca="1" si="913"/>
        <v>#NAME?</v>
      </c>
      <c r="AE90" s="48" t="e">
        <f t="shared" ref="AE90" ca="1" si="914">+AE87/AE85-1</f>
        <v>#NAME?</v>
      </c>
      <c r="CM90" s="48" t="e">
        <f t="shared" ref="CM90:DB90" ca="1" si="915">+CM87/CM85-1</f>
        <v>#NAME?</v>
      </c>
      <c r="CN90" s="48" t="e">
        <f t="shared" ca="1" si="915"/>
        <v>#NAME?</v>
      </c>
      <c r="CO90" s="48" t="e">
        <f t="shared" ca="1" si="915"/>
        <v>#NAME?</v>
      </c>
      <c r="CP90" s="48" t="e">
        <f t="shared" ca="1" si="915"/>
        <v>#NAME?</v>
      </c>
      <c r="CQ90" s="48" t="e">
        <f t="shared" ca="1" si="915"/>
        <v>#NAME?</v>
      </c>
      <c r="CR90" s="48" t="e">
        <f t="shared" ca="1" si="915"/>
        <v>#NAME?</v>
      </c>
      <c r="CS90" s="48" t="e">
        <f t="shared" ca="1" si="915"/>
        <v>#NAME?</v>
      </c>
      <c r="CT90" s="48" t="e">
        <f t="shared" ca="1" si="915"/>
        <v>#NAME?</v>
      </c>
      <c r="CU90" s="48" t="e">
        <f t="shared" ca="1" si="915"/>
        <v>#NAME?</v>
      </c>
      <c r="CV90" s="48" t="e">
        <f t="shared" ca="1" si="915"/>
        <v>#NAME?</v>
      </c>
      <c r="CW90" s="48" t="e">
        <f t="shared" ca="1" si="915"/>
        <v>#NAME?</v>
      </c>
      <c r="CX90" s="48" t="e">
        <f t="shared" ca="1" si="915"/>
        <v>#NAME?</v>
      </c>
      <c r="CY90" s="48" t="e">
        <f t="shared" ca="1" si="915"/>
        <v>#NAME?</v>
      </c>
      <c r="CZ90" s="48" t="e">
        <f t="shared" ca="1" si="915"/>
        <v>#NAME?</v>
      </c>
      <c r="DA90" s="48" t="e">
        <f t="shared" ca="1" si="915"/>
        <v>#NAME?</v>
      </c>
      <c r="DB90" s="48" t="e">
        <f t="shared" ca="1" si="915"/>
        <v>#NAME?</v>
      </c>
      <c r="DE90" s="129"/>
      <c r="DF90" s="51">
        <v>-1.7211274632077722E-2</v>
      </c>
    </row>
    <row r="91" spans="1:110" s="14" customFormat="1" x14ac:dyDescent="0.2">
      <c r="AB91" s="16"/>
      <c r="AC91" s="16"/>
      <c r="AD91" s="16"/>
      <c r="AE91" s="16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40</v>
      </c>
      <c r="AB92" s="37"/>
      <c r="AC92" s="37"/>
      <c r="AD92" s="37"/>
      <c r="AE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hidden="1" outlineLevel="1" x14ac:dyDescent="0.2">
      <c r="A93" s="13" t="s">
        <v>460</v>
      </c>
      <c r="B93" s="13" t="e">
        <f t="shared" ref="B93:D93" ca="1" si="916">+B85/B77</f>
        <v>#NAME?</v>
      </c>
      <c r="C93" s="13" t="e">
        <f t="shared" ca="1" si="916"/>
        <v>#NAME?</v>
      </c>
      <c r="D93" s="13" t="e">
        <f t="shared" ca="1" si="916"/>
        <v>#NAME?</v>
      </c>
      <c r="E93" s="13" t="e">
        <f t="shared" ref="E93:AE93" ca="1" si="917">+E85/E77</f>
        <v>#NAME?</v>
      </c>
      <c r="F93" s="13" t="e">
        <f t="shared" ca="1" si="917"/>
        <v>#NAME?</v>
      </c>
      <c r="G93" s="13" t="e">
        <f t="shared" ca="1" si="917"/>
        <v>#NAME?</v>
      </c>
      <c r="H93" s="13" t="e">
        <f t="shared" ca="1" si="917"/>
        <v>#NAME?</v>
      </c>
      <c r="I93" s="13" t="e">
        <f t="shared" ca="1" si="917"/>
        <v>#NAME?</v>
      </c>
      <c r="J93" s="13" t="e">
        <f t="shared" ca="1" si="917"/>
        <v>#NAME?</v>
      </c>
      <c r="K93" s="13" t="e">
        <f t="shared" ca="1" si="917"/>
        <v>#NAME?</v>
      </c>
      <c r="L93" s="13" t="e">
        <f t="shared" ca="1" si="917"/>
        <v>#NAME?</v>
      </c>
      <c r="M93" s="13" t="e">
        <f t="shared" ca="1" si="917"/>
        <v>#NAME?</v>
      </c>
      <c r="N93" s="13" t="e">
        <f t="shared" ca="1" si="917"/>
        <v>#NAME?</v>
      </c>
      <c r="O93" s="13" t="e">
        <f t="shared" ca="1" si="917"/>
        <v>#NAME?</v>
      </c>
      <c r="P93" s="13" t="e">
        <f t="shared" ca="1" si="917"/>
        <v>#NAME?</v>
      </c>
      <c r="Q93" s="13" t="e">
        <f t="shared" ca="1" si="917"/>
        <v>#NAME?</v>
      </c>
      <c r="R93" s="13" t="e">
        <f t="shared" ca="1" si="917"/>
        <v>#NAME?</v>
      </c>
      <c r="S93" s="13" t="e">
        <f t="shared" ca="1" si="917"/>
        <v>#NAME?</v>
      </c>
      <c r="T93" s="13" t="e">
        <f t="shared" ca="1" si="917"/>
        <v>#NAME?</v>
      </c>
      <c r="U93" s="13" t="e">
        <f t="shared" ca="1" si="917"/>
        <v>#NAME?</v>
      </c>
      <c r="V93" s="13" t="e">
        <f t="shared" ca="1" si="917"/>
        <v>#NAME?</v>
      </c>
      <c r="W93" s="13" t="e">
        <f t="shared" ca="1" si="917"/>
        <v>#NAME?</v>
      </c>
      <c r="X93" s="13" t="e">
        <f t="shared" ca="1" si="917"/>
        <v>#NAME?</v>
      </c>
      <c r="Y93" s="13" t="e">
        <f t="shared" ca="1" si="917"/>
        <v>#NAME?</v>
      </c>
      <c r="Z93" s="13" t="e">
        <f t="shared" ref="Z93:AA93" ca="1" si="918">+Z85/Z77</f>
        <v>#NAME?</v>
      </c>
      <c r="AA93" s="13" t="e">
        <f t="shared" ca="1" si="918"/>
        <v>#NAME?</v>
      </c>
      <c r="AB93" s="37" t="e">
        <f t="shared" ca="1" si="917"/>
        <v>#NAME?</v>
      </c>
      <c r="AC93" s="37" t="e">
        <f t="shared" ca="1" si="917"/>
        <v>#NAME?</v>
      </c>
      <c r="AD93" s="37" t="e">
        <f t="shared" ca="1" si="917"/>
        <v>#NAME?</v>
      </c>
      <c r="AE93" s="37" t="e">
        <f t="shared" ca="1" si="917"/>
        <v>#NAME?</v>
      </c>
      <c r="AL93" s="13" t="e">
        <f t="shared" ref="AL93:BQ93" ca="1" si="919">+AL85/AL77</f>
        <v>#NAME?</v>
      </c>
      <c r="AM93" s="13" t="e">
        <f t="shared" ca="1" si="919"/>
        <v>#NAME?</v>
      </c>
      <c r="AN93" s="13" t="e">
        <f t="shared" ca="1" si="919"/>
        <v>#NAME?</v>
      </c>
      <c r="AO93" s="13" t="e">
        <f t="shared" ca="1" si="919"/>
        <v>#NAME?</v>
      </c>
      <c r="AP93" s="13" t="e">
        <f t="shared" ca="1" si="919"/>
        <v>#NAME?</v>
      </c>
      <c r="AQ93" s="13" t="e">
        <f t="shared" ca="1" si="919"/>
        <v>#NAME?</v>
      </c>
      <c r="AR93" s="13" t="e">
        <f t="shared" ca="1" si="919"/>
        <v>#NAME?</v>
      </c>
      <c r="AS93" s="13" t="e">
        <f t="shared" ca="1" si="919"/>
        <v>#NAME?</v>
      </c>
      <c r="AT93" s="13" t="e">
        <f t="shared" ca="1" si="919"/>
        <v>#NAME?</v>
      </c>
      <c r="AU93" s="13" t="e">
        <f t="shared" ca="1" si="919"/>
        <v>#NAME?</v>
      </c>
      <c r="AV93" s="13" t="e">
        <f t="shared" ca="1" si="919"/>
        <v>#NAME?</v>
      </c>
      <c r="AW93" s="13" t="e">
        <f t="shared" ca="1" si="919"/>
        <v>#NAME?</v>
      </c>
      <c r="AX93" s="13" t="e">
        <f t="shared" ca="1" si="919"/>
        <v>#NAME?</v>
      </c>
      <c r="AY93" s="13" t="e">
        <f t="shared" ca="1" si="919"/>
        <v>#NAME?</v>
      </c>
      <c r="AZ93" s="13" t="e">
        <f t="shared" ca="1" si="919"/>
        <v>#NAME?</v>
      </c>
      <c r="BA93" s="13" t="e">
        <f t="shared" ca="1" si="919"/>
        <v>#NAME?</v>
      </c>
      <c r="BB93" s="13" t="e">
        <f t="shared" ca="1" si="919"/>
        <v>#NAME?</v>
      </c>
      <c r="BC93" s="13" t="e">
        <f t="shared" ca="1" si="919"/>
        <v>#NAME?</v>
      </c>
      <c r="BD93" s="13" t="e">
        <f t="shared" ca="1" si="919"/>
        <v>#NAME?</v>
      </c>
      <c r="BE93" s="13" t="e">
        <f t="shared" ca="1" si="919"/>
        <v>#NAME?</v>
      </c>
      <c r="BF93" s="13" t="e">
        <f t="shared" ca="1" si="919"/>
        <v>#NAME?</v>
      </c>
      <c r="BG93" s="13" t="e">
        <f t="shared" ca="1" si="919"/>
        <v>#NAME?</v>
      </c>
      <c r="BH93" s="13" t="e">
        <f t="shared" ca="1" si="919"/>
        <v>#NAME?</v>
      </c>
      <c r="BI93" s="13" t="e">
        <f t="shared" ca="1" si="919"/>
        <v>#NAME?</v>
      </c>
      <c r="BJ93" s="13" t="e">
        <f t="shared" ca="1" si="919"/>
        <v>#NAME?</v>
      </c>
      <c r="BK93" s="13" t="e">
        <f t="shared" ca="1" si="919"/>
        <v>#NAME?</v>
      </c>
      <c r="BL93" s="13" t="e">
        <f t="shared" ca="1" si="919"/>
        <v>#NAME?</v>
      </c>
      <c r="BM93" s="13" t="e">
        <f t="shared" ca="1" si="919"/>
        <v>#NAME?</v>
      </c>
      <c r="BN93" s="13" t="e">
        <f t="shared" ca="1" si="919"/>
        <v>#NAME?</v>
      </c>
      <c r="BO93" s="13" t="e">
        <f t="shared" ca="1" si="919"/>
        <v>#NAME?</v>
      </c>
      <c r="BP93" s="13" t="e">
        <f t="shared" ca="1" si="919"/>
        <v>#NAME?</v>
      </c>
      <c r="BQ93" s="13" t="e">
        <f t="shared" ca="1" si="919"/>
        <v>#NAME?</v>
      </c>
      <c r="BR93" s="13" t="e">
        <f t="shared" ref="BR93:DB93" ca="1" si="920">+BR85/BR77</f>
        <v>#NAME?</v>
      </c>
      <c r="BS93" s="13" t="e">
        <f t="shared" ca="1" si="920"/>
        <v>#NAME?</v>
      </c>
      <c r="BT93" s="13" t="e">
        <f t="shared" ca="1" si="920"/>
        <v>#NAME?</v>
      </c>
      <c r="BU93" s="13" t="e">
        <f t="shared" ca="1" si="920"/>
        <v>#NAME?</v>
      </c>
      <c r="BV93" s="13" t="e">
        <f t="shared" ca="1" si="920"/>
        <v>#NAME?</v>
      </c>
      <c r="BW93" s="13" t="e">
        <f t="shared" ca="1" si="920"/>
        <v>#NAME?</v>
      </c>
      <c r="BX93" s="13" t="e">
        <f t="shared" ca="1" si="920"/>
        <v>#NAME?</v>
      </c>
      <c r="BY93" s="13" t="e">
        <f t="shared" ca="1" si="920"/>
        <v>#NAME?</v>
      </c>
      <c r="BZ93" s="13" t="e">
        <f t="shared" ca="1" si="920"/>
        <v>#NAME?</v>
      </c>
      <c r="CA93" s="13" t="e">
        <f t="shared" ca="1" si="920"/>
        <v>#NAME?</v>
      </c>
      <c r="CB93" s="13" t="e">
        <f t="shared" ca="1" si="920"/>
        <v>#NAME?</v>
      </c>
      <c r="CC93" s="13" t="e">
        <f t="shared" ca="1" si="920"/>
        <v>#NAME?</v>
      </c>
      <c r="CD93" s="13" t="e">
        <f t="shared" ca="1" si="920"/>
        <v>#NAME?</v>
      </c>
      <c r="CE93" s="13" t="e">
        <f t="shared" ca="1" si="920"/>
        <v>#NAME?</v>
      </c>
      <c r="CF93" s="13" t="e">
        <f t="shared" ca="1" si="920"/>
        <v>#NAME?</v>
      </c>
      <c r="CG93" s="13" t="e">
        <f t="shared" ca="1" si="920"/>
        <v>#NAME?</v>
      </c>
      <c r="CH93" s="13" t="e">
        <f t="shared" ca="1" si="920"/>
        <v>#NAME?</v>
      </c>
      <c r="CI93" s="13" t="e">
        <f t="shared" ref="CI93:CJ93" ca="1" si="921">+CI85/CI77</f>
        <v>#NAME?</v>
      </c>
      <c r="CJ93" s="13" t="e">
        <f t="shared" ca="1" si="921"/>
        <v>#NAME?</v>
      </c>
      <c r="CK93" s="13" t="e">
        <f t="shared" ref="CK93:CL93" ca="1" si="922">+CK85/CK77</f>
        <v>#NAME?</v>
      </c>
      <c r="CL93" s="13" t="e">
        <f t="shared" ca="1" si="922"/>
        <v>#NAME?</v>
      </c>
      <c r="CM93" s="37" t="e">
        <f t="shared" ca="1" si="920"/>
        <v>#NAME?</v>
      </c>
      <c r="CN93" s="37" t="e">
        <f t="shared" ca="1" si="920"/>
        <v>#NAME?</v>
      </c>
      <c r="CO93" s="37" t="e">
        <f t="shared" ca="1" si="920"/>
        <v>#NAME?</v>
      </c>
      <c r="CP93" s="37" t="e">
        <f t="shared" ca="1" si="920"/>
        <v>#NAME?</v>
      </c>
      <c r="CQ93" s="37" t="e">
        <f t="shared" ca="1" si="920"/>
        <v>#NAME?</v>
      </c>
      <c r="CR93" s="37" t="e">
        <f t="shared" ca="1" si="920"/>
        <v>#NAME?</v>
      </c>
      <c r="CS93" s="37" t="e">
        <f t="shared" ca="1" si="920"/>
        <v>#NAME?</v>
      </c>
      <c r="CT93" s="37" t="e">
        <f t="shared" ca="1" si="920"/>
        <v>#NAME?</v>
      </c>
      <c r="CU93" s="37" t="e">
        <f t="shared" ca="1" si="920"/>
        <v>#NAME?</v>
      </c>
      <c r="CV93" s="37" t="e">
        <f t="shared" ca="1" si="920"/>
        <v>#NAME?</v>
      </c>
      <c r="CW93" s="37" t="e">
        <f t="shared" ca="1" si="920"/>
        <v>#NAME?</v>
      </c>
      <c r="CX93" s="37" t="e">
        <f t="shared" ca="1" si="920"/>
        <v>#NAME?</v>
      </c>
      <c r="CY93" s="37" t="e">
        <f t="shared" ca="1" si="920"/>
        <v>#NAME?</v>
      </c>
      <c r="CZ93" s="37" t="e">
        <f t="shared" ca="1" si="920"/>
        <v>#NAME?</v>
      </c>
      <c r="DA93" s="37" t="e">
        <f t="shared" ca="1" si="920"/>
        <v>#NAME?</v>
      </c>
      <c r="DB93" s="37" t="e">
        <f t="shared" ca="1" si="920"/>
        <v>#NAME?</v>
      </c>
      <c r="DE93" s="134"/>
      <c r="DF93" s="13">
        <v>20.273090724593789</v>
      </c>
    </row>
    <row r="94" spans="1:110" s="13" customFormat="1" hidden="1" outlineLevel="1" x14ac:dyDescent="0.2">
      <c r="A94" s="13" t="s">
        <v>461</v>
      </c>
      <c r="B94" s="13" t="e">
        <f t="shared" ref="B94:D94" ca="1" si="923">+B86/B77</f>
        <v>#NAME?</v>
      </c>
      <c r="C94" s="13" t="e">
        <f t="shared" ca="1" si="923"/>
        <v>#NAME?</v>
      </c>
      <c r="D94" s="13" t="e">
        <f t="shared" ca="1" si="923"/>
        <v>#NAME?</v>
      </c>
      <c r="E94" s="13" t="e">
        <f t="shared" ref="E94:AE94" ca="1" si="924">+E86/E77</f>
        <v>#NAME?</v>
      </c>
      <c r="F94" s="13" t="e">
        <f t="shared" ca="1" si="924"/>
        <v>#NAME?</v>
      </c>
      <c r="G94" s="13" t="e">
        <f t="shared" ca="1" si="924"/>
        <v>#NAME?</v>
      </c>
      <c r="H94" s="13" t="e">
        <f t="shared" ca="1" si="924"/>
        <v>#NAME?</v>
      </c>
      <c r="I94" s="13" t="e">
        <f t="shared" ca="1" si="924"/>
        <v>#NAME?</v>
      </c>
      <c r="J94" s="13" t="e">
        <f t="shared" ca="1" si="924"/>
        <v>#NAME?</v>
      </c>
      <c r="K94" s="13" t="e">
        <f t="shared" ca="1" si="924"/>
        <v>#NAME?</v>
      </c>
      <c r="L94" s="13" t="e">
        <f t="shared" ca="1" si="924"/>
        <v>#NAME?</v>
      </c>
      <c r="M94" s="13" t="e">
        <f t="shared" ca="1" si="924"/>
        <v>#NAME?</v>
      </c>
      <c r="N94" s="13" t="e">
        <f t="shared" ca="1" si="924"/>
        <v>#NAME?</v>
      </c>
      <c r="O94" s="13" t="e">
        <f t="shared" ca="1" si="924"/>
        <v>#NAME?</v>
      </c>
      <c r="P94" s="13" t="e">
        <f t="shared" ca="1" si="924"/>
        <v>#NAME?</v>
      </c>
      <c r="Q94" s="13" t="e">
        <f t="shared" ca="1" si="924"/>
        <v>#NAME?</v>
      </c>
      <c r="R94" s="13" t="e">
        <f t="shared" ca="1" si="924"/>
        <v>#NAME?</v>
      </c>
      <c r="S94" s="13" t="e">
        <f t="shared" ca="1" si="924"/>
        <v>#NAME?</v>
      </c>
      <c r="T94" s="13" t="e">
        <f t="shared" ca="1" si="924"/>
        <v>#NAME?</v>
      </c>
      <c r="U94" s="13" t="e">
        <f t="shared" ca="1" si="924"/>
        <v>#NAME?</v>
      </c>
      <c r="V94" s="13" t="e">
        <f t="shared" ca="1" si="924"/>
        <v>#NAME?</v>
      </c>
      <c r="W94" s="13" t="e">
        <f t="shared" ca="1" si="924"/>
        <v>#NAME?</v>
      </c>
      <c r="X94" s="13" t="e">
        <f t="shared" ca="1" si="924"/>
        <v>#NAME?</v>
      </c>
      <c r="Y94" s="13" t="e">
        <f t="shared" ca="1" si="924"/>
        <v>#NAME?</v>
      </c>
      <c r="Z94" s="13" t="e">
        <f t="shared" ref="Z94:AA94" ca="1" si="925">+Z86/Z77</f>
        <v>#NAME?</v>
      </c>
      <c r="AA94" s="13" t="e">
        <f t="shared" ca="1" si="925"/>
        <v>#NAME?</v>
      </c>
      <c r="AB94" s="60" t="e">
        <f t="shared" ca="1" si="924"/>
        <v>#NAME?</v>
      </c>
      <c r="AC94" s="60" t="e">
        <f t="shared" ca="1" si="924"/>
        <v>#NAME?</v>
      </c>
      <c r="AD94" s="60" t="e">
        <f t="shared" ca="1" si="924"/>
        <v>#NAME?</v>
      </c>
      <c r="AE94" s="60" t="e">
        <f t="shared" ca="1" si="924"/>
        <v>#NAME?</v>
      </c>
      <c r="AL94" s="13" t="e">
        <f t="shared" ref="AL94:BQ94" ca="1" si="926">+AL86/AL77</f>
        <v>#NAME?</v>
      </c>
      <c r="AM94" s="13" t="e">
        <f t="shared" ca="1" si="926"/>
        <v>#NAME?</v>
      </c>
      <c r="AN94" s="13" t="e">
        <f t="shared" ca="1" si="926"/>
        <v>#NAME?</v>
      </c>
      <c r="AO94" s="13" t="e">
        <f t="shared" ca="1" si="926"/>
        <v>#NAME?</v>
      </c>
      <c r="AP94" s="13" t="e">
        <f t="shared" ca="1" si="926"/>
        <v>#NAME?</v>
      </c>
      <c r="AQ94" s="13" t="e">
        <f t="shared" ca="1" si="926"/>
        <v>#NAME?</v>
      </c>
      <c r="AR94" s="13" t="e">
        <f t="shared" ca="1" si="926"/>
        <v>#NAME?</v>
      </c>
      <c r="AS94" s="13" t="e">
        <f t="shared" ca="1" si="926"/>
        <v>#NAME?</v>
      </c>
      <c r="AT94" s="13" t="e">
        <f t="shared" ca="1" si="926"/>
        <v>#NAME?</v>
      </c>
      <c r="AU94" s="13" t="e">
        <f t="shared" ca="1" si="926"/>
        <v>#NAME?</v>
      </c>
      <c r="AV94" s="13" t="e">
        <f t="shared" ca="1" si="926"/>
        <v>#NAME?</v>
      </c>
      <c r="AW94" s="13" t="e">
        <f t="shared" ca="1" si="926"/>
        <v>#NAME?</v>
      </c>
      <c r="AX94" s="13" t="e">
        <f t="shared" ca="1" si="926"/>
        <v>#NAME?</v>
      </c>
      <c r="AY94" s="13" t="e">
        <f t="shared" ca="1" si="926"/>
        <v>#NAME?</v>
      </c>
      <c r="AZ94" s="13" t="e">
        <f t="shared" ca="1" si="926"/>
        <v>#NAME?</v>
      </c>
      <c r="BA94" s="13" t="e">
        <f t="shared" ca="1" si="926"/>
        <v>#NAME?</v>
      </c>
      <c r="BB94" s="13" t="e">
        <f t="shared" ca="1" si="926"/>
        <v>#NAME?</v>
      </c>
      <c r="BC94" s="13" t="e">
        <f t="shared" ca="1" si="926"/>
        <v>#NAME?</v>
      </c>
      <c r="BD94" s="13" t="e">
        <f t="shared" ca="1" si="926"/>
        <v>#NAME?</v>
      </c>
      <c r="BE94" s="13" t="e">
        <f t="shared" ca="1" si="926"/>
        <v>#NAME?</v>
      </c>
      <c r="BF94" s="13" t="e">
        <f t="shared" ca="1" si="926"/>
        <v>#NAME?</v>
      </c>
      <c r="BG94" s="13" t="e">
        <f t="shared" ca="1" si="926"/>
        <v>#NAME?</v>
      </c>
      <c r="BH94" s="13" t="e">
        <f t="shared" ca="1" si="926"/>
        <v>#NAME?</v>
      </c>
      <c r="BI94" s="13" t="e">
        <f t="shared" ca="1" si="926"/>
        <v>#NAME?</v>
      </c>
      <c r="BJ94" s="13" t="e">
        <f t="shared" ca="1" si="926"/>
        <v>#NAME?</v>
      </c>
      <c r="BK94" s="13" t="e">
        <f t="shared" ca="1" si="926"/>
        <v>#NAME?</v>
      </c>
      <c r="BL94" s="13" t="e">
        <f t="shared" ca="1" si="926"/>
        <v>#NAME?</v>
      </c>
      <c r="BM94" s="13" t="e">
        <f t="shared" ca="1" si="926"/>
        <v>#NAME?</v>
      </c>
      <c r="BN94" s="13" t="e">
        <f t="shared" ca="1" si="926"/>
        <v>#NAME?</v>
      </c>
      <c r="BO94" s="13" t="e">
        <f t="shared" ca="1" si="926"/>
        <v>#NAME?</v>
      </c>
      <c r="BP94" s="13" t="e">
        <f t="shared" ca="1" si="926"/>
        <v>#NAME?</v>
      </c>
      <c r="BQ94" s="13" t="e">
        <f t="shared" ca="1" si="926"/>
        <v>#NAME?</v>
      </c>
      <c r="BR94" s="13" t="e">
        <f t="shared" ref="BR94:CH94" ca="1" si="927">+BR86/BR77</f>
        <v>#NAME?</v>
      </c>
      <c r="BS94" s="13" t="e">
        <f t="shared" ca="1" si="927"/>
        <v>#NAME?</v>
      </c>
      <c r="BT94" s="13" t="e">
        <f t="shared" ca="1" si="927"/>
        <v>#NAME?</v>
      </c>
      <c r="BU94" s="13" t="e">
        <f t="shared" ca="1" si="927"/>
        <v>#NAME?</v>
      </c>
      <c r="BV94" s="13" t="e">
        <f t="shared" ca="1" si="927"/>
        <v>#NAME?</v>
      </c>
      <c r="BW94" s="13" t="e">
        <f t="shared" ca="1" si="927"/>
        <v>#NAME?</v>
      </c>
      <c r="BX94" s="13" t="e">
        <f t="shared" ca="1" si="927"/>
        <v>#NAME?</v>
      </c>
      <c r="BY94" s="13" t="e">
        <f t="shared" ca="1" si="927"/>
        <v>#NAME?</v>
      </c>
      <c r="BZ94" s="13" t="e">
        <f t="shared" ca="1" si="927"/>
        <v>#NAME?</v>
      </c>
      <c r="CA94" s="13" t="e">
        <f t="shared" ca="1" si="927"/>
        <v>#NAME?</v>
      </c>
      <c r="CB94" s="13" t="e">
        <f t="shared" ca="1" si="927"/>
        <v>#NAME?</v>
      </c>
      <c r="CC94" s="13" t="e">
        <f t="shared" ca="1" si="927"/>
        <v>#NAME?</v>
      </c>
      <c r="CD94" s="13" t="e">
        <f t="shared" ca="1" si="927"/>
        <v>#NAME?</v>
      </c>
      <c r="CE94" s="13" t="e">
        <f t="shared" ca="1" si="927"/>
        <v>#NAME?</v>
      </c>
      <c r="CF94" s="13" t="e">
        <f t="shared" ca="1" si="927"/>
        <v>#NAME?</v>
      </c>
      <c r="CG94" s="13" t="e">
        <f t="shared" ca="1" si="927"/>
        <v>#NAME?</v>
      </c>
      <c r="CH94" s="13" t="e">
        <f t="shared" ca="1" si="927"/>
        <v>#NAME?</v>
      </c>
      <c r="CI94" s="13" t="e">
        <f t="shared" ref="CI94:CJ94" ca="1" si="928">+CI86/CI77</f>
        <v>#NAME?</v>
      </c>
      <c r="CJ94" s="13" t="e">
        <f t="shared" ca="1" si="928"/>
        <v>#NAME?</v>
      </c>
      <c r="CK94" s="13" t="e">
        <f t="shared" ref="CK94:CL94" ca="1" si="929">+CK86/CK77</f>
        <v>#NAME?</v>
      </c>
      <c r="CL94" s="13" t="e">
        <f t="shared" ca="1" si="929"/>
        <v>#NAME?</v>
      </c>
      <c r="CM94" s="60" t="e">
        <f t="shared" ref="CM94:CM95" ca="1" si="930">+CL94</f>
        <v>#NAME?</v>
      </c>
      <c r="CN94" s="60" t="e">
        <f t="shared" ref="CN94:CN95" ca="1" si="931">+CM94</f>
        <v>#NAME?</v>
      </c>
      <c r="CO94" s="60" t="e">
        <f t="shared" ref="CO94:CO95" ca="1" si="932">+CN94</f>
        <v>#NAME?</v>
      </c>
      <c r="CP94" s="60" t="e">
        <f t="shared" ref="CP94:CP95" ca="1" si="933">+CO94</f>
        <v>#NAME?</v>
      </c>
      <c r="CQ94" s="60" t="e">
        <f t="shared" ref="CQ94:CQ95" ca="1" si="934">+CP94</f>
        <v>#NAME?</v>
      </c>
      <c r="CR94" s="60" t="e">
        <f t="shared" ref="CR94:CR95" ca="1" si="935">+CQ94</f>
        <v>#NAME?</v>
      </c>
      <c r="CS94" s="60" t="e">
        <f t="shared" ref="CS94:CS95" ca="1" si="936">+CR94</f>
        <v>#NAME?</v>
      </c>
      <c r="CT94" s="60" t="e">
        <f t="shared" ref="CT94:CT95" ca="1" si="937">+CS94</f>
        <v>#NAME?</v>
      </c>
      <c r="CU94" s="60" t="e">
        <f t="shared" ref="CU94:CU95" ca="1" si="938">+CT94</f>
        <v>#NAME?</v>
      </c>
      <c r="CV94" s="60" t="e">
        <f t="shared" ref="CV94:CV95" ca="1" si="939">+CU94</f>
        <v>#NAME?</v>
      </c>
      <c r="CW94" s="60" t="e">
        <f t="shared" ref="CW94:CW95" ca="1" si="940">+CV94</f>
        <v>#NAME?</v>
      </c>
      <c r="CX94" s="60" t="e">
        <f t="shared" ref="CX94:CX95" ca="1" si="941">+CW94</f>
        <v>#NAME?</v>
      </c>
      <c r="CY94" s="60" t="e">
        <f t="shared" ref="CY94:CY95" ca="1" si="942">+CX94</f>
        <v>#NAME?</v>
      </c>
      <c r="CZ94" s="60" t="e">
        <f t="shared" ref="CZ94:CZ95" ca="1" si="943">+CY94</f>
        <v>#NAME?</v>
      </c>
      <c r="DA94" s="60" t="e">
        <f t="shared" ref="DA94:DA95" ca="1" si="944">+CZ94</f>
        <v>#NAME?</v>
      </c>
      <c r="DB94" s="60" t="e">
        <f t="shared" ref="DB94:DB95" ca="1" si="945">+DA94</f>
        <v>#NAME?</v>
      </c>
      <c r="DE94" s="136"/>
      <c r="DF94" s="13">
        <v>31.605591675907011</v>
      </c>
    </row>
    <row r="95" spans="1:110" s="13" customFormat="1" hidden="1" outlineLevel="1" x14ac:dyDescent="0.2">
      <c r="A95" s="13" t="s">
        <v>462</v>
      </c>
      <c r="B95" s="13" t="e">
        <f t="shared" ref="B95:D95" ca="1" si="946">+B87/B77</f>
        <v>#NAME?</v>
      </c>
      <c r="C95" s="13" t="e">
        <f t="shared" ca="1" si="946"/>
        <v>#NAME?</v>
      </c>
      <c r="D95" s="13" t="e">
        <f t="shared" ca="1" si="946"/>
        <v>#NAME?</v>
      </c>
      <c r="E95" s="13" t="e">
        <f t="shared" ref="E95:AE95" ca="1" si="947">+E87/E77</f>
        <v>#NAME?</v>
      </c>
      <c r="F95" s="13" t="e">
        <f t="shared" ca="1" si="947"/>
        <v>#NAME?</v>
      </c>
      <c r="G95" s="13" t="e">
        <f t="shared" ca="1" si="947"/>
        <v>#NAME?</v>
      </c>
      <c r="H95" s="13" t="e">
        <f t="shared" ca="1" si="947"/>
        <v>#NAME?</v>
      </c>
      <c r="I95" s="13" t="e">
        <f t="shared" ca="1" si="947"/>
        <v>#NAME?</v>
      </c>
      <c r="J95" s="13" t="e">
        <f t="shared" ca="1" si="947"/>
        <v>#NAME?</v>
      </c>
      <c r="K95" s="13" t="e">
        <f t="shared" ca="1" si="947"/>
        <v>#NAME?</v>
      </c>
      <c r="L95" s="13" t="e">
        <f t="shared" ca="1" si="947"/>
        <v>#NAME?</v>
      </c>
      <c r="M95" s="13" t="e">
        <f t="shared" ca="1" si="947"/>
        <v>#NAME?</v>
      </c>
      <c r="N95" s="13" t="e">
        <f t="shared" ca="1" si="947"/>
        <v>#NAME?</v>
      </c>
      <c r="O95" s="13" t="e">
        <f t="shared" ca="1" si="947"/>
        <v>#NAME?</v>
      </c>
      <c r="P95" s="13" t="e">
        <f t="shared" ca="1" si="947"/>
        <v>#NAME?</v>
      </c>
      <c r="Q95" s="13" t="e">
        <f t="shared" ca="1" si="947"/>
        <v>#NAME?</v>
      </c>
      <c r="R95" s="13" t="e">
        <f t="shared" ca="1" si="947"/>
        <v>#NAME?</v>
      </c>
      <c r="S95" s="13" t="e">
        <f t="shared" ca="1" si="947"/>
        <v>#NAME?</v>
      </c>
      <c r="T95" s="13" t="e">
        <f t="shared" ca="1" si="947"/>
        <v>#NAME?</v>
      </c>
      <c r="U95" s="13" t="e">
        <f t="shared" ca="1" si="947"/>
        <v>#NAME?</v>
      </c>
      <c r="V95" s="13" t="e">
        <f t="shared" ca="1" si="947"/>
        <v>#NAME?</v>
      </c>
      <c r="W95" s="13" t="e">
        <f t="shared" ca="1" si="947"/>
        <v>#NAME?</v>
      </c>
      <c r="X95" s="13" t="e">
        <f t="shared" ca="1" si="947"/>
        <v>#NAME?</v>
      </c>
      <c r="Y95" s="13" t="e">
        <f t="shared" ca="1" si="947"/>
        <v>#NAME?</v>
      </c>
      <c r="Z95" s="13" t="e">
        <f t="shared" ref="Z95:AA95" ca="1" si="948">+Z87/Z77</f>
        <v>#NAME?</v>
      </c>
      <c r="AA95" s="13" t="e">
        <f t="shared" ca="1" si="948"/>
        <v>#NAME?</v>
      </c>
      <c r="AB95" s="60" t="e">
        <f t="shared" ca="1" si="947"/>
        <v>#NAME?</v>
      </c>
      <c r="AC95" s="60" t="e">
        <f t="shared" ca="1" si="947"/>
        <v>#NAME?</v>
      </c>
      <c r="AD95" s="60" t="e">
        <f t="shared" ca="1" si="947"/>
        <v>#NAME?</v>
      </c>
      <c r="AE95" s="60" t="e">
        <f t="shared" ca="1" si="947"/>
        <v>#NAME?</v>
      </c>
      <c r="AL95" s="13" t="e">
        <f t="shared" ref="AL95:BQ95" ca="1" si="949">+AL87/AL77</f>
        <v>#NAME?</v>
      </c>
      <c r="AM95" s="13" t="e">
        <f t="shared" ca="1" si="949"/>
        <v>#NAME?</v>
      </c>
      <c r="AN95" s="13" t="e">
        <f t="shared" ca="1" si="949"/>
        <v>#NAME?</v>
      </c>
      <c r="AO95" s="13" t="e">
        <f t="shared" ca="1" si="949"/>
        <v>#NAME?</v>
      </c>
      <c r="AP95" s="13" t="e">
        <f t="shared" ca="1" si="949"/>
        <v>#NAME?</v>
      </c>
      <c r="AQ95" s="13" t="e">
        <f t="shared" ca="1" si="949"/>
        <v>#NAME?</v>
      </c>
      <c r="AR95" s="13" t="e">
        <f t="shared" ca="1" si="949"/>
        <v>#NAME?</v>
      </c>
      <c r="AS95" s="13" t="e">
        <f t="shared" ca="1" si="949"/>
        <v>#NAME?</v>
      </c>
      <c r="AT95" s="13" t="e">
        <f t="shared" ca="1" si="949"/>
        <v>#NAME?</v>
      </c>
      <c r="AU95" s="13" t="e">
        <f t="shared" ca="1" si="949"/>
        <v>#NAME?</v>
      </c>
      <c r="AV95" s="13" t="e">
        <f t="shared" ca="1" si="949"/>
        <v>#NAME?</v>
      </c>
      <c r="AW95" s="13" t="e">
        <f t="shared" ca="1" si="949"/>
        <v>#NAME?</v>
      </c>
      <c r="AX95" s="13" t="e">
        <f t="shared" ca="1" si="949"/>
        <v>#NAME?</v>
      </c>
      <c r="AY95" s="13" t="e">
        <f t="shared" ca="1" si="949"/>
        <v>#NAME?</v>
      </c>
      <c r="AZ95" s="13" t="e">
        <f t="shared" ca="1" si="949"/>
        <v>#NAME?</v>
      </c>
      <c r="BA95" s="13" t="e">
        <f t="shared" ca="1" si="949"/>
        <v>#NAME?</v>
      </c>
      <c r="BB95" s="13" t="e">
        <f t="shared" ca="1" si="949"/>
        <v>#NAME?</v>
      </c>
      <c r="BC95" s="13" t="e">
        <f t="shared" ca="1" si="949"/>
        <v>#NAME?</v>
      </c>
      <c r="BD95" s="13" t="e">
        <f t="shared" ca="1" si="949"/>
        <v>#NAME?</v>
      </c>
      <c r="BE95" s="13" t="e">
        <f t="shared" ca="1" si="949"/>
        <v>#NAME?</v>
      </c>
      <c r="BF95" s="13" t="e">
        <f t="shared" ca="1" si="949"/>
        <v>#NAME?</v>
      </c>
      <c r="BG95" s="13" t="e">
        <f t="shared" ca="1" si="949"/>
        <v>#NAME?</v>
      </c>
      <c r="BH95" s="13" t="e">
        <f t="shared" ca="1" si="949"/>
        <v>#NAME?</v>
      </c>
      <c r="BI95" s="13" t="e">
        <f t="shared" ca="1" si="949"/>
        <v>#NAME?</v>
      </c>
      <c r="BJ95" s="13" t="e">
        <f t="shared" ca="1" si="949"/>
        <v>#NAME?</v>
      </c>
      <c r="BK95" s="13" t="e">
        <f t="shared" ca="1" si="949"/>
        <v>#NAME?</v>
      </c>
      <c r="BL95" s="13" t="e">
        <f t="shared" ca="1" si="949"/>
        <v>#NAME?</v>
      </c>
      <c r="BM95" s="13" t="e">
        <f t="shared" ca="1" si="949"/>
        <v>#NAME?</v>
      </c>
      <c r="BN95" s="13" t="e">
        <f t="shared" ca="1" si="949"/>
        <v>#NAME?</v>
      </c>
      <c r="BO95" s="13" t="e">
        <f t="shared" ca="1" si="949"/>
        <v>#NAME?</v>
      </c>
      <c r="BP95" s="13" t="e">
        <f t="shared" ca="1" si="949"/>
        <v>#NAME?</v>
      </c>
      <c r="BQ95" s="13" t="e">
        <f t="shared" ca="1" si="949"/>
        <v>#NAME?</v>
      </c>
      <c r="BR95" s="13" t="e">
        <f t="shared" ref="BR95:CH95" ca="1" si="950">+BR87/BR77</f>
        <v>#NAME?</v>
      </c>
      <c r="BS95" s="13" t="e">
        <f t="shared" ca="1" si="950"/>
        <v>#NAME?</v>
      </c>
      <c r="BT95" s="13" t="e">
        <f t="shared" ca="1" si="950"/>
        <v>#NAME?</v>
      </c>
      <c r="BU95" s="13" t="e">
        <f t="shared" ca="1" si="950"/>
        <v>#NAME?</v>
      </c>
      <c r="BV95" s="13" t="e">
        <f t="shared" ca="1" si="950"/>
        <v>#NAME?</v>
      </c>
      <c r="BW95" s="13" t="e">
        <f t="shared" ca="1" si="950"/>
        <v>#NAME?</v>
      </c>
      <c r="BX95" s="13" t="e">
        <f t="shared" ca="1" si="950"/>
        <v>#NAME?</v>
      </c>
      <c r="BY95" s="13" t="e">
        <f t="shared" ca="1" si="950"/>
        <v>#NAME?</v>
      </c>
      <c r="BZ95" s="13" t="e">
        <f t="shared" ca="1" si="950"/>
        <v>#NAME?</v>
      </c>
      <c r="CA95" s="13" t="e">
        <f t="shared" ca="1" si="950"/>
        <v>#NAME?</v>
      </c>
      <c r="CB95" s="13" t="e">
        <f t="shared" ca="1" si="950"/>
        <v>#NAME?</v>
      </c>
      <c r="CC95" s="13" t="e">
        <f t="shared" ca="1" si="950"/>
        <v>#NAME?</v>
      </c>
      <c r="CD95" s="13" t="e">
        <f t="shared" ca="1" si="950"/>
        <v>#NAME?</v>
      </c>
      <c r="CE95" s="13" t="e">
        <f t="shared" ca="1" si="950"/>
        <v>#NAME?</v>
      </c>
      <c r="CF95" s="13" t="e">
        <f t="shared" ca="1" si="950"/>
        <v>#NAME?</v>
      </c>
      <c r="CG95" s="13" t="e">
        <f t="shared" ca="1" si="950"/>
        <v>#NAME?</v>
      </c>
      <c r="CH95" s="13" t="e">
        <f t="shared" ca="1" si="950"/>
        <v>#NAME?</v>
      </c>
      <c r="CI95" s="13" t="e">
        <f t="shared" ref="CI95:CJ95" ca="1" si="951">+CI87/CI77</f>
        <v>#NAME?</v>
      </c>
      <c r="CJ95" s="13" t="e">
        <f t="shared" ca="1" si="951"/>
        <v>#NAME?</v>
      </c>
      <c r="CK95" s="13" t="e">
        <f t="shared" ref="CK95:CL95" ca="1" si="952">+CK87/CK77</f>
        <v>#NAME?</v>
      </c>
      <c r="CL95" s="13" t="e">
        <f t="shared" ca="1" si="952"/>
        <v>#NAME?</v>
      </c>
      <c r="CM95" s="60" t="e">
        <f t="shared" ca="1" si="930"/>
        <v>#NAME?</v>
      </c>
      <c r="CN95" s="60" t="e">
        <f t="shared" ca="1" si="931"/>
        <v>#NAME?</v>
      </c>
      <c r="CO95" s="60" t="e">
        <f t="shared" ca="1" si="932"/>
        <v>#NAME?</v>
      </c>
      <c r="CP95" s="60" t="e">
        <f t="shared" ca="1" si="933"/>
        <v>#NAME?</v>
      </c>
      <c r="CQ95" s="60" t="e">
        <f t="shared" ca="1" si="934"/>
        <v>#NAME?</v>
      </c>
      <c r="CR95" s="60" t="e">
        <f t="shared" ca="1" si="935"/>
        <v>#NAME?</v>
      </c>
      <c r="CS95" s="60" t="e">
        <f t="shared" ca="1" si="936"/>
        <v>#NAME?</v>
      </c>
      <c r="CT95" s="60" t="e">
        <f t="shared" ca="1" si="937"/>
        <v>#NAME?</v>
      </c>
      <c r="CU95" s="60" t="e">
        <f t="shared" ca="1" si="938"/>
        <v>#NAME?</v>
      </c>
      <c r="CV95" s="60" t="e">
        <f t="shared" ca="1" si="939"/>
        <v>#NAME?</v>
      </c>
      <c r="CW95" s="60" t="e">
        <f t="shared" ca="1" si="940"/>
        <v>#NAME?</v>
      </c>
      <c r="CX95" s="60" t="e">
        <f t="shared" ca="1" si="941"/>
        <v>#NAME?</v>
      </c>
      <c r="CY95" s="60" t="e">
        <f t="shared" ca="1" si="942"/>
        <v>#NAME?</v>
      </c>
      <c r="CZ95" s="60" t="e">
        <f t="shared" ca="1" si="943"/>
        <v>#NAME?</v>
      </c>
      <c r="DA95" s="60" t="e">
        <f t="shared" ca="1" si="944"/>
        <v>#NAME?</v>
      </c>
      <c r="DB95" s="60" t="e">
        <f t="shared" ca="1" si="945"/>
        <v>#NAME?</v>
      </c>
      <c r="DE95" s="136"/>
      <c r="DF95" s="13">
        <v>19.924164992491779</v>
      </c>
    </row>
    <row r="96" spans="1:110" s="13" customFormat="1" hidden="1" outlineLevel="1" x14ac:dyDescent="0.2">
      <c r="AB96" s="60"/>
      <c r="AC96" s="60"/>
      <c r="AD96" s="60"/>
      <c r="AE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  <c r="CZ96" s="60"/>
      <c r="DA96" s="60"/>
      <c r="DB96" s="60"/>
      <c r="DE96" s="136"/>
    </row>
    <row r="97" spans="1:110" s="13" customFormat="1" hidden="1" outlineLevel="1" x14ac:dyDescent="0.2">
      <c r="A97" s="13" t="s">
        <v>463</v>
      </c>
      <c r="B97" s="13" t="e">
        <f t="shared" ref="B97:AD97" ca="1" si="953">+B86/C77</f>
        <v>#NAME?</v>
      </c>
      <c r="C97" s="13" t="e">
        <f t="shared" ca="1" si="953"/>
        <v>#NAME?</v>
      </c>
      <c r="D97" s="13" t="e">
        <f t="shared" ca="1" si="953"/>
        <v>#NAME?</v>
      </c>
      <c r="E97" s="13" t="e">
        <f t="shared" ca="1" si="953"/>
        <v>#NAME?</v>
      </c>
      <c r="F97" s="13" t="e">
        <f t="shared" ca="1" si="953"/>
        <v>#NAME?</v>
      </c>
      <c r="G97" s="13" t="e">
        <f t="shared" ca="1" si="953"/>
        <v>#NAME?</v>
      </c>
      <c r="H97" s="13" t="e">
        <f t="shared" ca="1" si="953"/>
        <v>#NAME?</v>
      </c>
      <c r="I97" s="13" t="e">
        <f t="shared" ca="1" si="953"/>
        <v>#NAME?</v>
      </c>
      <c r="J97" s="13" t="e">
        <f t="shared" ca="1" si="953"/>
        <v>#NAME?</v>
      </c>
      <c r="K97" s="13" t="e">
        <f t="shared" ca="1" si="953"/>
        <v>#NAME?</v>
      </c>
      <c r="L97" s="13" t="e">
        <f t="shared" ca="1" si="953"/>
        <v>#NAME?</v>
      </c>
      <c r="M97" s="13" t="e">
        <f t="shared" ca="1" si="953"/>
        <v>#NAME?</v>
      </c>
      <c r="N97" s="13" t="e">
        <f t="shared" ca="1" si="953"/>
        <v>#NAME?</v>
      </c>
      <c r="O97" s="13" t="e">
        <f t="shared" ca="1" si="953"/>
        <v>#NAME?</v>
      </c>
      <c r="P97" s="13" t="e">
        <f t="shared" ca="1" si="953"/>
        <v>#NAME?</v>
      </c>
      <c r="Q97" s="13" t="e">
        <f t="shared" ca="1" si="953"/>
        <v>#NAME?</v>
      </c>
      <c r="R97" s="13" t="e">
        <f t="shared" ca="1" si="953"/>
        <v>#NAME?</v>
      </c>
      <c r="S97" s="13" t="e">
        <f t="shared" ca="1" si="953"/>
        <v>#NAME?</v>
      </c>
      <c r="T97" s="13" t="e">
        <f t="shared" ca="1" si="953"/>
        <v>#NAME?</v>
      </c>
      <c r="U97" s="13" t="e">
        <f t="shared" ca="1" si="953"/>
        <v>#NAME?</v>
      </c>
      <c r="V97" s="13" t="e">
        <f t="shared" ca="1" si="953"/>
        <v>#NAME?</v>
      </c>
      <c r="W97" s="13" t="e">
        <f t="shared" ca="1" si="953"/>
        <v>#NAME?</v>
      </c>
      <c r="X97" s="13" t="e">
        <f t="shared" ca="1" si="953"/>
        <v>#NAME?</v>
      </c>
      <c r="Y97" s="13" t="e">
        <f t="shared" ca="1" si="953"/>
        <v>#NAME?</v>
      </c>
      <c r="Z97" s="13" t="e">
        <f t="shared" ref="Z97:AA97" ca="1" si="954">+Z86/AA77</f>
        <v>#NAME?</v>
      </c>
      <c r="AA97" s="13" t="e">
        <f t="shared" ca="1" si="954"/>
        <v>#NAME?</v>
      </c>
      <c r="AB97" s="37" t="e">
        <f t="shared" ca="1" si="953"/>
        <v>#NAME?</v>
      </c>
      <c r="AC97" s="37" t="e">
        <f t="shared" ca="1" si="953"/>
        <v>#NAME?</v>
      </c>
      <c r="AD97" s="37" t="e">
        <f t="shared" ca="1" si="953"/>
        <v>#NAME?</v>
      </c>
      <c r="AE97" s="37"/>
      <c r="AL97" s="13" t="e">
        <f t="shared" ref="AL97:BQ97" ca="1" si="955">+AL86/AP77</f>
        <v>#NAME?</v>
      </c>
      <c r="AM97" s="13" t="e">
        <f t="shared" ca="1" si="955"/>
        <v>#NAME?</v>
      </c>
      <c r="AN97" s="13" t="e">
        <f t="shared" ca="1" si="955"/>
        <v>#NAME?</v>
      </c>
      <c r="AO97" s="13" t="e">
        <f t="shared" ca="1" si="955"/>
        <v>#NAME?</v>
      </c>
      <c r="AP97" s="13" t="e">
        <f t="shared" ca="1" si="955"/>
        <v>#NAME?</v>
      </c>
      <c r="AQ97" s="13" t="e">
        <f t="shared" ca="1" si="955"/>
        <v>#NAME?</v>
      </c>
      <c r="AR97" s="13" t="e">
        <f t="shared" ca="1" si="955"/>
        <v>#NAME?</v>
      </c>
      <c r="AS97" s="13" t="e">
        <f t="shared" ca="1" si="955"/>
        <v>#NAME?</v>
      </c>
      <c r="AT97" s="13" t="e">
        <f t="shared" ca="1" si="955"/>
        <v>#NAME?</v>
      </c>
      <c r="AU97" s="13" t="e">
        <f t="shared" ca="1" si="955"/>
        <v>#NAME?</v>
      </c>
      <c r="AV97" s="13" t="e">
        <f t="shared" ca="1" si="955"/>
        <v>#NAME?</v>
      </c>
      <c r="AW97" s="13" t="e">
        <f t="shared" ca="1" si="955"/>
        <v>#NAME?</v>
      </c>
      <c r="AX97" s="13" t="e">
        <f t="shared" ca="1" si="955"/>
        <v>#NAME?</v>
      </c>
      <c r="AY97" s="13" t="e">
        <f t="shared" ca="1" si="955"/>
        <v>#NAME?</v>
      </c>
      <c r="AZ97" s="13" t="e">
        <f t="shared" ca="1" si="955"/>
        <v>#NAME?</v>
      </c>
      <c r="BA97" s="13" t="e">
        <f t="shared" ca="1" si="955"/>
        <v>#NAME?</v>
      </c>
      <c r="BB97" s="13" t="e">
        <f t="shared" ca="1" si="955"/>
        <v>#NAME?</v>
      </c>
      <c r="BC97" s="13" t="e">
        <f t="shared" ca="1" si="955"/>
        <v>#NAME?</v>
      </c>
      <c r="BD97" s="13" t="e">
        <f t="shared" ca="1" si="955"/>
        <v>#NAME?</v>
      </c>
      <c r="BE97" s="13" t="e">
        <f t="shared" ca="1" si="955"/>
        <v>#NAME?</v>
      </c>
      <c r="BF97" s="13" t="e">
        <f t="shared" ca="1" si="955"/>
        <v>#NAME?</v>
      </c>
      <c r="BG97" s="13" t="e">
        <f t="shared" ca="1" si="955"/>
        <v>#NAME?</v>
      </c>
      <c r="BH97" s="13" t="e">
        <f t="shared" ca="1" si="955"/>
        <v>#NAME?</v>
      </c>
      <c r="BI97" s="13" t="e">
        <f t="shared" ca="1" si="955"/>
        <v>#NAME?</v>
      </c>
      <c r="BJ97" s="13" t="e">
        <f t="shared" ca="1" si="955"/>
        <v>#NAME?</v>
      </c>
      <c r="BK97" s="13" t="e">
        <f t="shared" ca="1" si="955"/>
        <v>#NAME?</v>
      </c>
      <c r="BL97" s="13" t="e">
        <f t="shared" ca="1" si="955"/>
        <v>#NAME?</v>
      </c>
      <c r="BM97" s="13" t="e">
        <f t="shared" ca="1" si="955"/>
        <v>#NAME?</v>
      </c>
      <c r="BN97" s="13" t="e">
        <f t="shared" ca="1" si="955"/>
        <v>#NAME?</v>
      </c>
      <c r="BO97" s="13" t="e">
        <f t="shared" ca="1" si="955"/>
        <v>#NAME?</v>
      </c>
      <c r="BP97" s="13" t="e">
        <f t="shared" ca="1" si="955"/>
        <v>#NAME?</v>
      </c>
      <c r="BQ97" s="13" t="e">
        <f t="shared" ca="1" si="955"/>
        <v>#NAME?</v>
      </c>
      <c r="BR97" s="13" t="e">
        <f t="shared" ref="BR97:CL97" ca="1" si="956">+BR86/BV77</f>
        <v>#NAME?</v>
      </c>
      <c r="BS97" s="13" t="e">
        <f t="shared" ca="1" si="956"/>
        <v>#NAME?</v>
      </c>
      <c r="BT97" s="13" t="e">
        <f t="shared" ca="1" si="956"/>
        <v>#NAME?</v>
      </c>
      <c r="BU97" s="13" t="e">
        <f t="shared" ca="1" si="956"/>
        <v>#NAME?</v>
      </c>
      <c r="BV97" s="13" t="e">
        <f t="shared" ca="1" si="956"/>
        <v>#NAME?</v>
      </c>
      <c r="BW97" s="13" t="e">
        <f t="shared" ca="1" si="956"/>
        <v>#NAME?</v>
      </c>
      <c r="BX97" s="13" t="e">
        <f t="shared" ca="1" si="956"/>
        <v>#NAME?</v>
      </c>
      <c r="BY97" s="13" t="e">
        <f t="shared" ca="1" si="956"/>
        <v>#NAME?</v>
      </c>
      <c r="BZ97" s="13" t="e">
        <f t="shared" ca="1" si="956"/>
        <v>#NAME?</v>
      </c>
      <c r="CA97" s="13" t="e">
        <f t="shared" ca="1" si="956"/>
        <v>#NAME?</v>
      </c>
      <c r="CB97" s="13" t="e">
        <f t="shared" ca="1" si="956"/>
        <v>#NAME?</v>
      </c>
      <c r="CC97" s="13" t="e">
        <f t="shared" ca="1" si="956"/>
        <v>#NAME?</v>
      </c>
      <c r="CD97" s="13" t="e">
        <f t="shared" ca="1" si="956"/>
        <v>#NAME?</v>
      </c>
      <c r="CE97" s="13" t="e">
        <f t="shared" ca="1" si="956"/>
        <v>#NAME?</v>
      </c>
      <c r="CF97" s="13" t="e">
        <f t="shared" ca="1" si="956"/>
        <v>#NAME?</v>
      </c>
      <c r="CG97" s="13" t="e">
        <f t="shared" ca="1" si="956"/>
        <v>#NAME?</v>
      </c>
      <c r="CH97" s="13" t="e">
        <f t="shared" ca="1" si="956"/>
        <v>#NAME?</v>
      </c>
      <c r="CI97" s="13" t="e">
        <f t="shared" ca="1" si="956"/>
        <v>#NAME?</v>
      </c>
      <c r="CJ97" s="13" t="e">
        <f t="shared" ca="1" si="956"/>
        <v>#NAME?</v>
      </c>
      <c r="CK97" s="13" t="e">
        <f t="shared" ca="1" si="956"/>
        <v>#NAME?</v>
      </c>
      <c r="CL97" s="13" t="e">
        <f t="shared" ca="1" si="956"/>
        <v>#NAME?</v>
      </c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E97" s="134"/>
      <c r="DF97" s="13">
        <v>51.210242533876574</v>
      </c>
    </row>
    <row r="98" spans="1:110" s="98" customFormat="1" hidden="1" outlineLevel="1" x14ac:dyDescent="0.2">
      <c r="A98" s="98" t="s">
        <v>426</v>
      </c>
      <c r="AB98" s="99"/>
      <c r="AC98" s="99"/>
      <c r="AD98" s="99"/>
      <c r="AE98" s="99"/>
      <c r="AL98" s="175"/>
      <c r="AM98" s="175"/>
      <c r="AN98" s="175"/>
      <c r="AO98" s="175" t="e">
        <f t="shared" ref="AO98:CI98" ca="1" si="957">+CORREL(AL77:AO77,AL94:AO94)</f>
        <v>#NAME?</v>
      </c>
      <c r="AP98" s="175" t="e">
        <f t="shared" ca="1" si="957"/>
        <v>#NAME?</v>
      </c>
      <c r="AQ98" s="175" t="e">
        <f t="shared" ca="1" si="957"/>
        <v>#NAME?</v>
      </c>
      <c r="AR98" s="175" t="e">
        <f t="shared" ca="1" si="957"/>
        <v>#NAME?</v>
      </c>
      <c r="AS98" s="175" t="e">
        <f t="shared" ca="1" si="957"/>
        <v>#NAME?</v>
      </c>
      <c r="AT98" s="175" t="e">
        <f t="shared" ca="1" si="957"/>
        <v>#NAME?</v>
      </c>
      <c r="AU98" s="175" t="e">
        <f t="shared" ca="1" si="957"/>
        <v>#NAME?</v>
      </c>
      <c r="AV98" s="175" t="e">
        <f t="shared" ca="1" si="957"/>
        <v>#NAME?</v>
      </c>
      <c r="AW98" s="175" t="e">
        <f t="shared" ca="1" si="957"/>
        <v>#NAME?</v>
      </c>
      <c r="AX98" s="175" t="e">
        <f t="shared" ca="1" si="957"/>
        <v>#NAME?</v>
      </c>
      <c r="AY98" s="175" t="e">
        <f t="shared" ca="1" si="957"/>
        <v>#NAME?</v>
      </c>
      <c r="AZ98" s="175" t="e">
        <f t="shared" ca="1" si="957"/>
        <v>#NAME?</v>
      </c>
      <c r="BA98" s="175" t="e">
        <f t="shared" ca="1" si="957"/>
        <v>#NAME?</v>
      </c>
      <c r="BB98" s="175" t="e">
        <f t="shared" ca="1" si="957"/>
        <v>#NAME?</v>
      </c>
      <c r="BC98" s="175" t="e">
        <f t="shared" ca="1" si="957"/>
        <v>#NAME?</v>
      </c>
      <c r="BD98" s="175" t="e">
        <f t="shared" ca="1" si="957"/>
        <v>#NAME?</v>
      </c>
      <c r="BE98" s="175" t="e">
        <f t="shared" ca="1" si="957"/>
        <v>#NAME?</v>
      </c>
      <c r="BF98" s="175" t="e">
        <f t="shared" ca="1" si="957"/>
        <v>#NAME?</v>
      </c>
      <c r="BG98" s="175" t="e">
        <f t="shared" ca="1" si="957"/>
        <v>#NAME?</v>
      </c>
      <c r="BH98" s="175" t="e">
        <f t="shared" ca="1" si="957"/>
        <v>#NAME?</v>
      </c>
      <c r="BI98" s="175" t="e">
        <f t="shared" ca="1" si="957"/>
        <v>#NAME?</v>
      </c>
      <c r="BJ98" s="175" t="e">
        <f t="shared" ca="1" si="957"/>
        <v>#NAME?</v>
      </c>
      <c r="BK98" s="175" t="e">
        <f t="shared" ca="1" si="957"/>
        <v>#NAME?</v>
      </c>
      <c r="BL98" s="175" t="e">
        <f t="shared" ca="1" si="957"/>
        <v>#NAME?</v>
      </c>
      <c r="BM98" s="175" t="e">
        <f t="shared" ca="1" si="957"/>
        <v>#NAME?</v>
      </c>
      <c r="BN98" s="175" t="e">
        <f t="shared" ca="1" si="957"/>
        <v>#NAME?</v>
      </c>
      <c r="BO98" s="175" t="e">
        <f t="shared" ca="1" si="957"/>
        <v>#NAME?</v>
      </c>
      <c r="BP98" s="175" t="e">
        <f t="shared" ca="1" si="957"/>
        <v>#NAME?</v>
      </c>
      <c r="BQ98" s="175" t="e">
        <f t="shared" ca="1" si="957"/>
        <v>#NAME?</v>
      </c>
      <c r="BR98" s="175" t="e">
        <f t="shared" ca="1" si="957"/>
        <v>#NAME?</v>
      </c>
      <c r="BS98" s="175" t="e">
        <f t="shared" ca="1" si="957"/>
        <v>#NAME?</v>
      </c>
      <c r="BT98" s="175" t="e">
        <f t="shared" ca="1" si="957"/>
        <v>#NAME?</v>
      </c>
      <c r="BU98" s="175" t="e">
        <f t="shared" ca="1" si="957"/>
        <v>#NAME?</v>
      </c>
      <c r="BV98" s="175" t="e">
        <f t="shared" ca="1" si="957"/>
        <v>#NAME?</v>
      </c>
      <c r="BW98" s="175" t="e">
        <f t="shared" ca="1" si="957"/>
        <v>#NAME?</v>
      </c>
      <c r="BX98" s="175" t="e">
        <f t="shared" ca="1" si="957"/>
        <v>#NAME?</v>
      </c>
      <c r="BY98" s="175" t="e">
        <f t="shared" ca="1" si="957"/>
        <v>#NAME?</v>
      </c>
      <c r="BZ98" s="175" t="e">
        <f t="shared" ca="1" si="957"/>
        <v>#NAME?</v>
      </c>
      <c r="CA98" s="175" t="e">
        <f t="shared" ca="1" si="957"/>
        <v>#NAME?</v>
      </c>
      <c r="CB98" s="175" t="e">
        <f t="shared" ca="1" si="957"/>
        <v>#NAME?</v>
      </c>
      <c r="CC98" s="175" t="e">
        <f t="shared" ca="1" si="957"/>
        <v>#NAME?</v>
      </c>
      <c r="CD98" s="175" t="e">
        <f t="shared" ca="1" si="957"/>
        <v>#NAME?</v>
      </c>
      <c r="CE98" s="175" t="e">
        <f t="shared" ca="1" si="957"/>
        <v>#NAME?</v>
      </c>
      <c r="CF98" s="175" t="e">
        <f t="shared" ca="1" si="957"/>
        <v>#NAME?</v>
      </c>
      <c r="CG98" s="175" t="e">
        <f t="shared" ca="1" si="957"/>
        <v>#NAME?</v>
      </c>
      <c r="CH98" s="175" t="e">
        <f t="shared" ca="1" si="957"/>
        <v>#NAME?</v>
      </c>
      <c r="CI98" s="175" t="e">
        <f t="shared" ca="1" si="957"/>
        <v>#NAME?</v>
      </c>
      <c r="CJ98" s="175" t="e">
        <f ca="1">+CORREL(CG77:CJ77,CG94:CJ94)</f>
        <v>#NAME?</v>
      </c>
      <c r="CK98" s="175" t="e">
        <f ca="1">+CORREL(CH77:CK77,CH94:CK94)</f>
        <v>#NAME?</v>
      </c>
      <c r="CL98" s="175" t="e">
        <f ca="1">+CORREL(CI77:CL77,CI94:CL94)</f>
        <v>#NAME?</v>
      </c>
      <c r="CM98" s="99"/>
      <c r="CN98" s="99"/>
      <c r="CO98" s="99"/>
      <c r="CP98" s="99"/>
      <c r="CQ98" s="99"/>
      <c r="CR98" s="99"/>
      <c r="CS98" s="99"/>
      <c r="CT98" s="99"/>
      <c r="CU98" s="99"/>
      <c r="CV98" s="99"/>
      <c r="CW98" s="99"/>
      <c r="CX98" s="99"/>
      <c r="CY98" s="99"/>
      <c r="CZ98" s="99"/>
      <c r="DA98" s="99"/>
      <c r="DB98" s="99"/>
      <c r="DE98" s="137"/>
    </row>
    <row r="99" spans="1:110" s="4" customFormat="1" hidden="1" outlineLevel="1" x14ac:dyDescent="0.2">
      <c r="A99" s="3"/>
      <c r="AB99" s="17"/>
      <c r="AC99" s="17"/>
      <c r="AD99" s="17"/>
      <c r="AE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E99" s="119"/>
    </row>
    <row r="100" spans="1:110" s="162" customFormat="1" hidden="1" outlineLevel="1" x14ac:dyDescent="0.2">
      <c r="A100" s="49" t="s">
        <v>505</v>
      </c>
      <c r="E100" s="162" t="e">
        <f t="shared" ref="E100:AE100" ca="1" si="958">+E$133/E$73</f>
        <v>#NAME?</v>
      </c>
      <c r="F100" s="162" t="e">
        <f t="shared" ca="1" si="958"/>
        <v>#NAME?</v>
      </c>
      <c r="G100" s="162" t="e">
        <f t="shared" ca="1" si="958"/>
        <v>#NAME?</v>
      </c>
      <c r="H100" s="162" t="e">
        <f t="shared" ca="1" si="958"/>
        <v>#NAME?</v>
      </c>
      <c r="I100" s="162" t="e">
        <f t="shared" ca="1" si="958"/>
        <v>#NAME?</v>
      </c>
      <c r="J100" s="162" t="e">
        <f t="shared" ca="1" si="958"/>
        <v>#NAME?</v>
      </c>
      <c r="K100" s="162" t="e">
        <f t="shared" ca="1" si="958"/>
        <v>#NAME?</v>
      </c>
      <c r="L100" s="162" t="e">
        <f t="shared" ca="1" si="958"/>
        <v>#NAME?</v>
      </c>
      <c r="M100" s="162" t="e">
        <f t="shared" ca="1" si="958"/>
        <v>#NAME?</v>
      </c>
      <c r="N100" s="162" t="e">
        <f t="shared" ca="1" si="958"/>
        <v>#NAME?</v>
      </c>
      <c r="O100" s="162" t="e">
        <f t="shared" ca="1" si="958"/>
        <v>#NAME?</v>
      </c>
      <c r="P100" s="162" t="e">
        <f t="shared" ca="1" si="958"/>
        <v>#NAME?</v>
      </c>
      <c r="Q100" s="162" t="e">
        <f t="shared" ca="1" si="958"/>
        <v>#NAME?</v>
      </c>
      <c r="R100" s="162" t="e">
        <f t="shared" ca="1" si="958"/>
        <v>#NAME?</v>
      </c>
      <c r="S100" s="162" t="e">
        <f t="shared" ca="1" si="958"/>
        <v>#NAME?</v>
      </c>
      <c r="T100" s="162" t="e">
        <f t="shared" ca="1" si="958"/>
        <v>#NAME?</v>
      </c>
      <c r="U100" s="162" t="e">
        <f t="shared" ca="1" si="958"/>
        <v>#NAME?</v>
      </c>
      <c r="V100" s="162" t="e">
        <f t="shared" ca="1" si="958"/>
        <v>#NAME?</v>
      </c>
      <c r="W100" s="162" t="e">
        <f t="shared" ca="1" si="958"/>
        <v>#NAME?</v>
      </c>
      <c r="X100" s="162" t="e">
        <f t="shared" ca="1" si="958"/>
        <v>#NAME?</v>
      </c>
      <c r="Y100" s="162" t="e">
        <f t="shared" ca="1" si="958"/>
        <v>#NAME?</v>
      </c>
      <c r="Z100" s="162" t="e">
        <f t="shared" ca="1" si="958"/>
        <v>#NAME?</v>
      </c>
      <c r="AA100" s="162" t="e">
        <f t="shared" ca="1" si="958"/>
        <v>#NAME?</v>
      </c>
      <c r="AB100" s="21" t="e">
        <f t="shared" ca="1" si="958"/>
        <v>#NAME?</v>
      </c>
      <c r="AC100" s="21" t="e">
        <f t="shared" ca="1" si="958"/>
        <v>#NAME?</v>
      </c>
      <c r="AD100" s="21" t="e">
        <f t="shared" ca="1" si="958"/>
        <v>#NAME?</v>
      </c>
      <c r="AE100" s="21" t="e">
        <f t="shared" ca="1" si="958"/>
        <v>#NAME?</v>
      </c>
      <c r="AL100" s="162" t="e">
        <f t="shared" ref="AL100:BQ100" ca="1" si="959">+AL$133/AL$73</f>
        <v>#NAME?</v>
      </c>
      <c r="AM100" s="162" t="e">
        <f t="shared" ca="1" si="959"/>
        <v>#NAME?</v>
      </c>
      <c r="AN100" s="162" t="e">
        <f t="shared" ca="1" si="959"/>
        <v>#NAME?</v>
      </c>
      <c r="AO100" s="162" t="e">
        <f t="shared" ca="1" si="959"/>
        <v>#NAME?</v>
      </c>
      <c r="AP100" s="162" t="e">
        <f t="shared" ca="1" si="959"/>
        <v>#NAME?</v>
      </c>
      <c r="AQ100" s="162" t="e">
        <f t="shared" ca="1" si="959"/>
        <v>#NAME?</v>
      </c>
      <c r="AR100" s="162" t="e">
        <f t="shared" ca="1" si="959"/>
        <v>#NAME?</v>
      </c>
      <c r="AS100" s="162" t="e">
        <f t="shared" ca="1" si="959"/>
        <v>#NAME?</v>
      </c>
      <c r="AT100" s="162" t="e">
        <f t="shared" ca="1" si="959"/>
        <v>#NAME?</v>
      </c>
      <c r="AU100" s="162" t="e">
        <f t="shared" ca="1" si="959"/>
        <v>#NAME?</v>
      </c>
      <c r="AV100" s="162" t="e">
        <f t="shared" ca="1" si="959"/>
        <v>#NAME?</v>
      </c>
      <c r="AW100" s="162" t="e">
        <f t="shared" ca="1" si="959"/>
        <v>#NAME?</v>
      </c>
      <c r="AX100" s="162" t="e">
        <f t="shared" ca="1" si="959"/>
        <v>#NAME?</v>
      </c>
      <c r="AY100" s="162" t="e">
        <f t="shared" ca="1" si="959"/>
        <v>#NAME?</v>
      </c>
      <c r="AZ100" s="162" t="e">
        <f t="shared" ca="1" si="959"/>
        <v>#NAME?</v>
      </c>
      <c r="BA100" s="162" t="e">
        <f t="shared" ca="1" si="959"/>
        <v>#NAME?</v>
      </c>
      <c r="BB100" s="162" t="e">
        <f t="shared" ca="1" si="959"/>
        <v>#NAME?</v>
      </c>
      <c r="BC100" s="162" t="e">
        <f t="shared" ca="1" si="959"/>
        <v>#NAME?</v>
      </c>
      <c r="BD100" s="162" t="e">
        <f t="shared" ca="1" si="959"/>
        <v>#NAME?</v>
      </c>
      <c r="BE100" s="162" t="e">
        <f t="shared" ca="1" si="959"/>
        <v>#NAME?</v>
      </c>
      <c r="BF100" s="162" t="e">
        <f t="shared" ca="1" si="959"/>
        <v>#NAME?</v>
      </c>
      <c r="BG100" s="162" t="e">
        <f t="shared" ca="1" si="959"/>
        <v>#NAME?</v>
      </c>
      <c r="BH100" s="162" t="e">
        <f t="shared" ca="1" si="959"/>
        <v>#NAME?</v>
      </c>
      <c r="BI100" s="162" t="e">
        <f t="shared" ca="1" si="959"/>
        <v>#NAME?</v>
      </c>
      <c r="BJ100" s="162" t="e">
        <f t="shared" ca="1" si="959"/>
        <v>#NAME?</v>
      </c>
      <c r="BK100" s="162" t="e">
        <f t="shared" ca="1" si="959"/>
        <v>#NAME?</v>
      </c>
      <c r="BL100" s="162" t="e">
        <f t="shared" ca="1" si="959"/>
        <v>#NAME?</v>
      </c>
      <c r="BM100" s="162" t="e">
        <f t="shared" ca="1" si="959"/>
        <v>#NAME?</v>
      </c>
      <c r="BN100" s="162" t="e">
        <f t="shared" ca="1" si="959"/>
        <v>#NAME?</v>
      </c>
      <c r="BO100" s="162" t="e">
        <f t="shared" ca="1" si="959"/>
        <v>#NAME?</v>
      </c>
      <c r="BP100" s="162" t="e">
        <f t="shared" ca="1" si="959"/>
        <v>#NAME?</v>
      </c>
      <c r="BQ100" s="162" t="e">
        <f t="shared" ca="1" si="959"/>
        <v>#NAME?</v>
      </c>
      <c r="BR100" s="162" t="e">
        <f t="shared" ref="BR100:DB100" ca="1" si="960">+BR$133/BR$73</f>
        <v>#NAME?</v>
      </c>
      <c r="BS100" s="162" t="e">
        <f t="shared" ca="1" si="960"/>
        <v>#NAME?</v>
      </c>
      <c r="BT100" s="162" t="e">
        <f t="shared" ca="1" si="960"/>
        <v>#NAME?</v>
      </c>
      <c r="BU100" s="162" t="e">
        <f t="shared" ca="1" si="960"/>
        <v>#NAME?</v>
      </c>
      <c r="BV100" s="162" t="e">
        <f t="shared" ca="1" si="960"/>
        <v>#NAME?</v>
      </c>
      <c r="BW100" s="162" t="e">
        <f t="shared" ca="1" si="960"/>
        <v>#NAME?</v>
      </c>
      <c r="BX100" s="162" t="e">
        <f t="shared" ca="1" si="960"/>
        <v>#NAME?</v>
      </c>
      <c r="BY100" s="162" t="e">
        <f t="shared" ca="1" si="960"/>
        <v>#NAME?</v>
      </c>
      <c r="BZ100" s="162" t="e">
        <f t="shared" ca="1" si="960"/>
        <v>#NAME?</v>
      </c>
      <c r="CA100" s="162" t="e">
        <f t="shared" ca="1" si="960"/>
        <v>#NAME?</v>
      </c>
      <c r="CB100" s="162" t="e">
        <f t="shared" ca="1" si="960"/>
        <v>#NAME?</v>
      </c>
      <c r="CC100" s="162" t="e">
        <f t="shared" ca="1" si="960"/>
        <v>#NAME?</v>
      </c>
      <c r="CD100" s="162" t="e">
        <f t="shared" ca="1" si="960"/>
        <v>#NAME?</v>
      </c>
      <c r="CE100" s="162" t="e">
        <f t="shared" ca="1" si="960"/>
        <v>#NAME?</v>
      </c>
      <c r="CF100" s="162" t="e">
        <f t="shared" ca="1" si="960"/>
        <v>#NAME?</v>
      </c>
      <c r="CG100" s="162" t="e">
        <f t="shared" ca="1" si="960"/>
        <v>#NAME?</v>
      </c>
      <c r="CH100" s="162" t="e">
        <f t="shared" ca="1" si="960"/>
        <v>#NAME?</v>
      </c>
      <c r="CI100" s="162" t="e">
        <f t="shared" ca="1" si="960"/>
        <v>#NAME?</v>
      </c>
      <c r="CJ100" s="162" t="e">
        <f t="shared" ca="1" si="960"/>
        <v>#NAME?</v>
      </c>
      <c r="CK100" s="162" t="e">
        <f t="shared" ca="1" si="960"/>
        <v>#NAME?</v>
      </c>
      <c r="CL100" s="162" t="e">
        <f t="shared" ca="1" si="960"/>
        <v>#NAME?</v>
      </c>
      <c r="CM100" s="21" t="e">
        <f t="shared" ca="1" si="960"/>
        <v>#NAME?</v>
      </c>
      <c r="CN100" s="21" t="e">
        <f t="shared" ca="1" si="960"/>
        <v>#NAME?</v>
      </c>
      <c r="CO100" s="21" t="e">
        <f t="shared" ca="1" si="960"/>
        <v>#NAME?</v>
      </c>
      <c r="CP100" s="21" t="e">
        <f t="shared" ca="1" si="960"/>
        <v>#NAME?</v>
      </c>
      <c r="CQ100" s="21" t="e">
        <f t="shared" ca="1" si="960"/>
        <v>#NAME?</v>
      </c>
      <c r="CR100" s="21" t="e">
        <f t="shared" ca="1" si="960"/>
        <v>#NAME?</v>
      </c>
      <c r="CS100" s="21" t="e">
        <f t="shared" ca="1" si="960"/>
        <v>#NAME?</v>
      </c>
      <c r="CT100" s="21" t="e">
        <f t="shared" ca="1" si="960"/>
        <v>#NAME?</v>
      </c>
      <c r="CU100" s="21" t="e">
        <f t="shared" ca="1" si="960"/>
        <v>#NAME?</v>
      </c>
      <c r="CV100" s="21" t="e">
        <f t="shared" ca="1" si="960"/>
        <v>#NAME?</v>
      </c>
      <c r="CW100" s="21" t="e">
        <f t="shared" ca="1" si="960"/>
        <v>#NAME?</v>
      </c>
      <c r="CX100" s="21" t="e">
        <f t="shared" ca="1" si="960"/>
        <v>#NAME?</v>
      </c>
      <c r="CY100" s="21" t="e">
        <f t="shared" ca="1" si="960"/>
        <v>#NAME?</v>
      </c>
      <c r="CZ100" s="21" t="e">
        <f t="shared" ca="1" si="960"/>
        <v>#NAME?</v>
      </c>
      <c r="DA100" s="21" t="e">
        <f t="shared" ca="1" si="960"/>
        <v>#NAME?</v>
      </c>
      <c r="DB100" s="21" t="e">
        <f t="shared" ca="1" si="960"/>
        <v>#NAME?</v>
      </c>
      <c r="DE100" s="22"/>
      <c r="DF100" s="162">
        <v>240.09758071041347</v>
      </c>
    </row>
    <row r="101" spans="1:110" s="162" customFormat="1" hidden="1" outlineLevel="1" x14ac:dyDescent="0.2">
      <c r="A101" s="49" t="s">
        <v>501</v>
      </c>
      <c r="AB101" s="21"/>
      <c r="AC101" s="21"/>
      <c r="AD101" s="21"/>
      <c r="AE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E101" s="22"/>
    </row>
    <row r="102" spans="1:110" s="162" customFormat="1" hidden="1" outlineLevel="1" x14ac:dyDescent="0.2">
      <c r="A102" s="49" t="s">
        <v>502</v>
      </c>
      <c r="E102" s="162" t="e">
        <f t="shared" ref="E102:AE104" ca="1" si="961">+E85/E$100</f>
        <v>#NAME?</v>
      </c>
      <c r="F102" s="162" t="e">
        <f t="shared" ca="1" si="961"/>
        <v>#NAME?</v>
      </c>
      <c r="G102" s="162" t="e">
        <f t="shared" ca="1" si="961"/>
        <v>#NAME?</v>
      </c>
      <c r="H102" s="162" t="e">
        <f t="shared" ca="1" si="961"/>
        <v>#NAME?</v>
      </c>
      <c r="I102" s="162" t="e">
        <f t="shared" ca="1" si="961"/>
        <v>#NAME?</v>
      </c>
      <c r="J102" s="162" t="e">
        <f t="shared" ca="1" si="961"/>
        <v>#NAME?</v>
      </c>
      <c r="K102" s="162" t="e">
        <f t="shared" ca="1" si="961"/>
        <v>#NAME?</v>
      </c>
      <c r="L102" s="162" t="e">
        <f t="shared" ca="1" si="961"/>
        <v>#NAME?</v>
      </c>
      <c r="M102" s="162" t="e">
        <f t="shared" ca="1" si="961"/>
        <v>#NAME?</v>
      </c>
      <c r="N102" s="162" t="e">
        <f t="shared" ca="1" si="961"/>
        <v>#NAME?</v>
      </c>
      <c r="O102" s="162" t="e">
        <f t="shared" ca="1" si="961"/>
        <v>#NAME?</v>
      </c>
      <c r="P102" s="162" t="e">
        <f t="shared" ca="1" si="961"/>
        <v>#NAME?</v>
      </c>
      <c r="Q102" s="162" t="e">
        <f t="shared" ca="1" si="961"/>
        <v>#NAME?</v>
      </c>
      <c r="R102" s="162" t="e">
        <f t="shared" ca="1" si="961"/>
        <v>#NAME?</v>
      </c>
      <c r="S102" s="162" t="e">
        <f t="shared" ca="1" si="961"/>
        <v>#NAME?</v>
      </c>
      <c r="T102" s="162" t="e">
        <f t="shared" ca="1" si="961"/>
        <v>#NAME?</v>
      </c>
      <c r="U102" s="162" t="e">
        <f t="shared" ca="1" si="961"/>
        <v>#NAME?</v>
      </c>
      <c r="V102" s="162" t="e">
        <f t="shared" ca="1" si="961"/>
        <v>#NAME?</v>
      </c>
      <c r="W102" s="162" t="e">
        <f t="shared" ca="1" si="961"/>
        <v>#NAME?</v>
      </c>
      <c r="X102" s="162" t="e">
        <f t="shared" ca="1" si="961"/>
        <v>#NAME?</v>
      </c>
      <c r="Y102" s="162" t="e">
        <f t="shared" ca="1" si="961"/>
        <v>#NAME?</v>
      </c>
      <c r="Z102" s="162" t="e">
        <f t="shared" ca="1" si="961"/>
        <v>#NAME?</v>
      </c>
      <c r="AA102" s="162" t="e">
        <f t="shared" ref="AA102" ca="1" si="962">+AA85/AA$100</f>
        <v>#NAME?</v>
      </c>
      <c r="AB102" s="21" t="e">
        <f t="shared" ca="1" si="961"/>
        <v>#NAME?</v>
      </c>
      <c r="AC102" s="21" t="e">
        <f t="shared" ca="1" si="961"/>
        <v>#NAME?</v>
      </c>
      <c r="AD102" s="21" t="e">
        <f t="shared" ca="1" si="961"/>
        <v>#NAME?</v>
      </c>
      <c r="AE102" s="21" t="e">
        <f t="shared" ca="1" si="961"/>
        <v>#NAME?</v>
      </c>
      <c r="AL102" s="162" t="e">
        <f t="shared" ref="AL102:CI104" ca="1" si="963">+AL85/AL$100</f>
        <v>#NAME?</v>
      </c>
      <c r="AM102" s="162" t="e">
        <f t="shared" ca="1" si="963"/>
        <v>#NAME?</v>
      </c>
      <c r="AN102" s="162" t="e">
        <f t="shared" ca="1" si="963"/>
        <v>#NAME?</v>
      </c>
      <c r="AO102" s="162" t="e">
        <f t="shared" ca="1" si="963"/>
        <v>#NAME?</v>
      </c>
      <c r="AP102" s="162" t="e">
        <f t="shared" ca="1" si="963"/>
        <v>#NAME?</v>
      </c>
      <c r="AQ102" s="162" t="e">
        <f t="shared" ca="1" si="963"/>
        <v>#NAME?</v>
      </c>
      <c r="AR102" s="162" t="e">
        <f t="shared" ca="1" si="963"/>
        <v>#NAME?</v>
      </c>
      <c r="AS102" s="162" t="e">
        <f t="shared" ca="1" si="963"/>
        <v>#NAME?</v>
      </c>
      <c r="AT102" s="162" t="e">
        <f t="shared" ca="1" si="963"/>
        <v>#NAME?</v>
      </c>
      <c r="AU102" s="162" t="e">
        <f t="shared" ca="1" si="963"/>
        <v>#NAME?</v>
      </c>
      <c r="AV102" s="162" t="e">
        <f t="shared" ca="1" si="963"/>
        <v>#NAME?</v>
      </c>
      <c r="AW102" s="162" t="e">
        <f t="shared" ca="1" si="963"/>
        <v>#NAME?</v>
      </c>
      <c r="AX102" s="162" t="e">
        <f t="shared" ca="1" si="963"/>
        <v>#NAME?</v>
      </c>
      <c r="AY102" s="162" t="e">
        <f t="shared" ca="1" si="963"/>
        <v>#NAME?</v>
      </c>
      <c r="AZ102" s="162" t="e">
        <f t="shared" ca="1" si="963"/>
        <v>#NAME?</v>
      </c>
      <c r="BA102" s="162" t="e">
        <f t="shared" ca="1" si="963"/>
        <v>#NAME?</v>
      </c>
      <c r="BB102" s="162" t="e">
        <f t="shared" ca="1" si="963"/>
        <v>#NAME?</v>
      </c>
      <c r="BC102" s="162" t="e">
        <f t="shared" ca="1" si="963"/>
        <v>#NAME?</v>
      </c>
      <c r="BD102" s="162" t="e">
        <f t="shared" ca="1" si="963"/>
        <v>#NAME?</v>
      </c>
      <c r="BE102" s="162" t="e">
        <f t="shared" ca="1" si="963"/>
        <v>#NAME?</v>
      </c>
      <c r="BF102" s="162" t="e">
        <f t="shared" ca="1" si="963"/>
        <v>#NAME?</v>
      </c>
      <c r="BG102" s="162" t="e">
        <f t="shared" ca="1" si="963"/>
        <v>#NAME?</v>
      </c>
      <c r="BH102" s="162" t="e">
        <f t="shared" ca="1" si="963"/>
        <v>#NAME?</v>
      </c>
      <c r="BI102" s="162" t="e">
        <f t="shared" ca="1" si="963"/>
        <v>#NAME?</v>
      </c>
      <c r="BJ102" s="162" t="e">
        <f t="shared" ca="1" si="963"/>
        <v>#NAME?</v>
      </c>
      <c r="BK102" s="162" t="e">
        <f t="shared" ca="1" si="963"/>
        <v>#NAME?</v>
      </c>
      <c r="BL102" s="162" t="e">
        <f t="shared" ca="1" si="963"/>
        <v>#NAME?</v>
      </c>
      <c r="BM102" s="162" t="e">
        <f t="shared" ca="1" si="963"/>
        <v>#NAME?</v>
      </c>
      <c r="BN102" s="162" t="e">
        <f t="shared" ca="1" si="963"/>
        <v>#NAME?</v>
      </c>
      <c r="BO102" s="162" t="e">
        <f t="shared" ca="1" si="963"/>
        <v>#NAME?</v>
      </c>
      <c r="BP102" s="162" t="e">
        <f t="shared" ca="1" si="963"/>
        <v>#NAME?</v>
      </c>
      <c r="BQ102" s="162" t="e">
        <f t="shared" ca="1" si="963"/>
        <v>#NAME?</v>
      </c>
      <c r="BR102" s="162" t="e">
        <f t="shared" ca="1" si="963"/>
        <v>#NAME?</v>
      </c>
      <c r="BS102" s="162" t="e">
        <f t="shared" ca="1" si="963"/>
        <v>#NAME?</v>
      </c>
      <c r="BT102" s="162" t="e">
        <f t="shared" ca="1" si="963"/>
        <v>#NAME?</v>
      </c>
      <c r="BU102" s="162" t="e">
        <f t="shared" ca="1" si="963"/>
        <v>#NAME?</v>
      </c>
      <c r="BV102" s="162" t="e">
        <f t="shared" ca="1" si="963"/>
        <v>#NAME?</v>
      </c>
      <c r="BW102" s="162" t="e">
        <f t="shared" ca="1" si="963"/>
        <v>#NAME?</v>
      </c>
      <c r="BX102" s="162" t="e">
        <f t="shared" ca="1" si="963"/>
        <v>#NAME?</v>
      </c>
      <c r="BY102" s="162" t="e">
        <f t="shared" ca="1" si="963"/>
        <v>#NAME?</v>
      </c>
      <c r="BZ102" s="162" t="e">
        <f t="shared" ca="1" si="963"/>
        <v>#NAME?</v>
      </c>
      <c r="CA102" s="162" t="e">
        <f t="shared" ca="1" si="963"/>
        <v>#NAME?</v>
      </c>
      <c r="CB102" s="162" t="e">
        <f t="shared" ca="1" si="963"/>
        <v>#NAME?</v>
      </c>
      <c r="CC102" s="162" t="e">
        <f t="shared" ca="1" si="963"/>
        <v>#NAME?</v>
      </c>
      <c r="CD102" s="162" t="e">
        <f t="shared" ca="1" si="963"/>
        <v>#NAME?</v>
      </c>
      <c r="CE102" s="162" t="e">
        <f t="shared" ca="1" si="963"/>
        <v>#NAME?</v>
      </c>
      <c r="CF102" s="162" t="e">
        <f t="shared" ca="1" si="963"/>
        <v>#NAME?</v>
      </c>
      <c r="CG102" s="162" t="e">
        <f t="shared" ca="1" si="963"/>
        <v>#NAME?</v>
      </c>
      <c r="CH102" s="162" t="e">
        <f t="shared" ca="1" si="963"/>
        <v>#NAME?</v>
      </c>
      <c r="CI102" s="162" t="e">
        <f t="shared" ca="1" si="963"/>
        <v>#NAME?</v>
      </c>
      <c r="CJ102" s="162" t="e">
        <f ca="1">+CJ85/CJ$100</f>
        <v>#NAME?</v>
      </c>
      <c r="CK102" s="162" t="e">
        <f ca="1">+CK85/CK$100</f>
        <v>#NAME?</v>
      </c>
      <c r="CL102" s="162" t="e">
        <f ca="1">+CL85/CL$100</f>
        <v>#NAME?</v>
      </c>
      <c r="CM102" s="21" t="e">
        <f t="shared" ref="CM102:DB102" ca="1" si="964">+CM85/CM$100</f>
        <v>#NAME?</v>
      </c>
      <c r="CN102" s="21" t="e">
        <f t="shared" ca="1" si="964"/>
        <v>#NAME?</v>
      </c>
      <c r="CO102" s="21" t="e">
        <f t="shared" ca="1" si="964"/>
        <v>#NAME?</v>
      </c>
      <c r="CP102" s="21" t="e">
        <f t="shared" ca="1" si="964"/>
        <v>#NAME?</v>
      </c>
      <c r="CQ102" s="21" t="e">
        <f t="shared" ca="1" si="964"/>
        <v>#NAME?</v>
      </c>
      <c r="CR102" s="21" t="e">
        <f t="shared" ca="1" si="964"/>
        <v>#NAME?</v>
      </c>
      <c r="CS102" s="21" t="e">
        <f t="shared" ca="1" si="964"/>
        <v>#NAME?</v>
      </c>
      <c r="CT102" s="21" t="e">
        <f t="shared" ca="1" si="964"/>
        <v>#NAME?</v>
      </c>
      <c r="CU102" s="21" t="e">
        <f t="shared" ca="1" si="964"/>
        <v>#NAME?</v>
      </c>
      <c r="CV102" s="21" t="e">
        <f t="shared" ca="1" si="964"/>
        <v>#NAME?</v>
      </c>
      <c r="CW102" s="21" t="e">
        <f t="shared" ca="1" si="964"/>
        <v>#NAME?</v>
      </c>
      <c r="CX102" s="21" t="e">
        <f t="shared" ca="1" si="964"/>
        <v>#NAME?</v>
      </c>
      <c r="CY102" s="21" t="e">
        <f t="shared" ca="1" si="964"/>
        <v>#NAME?</v>
      </c>
      <c r="CZ102" s="21" t="e">
        <f t="shared" ca="1" si="964"/>
        <v>#NAME?</v>
      </c>
      <c r="DA102" s="21" t="e">
        <f t="shared" ca="1" si="964"/>
        <v>#NAME?</v>
      </c>
      <c r="DB102" s="21" t="e">
        <f t="shared" ca="1" si="964"/>
        <v>#NAME?</v>
      </c>
      <c r="DE102" s="22"/>
      <c r="DF102" s="162">
        <v>1.6697377741741328</v>
      </c>
    </row>
    <row r="103" spans="1:110" s="162" customFormat="1" hidden="1" outlineLevel="1" x14ac:dyDescent="0.2">
      <c r="A103" s="49" t="s">
        <v>503</v>
      </c>
      <c r="E103" s="162" t="e">
        <f t="shared" ca="1" si="961"/>
        <v>#NAME?</v>
      </c>
      <c r="F103" s="162" t="e">
        <f t="shared" ca="1" si="961"/>
        <v>#NAME?</v>
      </c>
      <c r="G103" s="162" t="e">
        <f t="shared" ca="1" si="961"/>
        <v>#NAME?</v>
      </c>
      <c r="H103" s="162" t="e">
        <f t="shared" ca="1" si="961"/>
        <v>#NAME?</v>
      </c>
      <c r="I103" s="162" t="e">
        <f t="shared" ca="1" si="961"/>
        <v>#NAME?</v>
      </c>
      <c r="J103" s="162" t="e">
        <f t="shared" ca="1" si="961"/>
        <v>#NAME?</v>
      </c>
      <c r="K103" s="162" t="e">
        <f t="shared" ca="1" si="961"/>
        <v>#NAME?</v>
      </c>
      <c r="L103" s="162" t="e">
        <f t="shared" ca="1" si="961"/>
        <v>#NAME?</v>
      </c>
      <c r="M103" s="162" t="e">
        <f t="shared" ca="1" si="961"/>
        <v>#NAME?</v>
      </c>
      <c r="N103" s="162" t="e">
        <f t="shared" ca="1" si="961"/>
        <v>#NAME?</v>
      </c>
      <c r="O103" s="162" t="e">
        <f t="shared" ca="1" si="961"/>
        <v>#NAME?</v>
      </c>
      <c r="P103" s="162" t="e">
        <f t="shared" ca="1" si="961"/>
        <v>#NAME?</v>
      </c>
      <c r="Q103" s="162" t="e">
        <f t="shared" ca="1" si="961"/>
        <v>#NAME?</v>
      </c>
      <c r="R103" s="162" t="e">
        <f t="shared" ca="1" si="961"/>
        <v>#NAME?</v>
      </c>
      <c r="S103" s="162" t="e">
        <f t="shared" ca="1" si="961"/>
        <v>#NAME?</v>
      </c>
      <c r="T103" s="162" t="e">
        <f t="shared" ca="1" si="961"/>
        <v>#NAME?</v>
      </c>
      <c r="U103" s="162" t="e">
        <f t="shared" ca="1" si="961"/>
        <v>#NAME?</v>
      </c>
      <c r="V103" s="162" t="e">
        <f t="shared" ca="1" si="961"/>
        <v>#NAME?</v>
      </c>
      <c r="W103" s="162" t="e">
        <f t="shared" ca="1" si="961"/>
        <v>#NAME?</v>
      </c>
      <c r="X103" s="162" t="e">
        <f t="shared" ca="1" si="961"/>
        <v>#NAME?</v>
      </c>
      <c r="Y103" s="162" t="e">
        <f t="shared" ca="1" si="961"/>
        <v>#NAME?</v>
      </c>
      <c r="Z103" s="162" t="e">
        <f t="shared" ca="1" si="961"/>
        <v>#NAME?</v>
      </c>
      <c r="AA103" s="162" t="e">
        <f t="shared" ref="AA103" ca="1" si="965">+AA86/AA$100</f>
        <v>#NAME?</v>
      </c>
      <c r="AB103" s="21" t="e">
        <f t="shared" ca="1" si="961"/>
        <v>#NAME?</v>
      </c>
      <c r="AC103" s="21" t="e">
        <f t="shared" ca="1" si="961"/>
        <v>#NAME?</v>
      </c>
      <c r="AD103" s="21" t="e">
        <f t="shared" ca="1" si="961"/>
        <v>#NAME?</v>
      </c>
      <c r="AE103" s="21" t="e">
        <f t="shared" ca="1" si="961"/>
        <v>#NAME?</v>
      </c>
      <c r="AL103" s="162" t="e">
        <f t="shared" ca="1" si="963"/>
        <v>#NAME?</v>
      </c>
      <c r="AM103" s="162" t="e">
        <f t="shared" ca="1" si="963"/>
        <v>#NAME?</v>
      </c>
      <c r="AN103" s="162" t="e">
        <f t="shared" ca="1" si="963"/>
        <v>#NAME?</v>
      </c>
      <c r="AO103" s="162" t="e">
        <f t="shared" ca="1" si="963"/>
        <v>#NAME?</v>
      </c>
      <c r="AP103" s="162" t="e">
        <f t="shared" ca="1" si="963"/>
        <v>#NAME?</v>
      </c>
      <c r="AQ103" s="162" t="e">
        <f t="shared" ca="1" si="963"/>
        <v>#NAME?</v>
      </c>
      <c r="AR103" s="162" t="e">
        <f t="shared" ca="1" si="963"/>
        <v>#NAME?</v>
      </c>
      <c r="AS103" s="162" t="e">
        <f t="shared" ca="1" si="963"/>
        <v>#NAME?</v>
      </c>
      <c r="AT103" s="162" t="e">
        <f t="shared" ca="1" si="963"/>
        <v>#NAME?</v>
      </c>
      <c r="AU103" s="162" t="e">
        <f t="shared" ca="1" si="963"/>
        <v>#NAME?</v>
      </c>
      <c r="AV103" s="162" t="e">
        <f t="shared" ca="1" si="963"/>
        <v>#NAME?</v>
      </c>
      <c r="AW103" s="162" t="e">
        <f t="shared" ca="1" si="963"/>
        <v>#NAME?</v>
      </c>
      <c r="AX103" s="162" t="e">
        <f t="shared" ca="1" si="963"/>
        <v>#NAME?</v>
      </c>
      <c r="AY103" s="162" t="e">
        <f t="shared" ca="1" si="963"/>
        <v>#NAME?</v>
      </c>
      <c r="AZ103" s="162" t="e">
        <f t="shared" ca="1" si="963"/>
        <v>#NAME?</v>
      </c>
      <c r="BA103" s="162" t="e">
        <f t="shared" ca="1" si="963"/>
        <v>#NAME?</v>
      </c>
      <c r="BB103" s="162" t="e">
        <f t="shared" ca="1" si="963"/>
        <v>#NAME?</v>
      </c>
      <c r="BC103" s="162" t="e">
        <f t="shared" ca="1" si="963"/>
        <v>#NAME?</v>
      </c>
      <c r="BD103" s="162" t="e">
        <f t="shared" ca="1" si="963"/>
        <v>#NAME?</v>
      </c>
      <c r="BE103" s="162" t="e">
        <f t="shared" ca="1" si="963"/>
        <v>#NAME?</v>
      </c>
      <c r="BF103" s="162" t="e">
        <f t="shared" ca="1" si="963"/>
        <v>#NAME?</v>
      </c>
      <c r="BG103" s="162" t="e">
        <f t="shared" ca="1" si="963"/>
        <v>#NAME?</v>
      </c>
      <c r="BH103" s="162" t="e">
        <f t="shared" ca="1" si="963"/>
        <v>#NAME?</v>
      </c>
      <c r="BI103" s="162" t="e">
        <f t="shared" ca="1" si="963"/>
        <v>#NAME?</v>
      </c>
      <c r="BJ103" s="162" t="e">
        <f t="shared" ca="1" si="963"/>
        <v>#NAME?</v>
      </c>
      <c r="BK103" s="162" t="e">
        <f t="shared" ca="1" si="963"/>
        <v>#NAME?</v>
      </c>
      <c r="BL103" s="162" t="e">
        <f t="shared" ca="1" si="963"/>
        <v>#NAME?</v>
      </c>
      <c r="BM103" s="162" t="e">
        <f t="shared" ca="1" si="963"/>
        <v>#NAME?</v>
      </c>
      <c r="BN103" s="162" t="e">
        <f t="shared" ca="1" si="963"/>
        <v>#NAME?</v>
      </c>
      <c r="BO103" s="162" t="e">
        <f t="shared" ca="1" si="963"/>
        <v>#NAME?</v>
      </c>
      <c r="BP103" s="162" t="e">
        <f t="shared" ca="1" si="963"/>
        <v>#NAME?</v>
      </c>
      <c r="BQ103" s="162" t="e">
        <f t="shared" ca="1" si="963"/>
        <v>#NAME?</v>
      </c>
      <c r="BR103" s="162" t="e">
        <f t="shared" ca="1" si="963"/>
        <v>#NAME?</v>
      </c>
      <c r="BS103" s="162" t="e">
        <f t="shared" ca="1" si="963"/>
        <v>#NAME?</v>
      </c>
      <c r="BT103" s="162" t="e">
        <f t="shared" ca="1" si="963"/>
        <v>#NAME?</v>
      </c>
      <c r="BU103" s="162" t="e">
        <f t="shared" ca="1" si="963"/>
        <v>#NAME?</v>
      </c>
      <c r="BV103" s="162" t="e">
        <f t="shared" ca="1" si="963"/>
        <v>#NAME?</v>
      </c>
      <c r="BW103" s="162" t="e">
        <f t="shared" ca="1" si="963"/>
        <v>#NAME?</v>
      </c>
      <c r="BX103" s="162" t="e">
        <f t="shared" ca="1" si="963"/>
        <v>#NAME?</v>
      </c>
      <c r="BY103" s="162" t="e">
        <f t="shared" ca="1" si="963"/>
        <v>#NAME?</v>
      </c>
      <c r="BZ103" s="162" t="e">
        <f t="shared" ca="1" si="963"/>
        <v>#NAME?</v>
      </c>
      <c r="CA103" s="162" t="e">
        <f t="shared" ca="1" si="963"/>
        <v>#NAME?</v>
      </c>
      <c r="CB103" s="162" t="e">
        <f t="shared" ca="1" si="963"/>
        <v>#NAME?</v>
      </c>
      <c r="CC103" s="162" t="e">
        <f t="shared" ca="1" si="963"/>
        <v>#NAME?</v>
      </c>
      <c r="CD103" s="162" t="e">
        <f t="shared" ca="1" si="963"/>
        <v>#NAME?</v>
      </c>
      <c r="CE103" s="162" t="e">
        <f t="shared" ca="1" si="963"/>
        <v>#NAME?</v>
      </c>
      <c r="CF103" s="162" t="e">
        <f t="shared" ca="1" si="963"/>
        <v>#NAME?</v>
      </c>
      <c r="CG103" s="162" t="e">
        <f t="shared" ca="1" si="963"/>
        <v>#NAME?</v>
      </c>
      <c r="CH103" s="162" t="e">
        <f t="shared" ca="1" si="963"/>
        <v>#NAME?</v>
      </c>
      <c r="CI103" s="162" t="e">
        <f t="shared" ca="1" si="963"/>
        <v>#NAME?</v>
      </c>
      <c r="CJ103" s="162" t="e">
        <f t="shared" ref="CJ103:CL104" ca="1" si="966">+CJ86/CJ$100</f>
        <v>#NAME?</v>
      </c>
      <c r="CK103" s="162" t="e">
        <f t="shared" ref="CK103" ca="1" si="967">+CK86/CK$100</f>
        <v>#NAME?</v>
      </c>
      <c r="CL103" s="162" t="e">
        <f t="shared" ca="1" si="966"/>
        <v>#NAME?</v>
      </c>
      <c r="CM103" s="94" t="e">
        <f t="shared" ref="CM103:DB103" ca="1" si="968">+CL103</f>
        <v>#NAME?</v>
      </c>
      <c r="CN103" s="94" t="e">
        <f t="shared" ca="1" si="968"/>
        <v>#NAME?</v>
      </c>
      <c r="CO103" s="94" t="e">
        <f t="shared" ca="1" si="968"/>
        <v>#NAME?</v>
      </c>
      <c r="CP103" s="94" t="e">
        <f t="shared" ca="1" si="968"/>
        <v>#NAME?</v>
      </c>
      <c r="CQ103" s="94" t="e">
        <f t="shared" ca="1" si="968"/>
        <v>#NAME?</v>
      </c>
      <c r="CR103" s="94" t="e">
        <f t="shared" ca="1" si="968"/>
        <v>#NAME?</v>
      </c>
      <c r="CS103" s="94" t="e">
        <f t="shared" ca="1" si="968"/>
        <v>#NAME?</v>
      </c>
      <c r="CT103" s="94" t="e">
        <f t="shared" ca="1" si="968"/>
        <v>#NAME?</v>
      </c>
      <c r="CU103" s="94" t="e">
        <f t="shared" ca="1" si="968"/>
        <v>#NAME?</v>
      </c>
      <c r="CV103" s="94" t="e">
        <f t="shared" ca="1" si="968"/>
        <v>#NAME?</v>
      </c>
      <c r="CW103" s="94" t="e">
        <f t="shared" ca="1" si="968"/>
        <v>#NAME?</v>
      </c>
      <c r="CX103" s="94" t="e">
        <f t="shared" ca="1" si="968"/>
        <v>#NAME?</v>
      </c>
      <c r="CY103" s="94" t="e">
        <f t="shared" ca="1" si="968"/>
        <v>#NAME?</v>
      </c>
      <c r="CZ103" s="94" t="e">
        <f t="shared" ca="1" si="968"/>
        <v>#NAME?</v>
      </c>
      <c r="DA103" s="94" t="e">
        <f t="shared" ca="1" si="968"/>
        <v>#NAME?</v>
      </c>
      <c r="DB103" s="94" t="e">
        <f t="shared" ca="1" si="968"/>
        <v>#NAME?</v>
      </c>
      <c r="DC103" s="94"/>
      <c r="DE103" s="22"/>
      <c r="DF103" s="162">
        <v>2.6031082785204118</v>
      </c>
    </row>
    <row r="104" spans="1:110" s="162" customFormat="1" hidden="1" outlineLevel="1" x14ac:dyDescent="0.2">
      <c r="A104" s="49" t="s">
        <v>504</v>
      </c>
      <c r="E104" s="162" t="e">
        <f t="shared" ca="1" si="961"/>
        <v>#NAME?</v>
      </c>
      <c r="F104" s="162" t="e">
        <f t="shared" ca="1" si="961"/>
        <v>#NAME?</v>
      </c>
      <c r="G104" s="162" t="e">
        <f t="shared" ca="1" si="961"/>
        <v>#NAME?</v>
      </c>
      <c r="H104" s="162" t="e">
        <f t="shared" ca="1" si="961"/>
        <v>#NAME?</v>
      </c>
      <c r="I104" s="162" t="e">
        <f t="shared" ca="1" si="961"/>
        <v>#NAME?</v>
      </c>
      <c r="J104" s="162" t="e">
        <f t="shared" ca="1" si="961"/>
        <v>#NAME?</v>
      </c>
      <c r="K104" s="162" t="e">
        <f t="shared" ca="1" si="961"/>
        <v>#NAME?</v>
      </c>
      <c r="L104" s="162" t="e">
        <f t="shared" ca="1" si="961"/>
        <v>#NAME?</v>
      </c>
      <c r="M104" s="162" t="e">
        <f t="shared" ca="1" si="961"/>
        <v>#NAME?</v>
      </c>
      <c r="N104" s="162" t="e">
        <f t="shared" ca="1" si="961"/>
        <v>#NAME?</v>
      </c>
      <c r="O104" s="162" t="e">
        <f t="shared" ca="1" si="961"/>
        <v>#NAME?</v>
      </c>
      <c r="P104" s="162" t="e">
        <f t="shared" ca="1" si="961"/>
        <v>#NAME?</v>
      </c>
      <c r="Q104" s="162" t="e">
        <f t="shared" ca="1" si="961"/>
        <v>#NAME?</v>
      </c>
      <c r="R104" s="162" t="e">
        <f t="shared" ca="1" si="961"/>
        <v>#NAME?</v>
      </c>
      <c r="S104" s="162" t="e">
        <f t="shared" ca="1" si="961"/>
        <v>#NAME?</v>
      </c>
      <c r="T104" s="162" t="e">
        <f t="shared" ca="1" si="961"/>
        <v>#NAME?</v>
      </c>
      <c r="U104" s="162" t="e">
        <f t="shared" ca="1" si="961"/>
        <v>#NAME?</v>
      </c>
      <c r="V104" s="162" t="e">
        <f t="shared" ca="1" si="961"/>
        <v>#NAME?</v>
      </c>
      <c r="W104" s="162" t="e">
        <f t="shared" ca="1" si="961"/>
        <v>#NAME?</v>
      </c>
      <c r="X104" s="162" t="e">
        <f t="shared" ca="1" si="961"/>
        <v>#NAME?</v>
      </c>
      <c r="Y104" s="162" t="e">
        <f t="shared" ca="1" si="961"/>
        <v>#NAME?</v>
      </c>
      <c r="Z104" s="162" t="e">
        <f t="shared" ca="1" si="961"/>
        <v>#NAME?</v>
      </c>
      <c r="AA104" s="162" t="e">
        <f t="shared" ref="AA104" ca="1" si="969">+AA87/AA$100</f>
        <v>#NAME?</v>
      </c>
      <c r="AB104" s="21" t="e">
        <f t="shared" ca="1" si="961"/>
        <v>#NAME?</v>
      </c>
      <c r="AC104" s="21" t="e">
        <f t="shared" ca="1" si="961"/>
        <v>#NAME?</v>
      </c>
      <c r="AD104" s="21" t="e">
        <f t="shared" ca="1" si="961"/>
        <v>#NAME?</v>
      </c>
      <c r="AE104" s="21" t="e">
        <f t="shared" ca="1" si="961"/>
        <v>#NAME?</v>
      </c>
      <c r="AL104" s="162" t="e">
        <f t="shared" ca="1" si="963"/>
        <v>#NAME?</v>
      </c>
      <c r="AM104" s="162" t="e">
        <f t="shared" ca="1" si="963"/>
        <v>#NAME?</v>
      </c>
      <c r="AN104" s="162" t="e">
        <f t="shared" ca="1" si="963"/>
        <v>#NAME?</v>
      </c>
      <c r="AO104" s="162" t="e">
        <f t="shared" ca="1" si="963"/>
        <v>#NAME?</v>
      </c>
      <c r="AP104" s="162" t="e">
        <f t="shared" ca="1" si="963"/>
        <v>#NAME?</v>
      </c>
      <c r="AQ104" s="162" t="e">
        <f t="shared" ca="1" si="963"/>
        <v>#NAME?</v>
      </c>
      <c r="AR104" s="162" t="e">
        <f t="shared" ca="1" si="963"/>
        <v>#NAME?</v>
      </c>
      <c r="AS104" s="162" t="e">
        <f t="shared" ca="1" si="963"/>
        <v>#NAME?</v>
      </c>
      <c r="AT104" s="162" t="e">
        <f t="shared" ca="1" si="963"/>
        <v>#NAME?</v>
      </c>
      <c r="AU104" s="162" t="e">
        <f t="shared" ca="1" si="963"/>
        <v>#NAME?</v>
      </c>
      <c r="AV104" s="162" t="e">
        <f t="shared" ca="1" si="963"/>
        <v>#NAME?</v>
      </c>
      <c r="AW104" s="162" t="e">
        <f t="shared" ca="1" si="963"/>
        <v>#NAME?</v>
      </c>
      <c r="AX104" s="162" t="e">
        <f t="shared" ca="1" si="963"/>
        <v>#NAME?</v>
      </c>
      <c r="AY104" s="162" t="e">
        <f t="shared" ca="1" si="963"/>
        <v>#NAME?</v>
      </c>
      <c r="AZ104" s="162" t="e">
        <f t="shared" ca="1" si="963"/>
        <v>#NAME?</v>
      </c>
      <c r="BA104" s="162" t="e">
        <f t="shared" ca="1" si="963"/>
        <v>#NAME?</v>
      </c>
      <c r="BB104" s="162" t="e">
        <f t="shared" ca="1" si="963"/>
        <v>#NAME?</v>
      </c>
      <c r="BC104" s="162" t="e">
        <f t="shared" ca="1" si="963"/>
        <v>#NAME?</v>
      </c>
      <c r="BD104" s="162" t="e">
        <f t="shared" ca="1" si="963"/>
        <v>#NAME?</v>
      </c>
      <c r="BE104" s="162" t="e">
        <f t="shared" ca="1" si="963"/>
        <v>#NAME?</v>
      </c>
      <c r="BF104" s="162" t="e">
        <f t="shared" ca="1" si="963"/>
        <v>#NAME?</v>
      </c>
      <c r="BG104" s="162" t="e">
        <f t="shared" ca="1" si="963"/>
        <v>#NAME?</v>
      </c>
      <c r="BH104" s="162" t="e">
        <f t="shared" ca="1" si="963"/>
        <v>#NAME?</v>
      </c>
      <c r="BI104" s="162" t="e">
        <f t="shared" ca="1" si="963"/>
        <v>#NAME?</v>
      </c>
      <c r="BJ104" s="162" t="e">
        <f t="shared" ca="1" si="963"/>
        <v>#NAME?</v>
      </c>
      <c r="BK104" s="162" t="e">
        <f t="shared" ca="1" si="963"/>
        <v>#NAME?</v>
      </c>
      <c r="BL104" s="162" t="e">
        <f t="shared" ca="1" si="963"/>
        <v>#NAME?</v>
      </c>
      <c r="BM104" s="162" t="e">
        <f t="shared" ca="1" si="963"/>
        <v>#NAME?</v>
      </c>
      <c r="BN104" s="162" t="e">
        <f t="shared" ca="1" si="963"/>
        <v>#NAME?</v>
      </c>
      <c r="BO104" s="162" t="e">
        <f t="shared" ca="1" si="963"/>
        <v>#NAME?</v>
      </c>
      <c r="BP104" s="162" t="e">
        <f t="shared" ca="1" si="963"/>
        <v>#NAME?</v>
      </c>
      <c r="BQ104" s="162" t="e">
        <f t="shared" ca="1" si="963"/>
        <v>#NAME?</v>
      </c>
      <c r="BR104" s="162" t="e">
        <f t="shared" ca="1" si="963"/>
        <v>#NAME?</v>
      </c>
      <c r="BS104" s="162" t="e">
        <f t="shared" ca="1" si="963"/>
        <v>#NAME?</v>
      </c>
      <c r="BT104" s="162" t="e">
        <f t="shared" ca="1" si="963"/>
        <v>#NAME?</v>
      </c>
      <c r="BU104" s="162" t="e">
        <f t="shared" ca="1" si="963"/>
        <v>#NAME?</v>
      </c>
      <c r="BV104" s="162" t="e">
        <f t="shared" ca="1" si="963"/>
        <v>#NAME?</v>
      </c>
      <c r="BW104" s="162" t="e">
        <f t="shared" ca="1" si="963"/>
        <v>#NAME?</v>
      </c>
      <c r="BX104" s="162" t="e">
        <f t="shared" ca="1" si="963"/>
        <v>#NAME?</v>
      </c>
      <c r="BY104" s="162" t="e">
        <f t="shared" ca="1" si="963"/>
        <v>#NAME?</v>
      </c>
      <c r="BZ104" s="162" t="e">
        <f t="shared" ca="1" si="963"/>
        <v>#NAME?</v>
      </c>
      <c r="CA104" s="162" t="e">
        <f t="shared" ca="1" si="963"/>
        <v>#NAME?</v>
      </c>
      <c r="CB104" s="162" t="e">
        <f t="shared" ca="1" si="963"/>
        <v>#NAME?</v>
      </c>
      <c r="CC104" s="162" t="e">
        <f t="shared" ca="1" si="963"/>
        <v>#NAME?</v>
      </c>
      <c r="CD104" s="162" t="e">
        <f t="shared" ca="1" si="963"/>
        <v>#NAME?</v>
      </c>
      <c r="CE104" s="162" t="e">
        <f t="shared" ca="1" si="963"/>
        <v>#NAME?</v>
      </c>
      <c r="CF104" s="162" t="e">
        <f t="shared" ca="1" si="963"/>
        <v>#NAME?</v>
      </c>
      <c r="CG104" s="162" t="e">
        <f t="shared" ca="1" si="963"/>
        <v>#NAME?</v>
      </c>
      <c r="CH104" s="162" t="e">
        <f t="shared" ca="1" si="963"/>
        <v>#NAME?</v>
      </c>
      <c r="CI104" s="162" t="e">
        <f t="shared" ca="1" si="963"/>
        <v>#NAME?</v>
      </c>
      <c r="CJ104" s="162" t="e">
        <f t="shared" ca="1" si="966"/>
        <v>#NAME?</v>
      </c>
      <c r="CK104" s="162" t="e">
        <f t="shared" ref="CK104" ca="1" si="970">+CK87/CK$100</f>
        <v>#NAME?</v>
      </c>
      <c r="CL104" s="162" t="e">
        <f t="shared" ca="1" si="966"/>
        <v>#NAME?</v>
      </c>
      <c r="CM104" s="94" t="e">
        <f t="shared" ref="CM104:DB104" ca="1" si="971">+CL104</f>
        <v>#NAME?</v>
      </c>
      <c r="CN104" s="94" t="e">
        <f t="shared" ca="1" si="971"/>
        <v>#NAME?</v>
      </c>
      <c r="CO104" s="94" t="e">
        <f t="shared" ca="1" si="971"/>
        <v>#NAME?</v>
      </c>
      <c r="CP104" s="94" t="e">
        <f t="shared" ca="1" si="971"/>
        <v>#NAME?</v>
      </c>
      <c r="CQ104" s="94" t="e">
        <f t="shared" ca="1" si="971"/>
        <v>#NAME?</v>
      </c>
      <c r="CR104" s="94" t="e">
        <f t="shared" ca="1" si="971"/>
        <v>#NAME?</v>
      </c>
      <c r="CS104" s="94" t="e">
        <f t="shared" ca="1" si="971"/>
        <v>#NAME?</v>
      </c>
      <c r="CT104" s="94" t="e">
        <f t="shared" ca="1" si="971"/>
        <v>#NAME?</v>
      </c>
      <c r="CU104" s="94" t="e">
        <f t="shared" ca="1" si="971"/>
        <v>#NAME?</v>
      </c>
      <c r="CV104" s="94" t="e">
        <f t="shared" ca="1" si="971"/>
        <v>#NAME?</v>
      </c>
      <c r="CW104" s="94" t="e">
        <f t="shared" ca="1" si="971"/>
        <v>#NAME?</v>
      </c>
      <c r="CX104" s="94" t="e">
        <f t="shared" ca="1" si="971"/>
        <v>#NAME?</v>
      </c>
      <c r="CY104" s="94" t="e">
        <f t="shared" ca="1" si="971"/>
        <v>#NAME?</v>
      </c>
      <c r="CZ104" s="94" t="e">
        <f t="shared" ca="1" si="971"/>
        <v>#NAME?</v>
      </c>
      <c r="DA104" s="94" t="e">
        <f t="shared" ca="1" si="971"/>
        <v>#NAME?</v>
      </c>
      <c r="DB104" s="94" t="e">
        <f t="shared" ca="1" si="971"/>
        <v>#NAME?</v>
      </c>
      <c r="DC104" s="94"/>
      <c r="DE104" s="22"/>
      <c r="DF104" s="162">
        <v>1.6409994587792676</v>
      </c>
    </row>
    <row r="105" spans="1:110" s="4" customFormat="1" hidden="1" outlineLevel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177" customFormat="1" hidden="1" outlineLevel="1" x14ac:dyDescent="0.2">
      <c r="A106" s="177" t="s">
        <v>510</v>
      </c>
      <c r="E106" s="177" t="e">
        <f t="shared" ref="E106:Y106" ca="1" si="972">+E18</f>
        <v>#NAME?</v>
      </c>
      <c r="F106" s="177" t="e">
        <f t="shared" ca="1" si="972"/>
        <v>#NAME?</v>
      </c>
      <c r="G106" s="177" t="e">
        <f t="shared" ca="1" si="972"/>
        <v>#NAME?</v>
      </c>
      <c r="H106" s="177" t="e">
        <f t="shared" ca="1" si="972"/>
        <v>#NAME?</v>
      </c>
      <c r="I106" s="177" t="e">
        <f t="shared" ca="1" si="972"/>
        <v>#NAME?</v>
      </c>
      <c r="J106" s="177" t="e">
        <f t="shared" ca="1" si="972"/>
        <v>#NAME?</v>
      </c>
      <c r="K106" s="177" t="e">
        <f t="shared" ca="1" si="972"/>
        <v>#NAME?</v>
      </c>
      <c r="L106" s="177" t="e">
        <f t="shared" ca="1" si="972"/>
        <v>#NAME?</v>
      </c>
      <c r="M106" s="177" t="e">
        <f t="shared" ca="1" si="972"/>
        <v>#NAME?</v>
      </c>
      <c r="N106" s="177" t="e">
        <f t="shared" ca="1" si="972"/>
        <v>#NAME?</v>
      </c>
      <c r="O106" s="177" t="e">
        <f t="shared" ca="1" si="972"/>
        <v>#NAME?</v>
      </c>
      <c r="P106" s="177" t="e">
        <f t="shared" ca="1" si="972"/>
        <v>#NAME?</v>
      </c>
      <c r="Q106" s="177" t="e">
        <f t="shared" ca="1" si="972"/>
        <v>#NAME?</v>
      </c>
      <c r="R106" s="177" t="e">
        <f t="shared" ca="1" si="972"/>
        <v>#NAME?</v>
      </c>
      <c r="S106" s="177" t="e">
        <f t="shared" ca="1" si="972"/>
        <v>#NAME?</v>
      </c>
      <c r="T106" s="177" t="e">
        <f t="shared" ca="1" si="972"/>
        <v>#NAME?</v>
      </c>
      <c r="U106" s="177" t="e">
        <f t="shared" ca="1" si="972"/>
        <v>#NAME?</v>
      </c>
      <c r="V106" s="177" t="e">
        <f t="shared" ca="1" si="972"/>
        <v>#NAME?</v>
      </c>
      <c r="W106" s="177" t="e">
        <f t="shared" ca="1" si="972"/>
        <v>#NAME?</v>
      </c>
      <c r="X106" s="177" t="e">
        <f t="shared" ca="1" si="972"/>
        <v>#NAME?</v>
      </c>
      <c r="Y106" s="177" t="e">
        <f t="shared" ca="1" si="972"/>
        <v>#NAME?</v>
      </c>
      <c r="Z106" s="177" t="e">
        <f ca="1">+Z18</f>
        <v>#NAME?</v>
      </c>
      <c r="AA106" s="177" t="e">
        <f ca="1">+AA18</f>
        <v>#NAME?</v>
      </c>
      <c r="AB106" s="178" t="e">
        <f t="shared" ref="AA106:AE106" ca="1" si="973">+AB18</f>
        <v>#NAME?</v>
      </c>
      <c r="AC106" s="178" t="e">
        <f t="shared" ca="1" si="973"/>
        <v>#NAME?</v>
      </c>
      <c r="AD106" s="178" t="e">
        <f t="shared" ca="1" si="973"/>
        <v>#NAME?</v>
      </c>
      <c r="AE106" s="178" t="e">
        <f t="shared" ca="1" si="973"/>
        <v>#NAME?</v>
      </c>
      <c r="AL106" s="177" t="e">
        <f t="shared" ref="AL106:BQ106" ca="1" si="974">+SUM(AI16:AL16)</f>
        <v>#NAME?</v>
      </c>
      <c r="AM106" s="177" t="e">
        <f t="shared" ca="1" si="974"/>
        <v>#NAME?</v>
      </c>
      <c r="AN106" s="177" t="e">
        <f t="shared" ca="1" si="974"/>
        <v>#NAME?</v>
      </c>
      <c r="AO106" s="177" t="e">
        <f t="shared" ca="1" si="974"/>
        <v>#NAME?</v>
      </c>
      <c r="AP106" s="177" t="e">
        <f t="shared" ca="1" si="974"/>
        <v>#NAME?</v>
      </c>
      <c r="AQ106" s="177" t="e">
        <f t="shared" ca="1" si="974"/>
        <v>#NAME?</v>
      </c>
      <c r="AR106" s="177" t="e">
        <f t="shared" ca="1" si="974"/>
        <v>#NAME?</v>
      </c>
      <c r="AS106" s="177" t="e">
        <f t="shared" ca="1" si="974"/>
        <v>#NAME?</v>
      </c>
      <c r="AT106" s="177" t="e">
        <f t="shared" ca="1" si="974"/>
        <v>#NAME?</v>
      </c>
      <c r="AU106" s="177" t="e">
        <f t="shared" ca="1" si="974"/>
        <v>#NAME?</v>
      </c>
      <c r="AV106" s="177" t="e">
        <f t="shared" ca="1" si="974"/>
        <v>#NAME?</v>
      </c>
      <c r="AW106" s="177" t="e">
        <f t="shared" ca="1" si="974"/>
        <v>#NAME?</v>
      </c>
      <c r="AX106" s="177" t="e">
        <f t="shared" ca="1" si="974"/>
        <v>#NAME?</v>
      </c>
      <c r="AY106" s="177" t="e">
        <f t="shared" ca="1" si="974"/>
        <v>#NAME?</v>
      </c>
      <c r="AZ106" s="177" t="e">
        <f t="shared" ca="1" si="974"/>
        <v>#NAME?</v>
      </c>
      <c r="BA106" s="177" t="e">
        <f t="shared" ca="1" si="974"/>
        <v>#NAME?</v>
      </c>
      <c r="BB106" s="177" t="e">
        <f t="shared" ca="1" si="974"/>
        <v>#NAME?</v>
      </c>
      <c r="BC106" s="177" t="e">
        <f t="shared" ca="1" si="974"/>
        <v>#NAME?</v>
      </c>
      <c r="BD106" s="177" t="e">
        <f t="shared" ca="1" si="974"/>
        <v>#NAME?</v>
      </c>
      <c r="BE106" s="177" t="e">
        <f t="shared" ca="1" si="974"/>
        <v>#NAME?</v>
      </c>
      <c r="BF106" s="177" t="e">
        <f t="shared" ca="1" si="974"/>
        <v>#NAME?</v>
      </c>
      <c r="BG106" s="177" t="e">
        <f t="shared" ca="1" si="974"/>
        <v>#NAME?</v>
      </c>
      <c r="BH106" s="177" t="e">
        <f t="shared" ca="1" si="974"/>
        <v>#NAME?</v>
      </c>
      <c r="BI106" s="177" t="e">
        <f t="shared" ca="1" si="974"/>
        <v>#NAME?</v>
      </c>
      <c r="BJ106" s="177" t="e">
        <f t="shared" ca="1" si="974"/>
        <v>#NAME?</v>
      </c>
      <c r="BK106" s="177" t="e">
        <f t="shared" ca="1" si="974"/>
        <v>#NAME?</v>
      </c>
      <c r="BL106" s="177" t="e">
        <f t="shared" ca="1" si="974"/>
        <v>#NAME?</v>
      </c>
      <c r="BM106" s="177" t="e">
        <f t="shared" ca="1" si="974"/>
        <v>#NAME?</v>
      </c>
      <c r="BN106" s="177" t="e">
        <f t="shared" ca="1" si="974"/>
        <v>#NAME?</v>
      </c>
      <c r="BO106" s="177" t="e">
        <f t="shared" ca="1" si="974"/>
        <v>#NAME?</v>
      </c>
      <c r="BP106" s="177" t="e">
        <f t="shared" ca="1" si="974"/>
        <v>#NAME?</v>
      </c>
      <c r="BQ106" s="177" t="e">
        <f t="shared" ca="1" si="974"/>
        <v>#NAME?</v>
      </c>
      <c r="BR106" s="177" t="e">
        <f t="shared" ref="BR106:CW106" ca="1" si="975">+SUM(BO16:BR16)</f>
        <v>#NAME?</v>
      </c>
      <c r="BS106" s="177" t="e">
        <f t="shared" ca="1" si="975"/>
        <v>#NAME?</v>
      </c>
      <c r="BT106" s="177" t="e">
        <f t="shared" ca="1" si="975"/>
        <v>#NAME?</v>
      </c>
      <c r="BU106" s="177" t="e">
        <f t="shared" ca="1" si="975"/>
        <v>#NAME?</v>
      </c>
      <c r="BV106" s="177" t="e">
        <f t="shared" ca="1" si="975"/>
        <v>#NAME?</v>
      </c>
      <c r="BW106" s="177" t="e">
        <f t="shared" ca="1" si="975"/>
        <v>#NAME?</v>
      </c>
      <c r="BX106" s="177" t="e">
        <f t="shared" ca="1" si="975"/>
        <v>#NAME?</v>
      </c>
      <c r="BY106" s="177" t="e">
        <f t="shared" ca="1" si="975"/>
        <v>#NAME?</v>
      </c>
      <c r="BZ106" s="177" t="e">
        <f t="shared" ca="1" si="975"/>
        <v>#NAME?</v>
      </c>
      <c r="CA106" s="177" t="e">
        <f t="shared" ca="1" si="975"/>
        <v>#NAME?</v>
      </c>
      <c r="CB106" s="177" t="e">
        <f t="shared" ca="1" si="975"/>
        <v>#NAME?</v>
      </c>
      <c r="CC106" s="177" t="e">
        <f t="shared" ca="1" si="975"/>
        <v>#NAME?</v>
      </c>
      <c r="CD106" s="177" t="e">
        <f t="shared" ca="1" si="975"/>
        <v>#NAME?</v>
      </c>
      <c r="CE106" s="177" t="e">
        <f t="shared" ca="1" si="975"/>
        <v>#NAME?</v>
      </c>
      <c r="CF106" s="177" t="e">
        <f t="shared" ca="1" si="975"/>
        <v>#NAME?</v>
      </c>
      <c r="CG106" s="177" t="e">
        <f t="shared" ca="1" si="975"/>
        <v>#NAME?</v>
      </c>
      <c r="CH106" s="177" t="e">
        <f t="shared" ca="1" si="975"/>
        <v>#NAME?</v>
      </c>
      <c r="CI106" s="177" t="e">
        <f t="shared" ca="1" si="975"/>
        <v>#NAME?</v>
      </c>
      <c r="CJ106" s="177" t="e">
        <f t="shared" ca="1" si="975"/>
        <v>#NAME?</v>
      </c>
      <c r="CK106" s="177" t="e">
        <f t="shared" ca="1" si="975"/>
        <v>#NAME?</v>
      </c>
      <c r="CL106" s="177" t="e">
        <f t="shared" ca="1" si="975"/>
        <v>#NAME?</v>
      </c>
      <c r="CM106" s="178" t="e">
        <f t="shared" ca="1" si="975"/>
        <v>#NAME?</v>
      </c>
      <c r="CN106" s="178" t="e">
        <f t="shared" ca="1" si="975"/>
        <v>#NAME?</v>
      </c>
      <c r="CO106" s="178" t="e">
        <f t="shared" ca="1" si="975"/>
        <v>#NAME?</v>
      </c>
      <c r="CP106" s="178" t="e">
        <f t="shared" ca="1" si="975"/>
        <v>#NAME?</v>
      </c>
      <c r="CQ106" s="178" t="e">
        <f t="shared" ca="1" si="975"/>
        <v>#NAME?</v>
      </c>
      <c r="CR106" s="178" t="e">
        <f t="shared" ca="1" si="975"/>
        <v>#NAME?</v>
      </c>
      <c r="CS106" s="178" t="e">
        <f t="shared" ca="1" si="975"/>
        <v>#NAME?</v>
      </c>
      <c r="CT106" s="178" t="e">
        <f t="shared" ca="1" si="975"/>
        <v>#NAME?</v>
      </c>
      <c r="CU106" s="178" t="e">
        <f t="shared" ca="1" si="975"/>
        <v>#NAME?</v>
      </c>
      <c r="CV106" s="178" t="e">
        <f t="shared" ca="1" si="975"/>
        <v>#NAME?</v>
      </c>
      <c r="CW106" s="178" t="e">
        <f t="shared" ca="1" si="975"/>
        <v>#NAME?</v>
      </c>
      <c r="CX106" s="178" t="e">
        <f t="shared" ref="CX106:DB106" ca="1" si="976">+SUM(CU16:CX16)</f>
        <v>#NAME?</v>
      </c>
      <c r="CY106" s="178" t="e">
        <f t="shared" ca="1" si="976"/>
        <v>#NAME?</v>
      </c>
      <c r="CZ106" s="178" t="e">
        <f t="shared" ca="1" si="976"/>
        <v>#NAME?</v>
      </c>
      <c r="DA106" s="178" t="e">
        <f t="shared" ca="1" si="976"/>
        <v>#NAME?</v>
      </c>
      <c r="DB106" s="178" t="e">
        <f t="shared" ca="1" si="976"/>
        <v>#NAME?</v>
      </c>
      <c r="DE106" s="179"/>
      <c r="DF106" s="177">
        <v>40655.68</v>
      </c>
    </row>
    <row r="107" spans="1:110" s="163" customFormat="1" hidden="1" outlineLevel="1" x14ac:dyDescent="0.2">
      <c r="A107" s="163" t="s">
        <v>511</v>
      </c>
      <c r="E107" s="163" t="e">
        <f t="shared" ref="E107:AE107" ca="1" si="977">+E106/E73</f>
        <v>#NAME?</v>
      </c>
      <c r="F107" s="163" t="e">
        <f t="shared" ca="1" si="977"/>
        <v>#NAME?</v>
      </c>
      <c r="G107" s="163" t="e">
        <f t="shared" ca="1" si="977"/>
        <v>#NAME?</v>
      </c>
      <c r="H107" s="163" t="e">
        <f t="shared" ca="1" si="977"/>
        <v>#NAME?</v>
      </c>
      <c r="I107" s="163" t="e">
        <f t="shared" ca="1" si="977"/>
        <v>#NAME?</v>
      </c>
      <c r="J107" s="163" t="e">
        <f t="shared" ca="1" si="977"/>
        <v>#NAME?</v>
      </c>
      <c r="K107" s="163" t="e">
        <f t="shared" ca="1" si="977"/>
        <v>#NAME?</v>
      </c>
      <c r="L107" s="163" t="e">
        <f t="shared" ca="1" si="977"/>
        <v>#NAME?</v>
      </c>
      <c r="M107" s="163" t="e">
        <f t="shared" ca="1" si="977"/>
        <v>#NAME?</v>
      </c>
      <c r="N107" s="163" t="e">
        <f t="shared" ca="1" si="977"/>
        <v>#NAME?</v>
      </c>
      <c r="O107" s="163" t="e">
        <f t="shared" ca="1" si="977"/>
        <v>#NAME?</v>
      </c>
      <c r="P107" s="163" t="e">
        <f t="shared" ca="1" si="977"/>
        <v>#NAME?</v>
      </c>
      <c r="Q107" s="163" t="e">
        <f t="shared" ca="1" si="977"/>
        <v>#NAME?</v>
      </c>
      <c r="R107" s="163" t="e">
        <f t="shared" ca="1" si="977"/>
        <v>#NAME?</v>
      </c>
      <c r="S107" s="163" t="e">
        <f t="shared" ca="1" si="977"/>
        <v>#NAME?</v>
      </c>
      <c r="T107" s="163" t="e">
        <f t="shared" ca="1" si="977"/>
        <v>#NAME?</v>
      </c>
      <c r="U107" s="163" t="e">
        <f t="shared" ca="1" si="977"/>
        <v>#NAME?</v>
      </c>
      <c r="V107" s="163" t="e">
        <f t="shared" ca="1" si="977"/>
        <v>#NAME?</v>
      </c>
      <c r="W107" s="163" t="e">
        <f t="shared" ca="1" si="977"/>
        <v>#NAME?</v>
      </c>
      <c r="X107" s="163" t="e">
        <f t="shared" ca="1" si="977"/>
        <v>#NAME?</v>
      </c>
      <c r="Y107" s="163" t="e">
        <f t="shared" ca="1" si="977"/>
        <v>#NAME?</v>
      </c>
      <c r="Z107" s="163" t="e">
        <f t="shared" ref="Z107:AA107" ca="1" si="978">+Z106/Z73</f>
        <v>#NAME?</v>
      </c>
      <c r="AA107" s="163" t="e">
        <f t="shared" ca="1" si="978"/>
        <v>#NAME?</v>
      </c>
      <c r="AB107" s="94" t="e">
        <f t="shared" ca="1" si="977"/>
        <v>#NAME?</v>
      </c>
      <c r="AC107" s="94" t="e">
        <f t="shared" ca="1" si="977"/>
        <v>#NAME?</v>
      </c>
      <c r="AD107" s="94" t="e">
        <f t="shared" ca="1" si="977"/>
        <v>#NAME?</v>
      </c>
      <c r="AE107" s="94" t="e">
        <f t="shared" ca="1" si="977"/>
        <v>#NAME?</v>
      </c>
      <c r="AL107" s="163" t="e">
        <f t="shared" ref="AL107:BQ107" ca="1" si="979">+AL106/AL73</f>
        <v>#NAME?</v>
      </c>
      <c r="AM107" s="163" t="e">
        <f t="shared" ca="1" si="979"/>
        <v>#NAME?</v>
      </c>
      <c r="AN107" s="163" t="e">
        <f t="shared" ca="1" si="979"/>
        <v>#NAME?</v>
      </c>
      <c r="AO107" s="163" t="e">
        <f t="shared" ca="1" si="979"/>
        <v>#NAME?</v>
      </c>
      <c r="AP107" s="163" t="e">
        <f t="shared" ca="1" si="979"/>
        <v>#NAME?</v>
      </c>
      <c r="AQ107" s="163" t="e">
        <f t="shared" ca="1" si="979"/>
        <v>#NAME?</v>
      </c>
      <c r="AR107" s="163" t="e">
        <f t="shared" ca="1" si="979"/>
        <v>#NAME?</v>
      </c>
      <c r="AS107" s="163" t="e">
        <f t="shared" ca="1" si="979"/>
        <v>#NAME?</v>
      </c>
      <c r="AT107" s="163" t="e">
        <f t="shared" ca="1" si="979"/>
        <v>#NAME?</v>
      </c>
      <c r="AU107" s="163" t="e">
        <f t="shared" ca="1" si="979"/>
        <v>#NAME?</v>
      </c>
      <c r="AV107" s="163" t="e">
        <f t="shared" ca="1" si="979"/>
        <v>#NAME?</v>
      </c>
      <c r="AW107" s="163" t="e">
        <f t="shared" ca="1" si="979"/>
        <v>#NAME?</v>
      </c>
      <c r="AX107" s="163" t="e">
        <f t="shared" ca="1" si="979"/>
        <v>#NAME?</v>
      </c>
      <c r="AY107" s="163" t="e">
        <f t="shared" ca="1" si="979"/>
        <v>#NAME?</v>
      </c>
      <c r="AZ107" s="163" t="e">
        <f t="shared" ca="1" si="979"/>
        <v>#NAME?</v>
      </c>
      <c r="BA107" s="163" t="e">
        <f t="shared" ca="1" si="979"/>
        <v>#NAME?</v>
      </c>
      <c r="BB107" s="163" t="e">
        <f t="shared" ca="1" si="979"/>
        <v>#NAME?</v>
      </c>
      <c r="BC107" s="163" t="e">
        <f t="shared" ca="1" si="979"/>
        <v>#NAME?</v>
      </c>
      <c r="BD107" s="163" t="e">
        <f t="shared" ca="1" si="979"/>
        <v>#NAME?</v>
      </c>
      <c r="BE107" s="163" t="e">
        <f t="shared" ca="1" si="979"/>
        <v>#NAME?</v>
      </c>
      <c r="BF107" s="163" t="e">
        <f t="shared" ca="1" si="979"/>
        <v>#NAME?</v>
      </c>
      <c r="BG107" s="163" t="e">
        <f t="shared" ca="1" si="979"/>
        <v>#NAME?</v>
      </c>
      <c r="BH107" s="163" t="e">
        <f t="shared" ca="1" si="979"/>
        <v>#NAME?</v>
      </c>
      <c r="BI107" s="163" t="e">
        <f t="shared" ca="1" si="979"/>
        <v>#NAME?</v>
      </c>
      <c r="BJ107" s="163" t="e">
        <f t="shared" ca="1" si="979"/>
        <v>#NAME?</v>
      </c>
      <c r="BK107" s="163" t="e">
        <f t="shared" ca="1" si="979"/>
        <v>#NAME?</v>
      </c>
      <c r="BL107" s="163" t="e">
        <f t="shared" ca="1" si="979"/>
        <v>#NAME?</v>
      </c>
      <c r="BM107" s="163" t="e">
        <f t="shared" ca="1" si="979"/>
        <v>#NAME?</v>
      </c>
      <c r="BN107" s="163" t="e">
        <f t="shared" ca="1" si="979"/>
        <v>#NAME?</v>
      </c>
      <c r="BO107" s="163" t="e">
        <f t="shared" ca="1" si="979"/>
        <v>#NAME?</v>
      </c>
      <c r="BP107" s="163" t="e">
        <f t="shared" ca="1" si="979"/>
        <v>#NAME?</v>
      </c>
      <c r="BQ107" s="163" t="e">
        <f t="shared" ca="1" si="979"/>
        <v>#NAME?</v>
      </c>
      <c r="BR107" s="163" t="e">
        <f t="shared" ref="BR107:CW107" ca="1" si="980">+BR106/BR73</f>
        <v>#NAME?</v>
      </c>
      <c r="BS107" s="163" t="e">
        <f t="shared" ca="1" si="980"/>
        <v>#NAME?</v>
      </c>
      <c r="BT107" s="163" t="e">
        <f t="shared" ca="1" si="980"/>
        <v>#NAME?</v>
      </c>
      <c r="BU107" s="163" t="e">
        <f t="shared" ca="1" si="980"/>
        <v>#NAME?</v>
      </c>
      <c r="BV107" s="163" t="e">
        <f t="shared" ca="1" si="980"/>
        <v>#NAME?</v>
      </c>
      <c r="BW107" s="163" t="e">
        <f t="shared" ca="1" si="980"/>
        <v>#NAME?</v>
      </c>
      <c r="BX107" s="163" t="e">
        <f t="shared" ca="1" si="980"/>
        <v>#NAME?</v>
      </c>
      <c r="BY107" s="163" t="e">
        <f t="shared" ca="1" si="980"/>
        <v>#NAME?</v>
      </c>
      <c r="BZ107" s="163" t="e">
        <f t="shared" ca="1" si="980"/>
        <v>#NAME?</v>
      </c>
      <c r="CA107" s="163" t="e">
        <f t="shared" ca="1" si="980"/>
        <v>#NAME?</v>
      </c>
      <c r="CB107" s="163" t="e">
        <f t="shared" ca="1" si="980"/>
        <v>#NAME?</v>
      </c>
      <c r="CC107" s="163" t="e">
        <f t="shared" ca="1" si="980"/>
        <v>#NAME?</v>
      </c>
      <c r="CD107" s="163" t="e">
        <f t="shared" ca="1" si="980"/>
        <v>#NAME?</v>
      </c>
      <c r="CE107" s="163" t="e">
        <f t="shared" ca="1" si="980"/>
        <v>#NAME?</v>
      </c>
      <c r="CF107" s="163" t="e">
        <f t="shared" ca="1" si="980"/>
        <v>#NAME?</v>
      </c>
      <c r="CG107" s="163" t="e">
        <f t="shared" ca="1" si="980"/>
        <v>#NAME?</v>
      </c>
      <c r="CH107" s="163" t="e">
        <f t="shared" ca="1" si="980"/>
        <v>#NAME?</v>
      </c>
      <c r="CI107" s="163" t="e">
        <f t="shared" ca="1" si="980"/>
        <v>#NAME?</v>
      </c>
      <c r="CJ107" s="163" t="e">
        <f t="shared" ca="1" si="980"/>
        <v>#NAME?</v>
      </c>
      <c r="CK107" s="163" t="e">
        <f t="shared" ref="CK107:CL107" ca="1" si="981">+CK106/CK73</f>
        <v>#NAME?</v>
      </c>
      <c r="CL107" s="163" t="e">
        <f t="shared" ca="1" si="981"/>
        <v>#NAME?</v>
      </c>
      <c r="CM107" s="50" t="e">
        <f t="shared" ca="1" si="980"/>
        <v>#NAME?</v>
      </c>
      <c r="CN107" s="50" t="e">
        <f t="shared" ca="1" si="980"/>
        <v>#NAME?</v>
      </c>
      <c r="CO107" s="50" t="e">
        <f t="shared" ca="1" si="980"/>
        <v>#NAME?</v>
      </c>
      <c r="CP107" s="50" t="e">
        <f t="shared" ca="1" si="980"/>
        <v>#NAME?</v>
      </c>
      <c r="CQ107" s="50" t="e">
        <f t="shared" ca="1" si="980"/>
        <v>#NAME?</v>
      </c>
      <c r="CR107" s="50" t="e">
        <f t="shared" ca="1" si="980"/>
        <v>#NAME?</v>
      </c>
      <c r="CS107" s="50" t="e">
        <f t="shared" ca="1" si="980"/>
        <v>#NAME?</v>
      </c>
      <c r="CT107" s="50" t="e">
        <f t="shared" ca="1" si="980"/>
        <v>#NAME?</v>
      </c>
      <c r="CU107" s="50" t="e">
        <f t="shared" ca="1" si="980"/>
        <v>#NAME?</v>
      </c>
      <c r="CV107" s="50" t="e">
        <f t="shared" ca="1" si="980"/>
        <v>#NAME?</v>
      </c>
      <c r="CW107" s="50" t="e">
        <f t="shared" ca="1" si="980"/>
        <v>#NAME?</v>
      </c>
      <c r="CX107" s="50" t="e">
        <f t="shared" ref="CX107:DB107" ca="1" si="982">+CX106/CX73</f>
        <v>#NAME?</v>
      </c>
      <c r="CY107" s="50" t="e">
        <f t="shared" ca="1" si="982"/>
        <v>#NAME?</v>
      </c>
      <c r="CZ107" s="50" t="e">
        <f t="shared" ca="1" si="982"/>
        <v>#NAME?</v>
      </c>
      <c r="DA107" s="50" t="e">
        <f t="shared" ca="1" si="982"/>
        <v>#NAME?</v>
      </c>
      <c r="DB107" s="50" t="e">
        <f t="shared" ca="1" si="982"/>
        <v>#NAME?</v>
      </c>
      <c r="DE107" s="164"/>
      <c r="DF107" s="163">
        <v>164.4780322032527</v>
      </c>
    </row>
    <row r="108" spans="1:110" s="163" customFormat="1" hidden="1" outlineLevel="1" x14ac:dyDescent="0.2">
      <c r="AB108" s="94"/>
      <c r="AC108" s="94"/>
      <c r="AD108" s="94"/>
      <c r="AE108" s="94"/>
      <c r="CM108" s="94"/>
      <c r="CN108" s="94"/>
      <c r="CO108" s="94"/>
      <c r="CP108" s="94"/>
      <c r="CQ108" s="94"/>
      <c r="CR108" s="94"/>
      <c r="CS108" s="94"/>
      <c r="CT108" s="94"/>
      <c r="CU108" s="94"/>
      <c r="CV108" s="94"/>
      <c r="CW108" s="94"/>
      <c r="CX108" s="94"/>
      <c r="CY108" s="94"/>
      <c r="CZ108" s="94"/>
      <c r="DA108" s="94"/>
      <c r="DB108" s="94"/>
      <c r="DE108" s="164"/>
    </row>
    <row r="109" spans="1:110" s="163" customFormat="1" hidden="1" outlineLevel="1" x14ac:dyDescent="0.2">
      <c r="A109" s="163" t="s">
        <v>506</v>
      </c>
      <c r="AB109" s="94"/>
      <c r="AC109" s="94"/>
      <c r="AD109" s="94"/>
      <c r="AE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A109" s="94"/>
      <c r="DB109" s="94"/>
      <c r="DE109" s="164"/>
    </row>
    <row r="110" spans="1:110" s="163" customFormat="1" hidden="1" outlineLevel="1" x14ac:dyDescent="0.2">
      <c r="A110" s="163" t="s">
        <v>507</v>
      </c>
      <c r="E110" s="163" t="e">
        <f t="shared" ref="E110:AE112" ca="1" si="983">+E85/E$107</f>
        <v>#NAME?</v>
      </c>
      <c r="F110" s="163" t="e">
        <f t="shared" ca="1" si="983"/>
        <v>#NAME?</v>
      </c>
      <c r="G110" s="163" t="e">
        <f t="shared" ca="1" si="983"/>
        <v>#NAME?</v>
      </c>
      <c r="H110" s="163" t="e">
        <f t="shared" ca="1" si="983"/>
        <v>#NAME?</v>
      </c>
      <c r="I110" s="163" t="e">
        <f t="shared" ca="1" si="983"/>
        <v>#NAME?</v>
      </c>
      <c r="J110" s="163" t="e">
        <f t="shared" ca="1" si="983"/>
        <v>#NAME?</v>
      </c>
      <c r="K110" s="163" t="e">
        <f t="shared" ca="1" si="983"/>
        <v>#NAME?</v>
      </c>
      <c r="L110" s="163" t="e">
        <f t="shared" ca="1" si="983"/>
        <v>#NAME?</v>
      </c>
      <c r="M110" s="163" t="e">
        <f t="shared" ca="1" si="983"/>
        <v>#NAME?</v>
      </c>
      <c r="N110" s="163" t="e">
        <f t="shared" ca="1" si="983"/>
        <v>#NAME?</v>
      </c>
      <c r="O110" s="163" t="e">
        <f t="shared" ca="1" si="983"/>
        <v>#NAME?</v>
      </c>
      <c r="P110" s="163" t="e">
        <f t="shared" ca="1" si="983"/>
        <v>#NAME?</v>
      </c>
      <c r="Q110" s="163" t="e">
        <f t="shared" ca="1" si="983"/>
        <v>#NAME?</v>
      </c>
      <c r="R110" s="163" t="e">
        <f t="shared" ca="1" si="983"/>
        <v>#NAME?</v>
      </c>
      <c r="S110" s="163" t="e">
        <f t="shared" ca="1" si="983"/>
        <v>#NAME?</v>
      </c>
      <c r="T110" s="163" t="e">
        <f t="shared" ca="1" si="983"/>
        <v>#NAME?</v>
      </c>
      <c r="U110" s="163" t="e">
        <f t="shared" ca="1" si="983"/>
        <v>#NAME?</v>
      </c>
      <c r="V110" s="163" t="e">
        <f t="shared" ca="1" si="983"/>
        <v>#NAME?</v>
      </c>
      <c r="W110" s="163" t="e">
        <f t="shared" ca="1" si="983"/>
        <v>#NAME?</v>
      </c>
      <c r="X110" s="163" t="e">
        <f t="shared" ca="1" si="983"/>
        <v>#NAME?</v>
      </c>
      <c r="Y110" s="163" t="e">
        <f t="shared" ca="1" si="983"/>
        <v>#NAME?</v>
      </c>
      <c r="Z110" s="163" t="e">
        <f ca="1">+Z85/Z$107</f>
        <v>#NAME?</v>
      </c>
      <c r="AA110" s="163" t="e">
        <f ca="1">+AA85/AA$107</f>
        <v>#NAME?</v>
      </c>
      <c r="AB110" s="50" t="e">
        <f t="shared" ref="AA110:AE110" ca="1" si="984">+AB85/AB$107</f>
        <v>#NAME?</v>
      </c>
      <c r="AC110" s="50" t="e">
        <f t="shared" ca="1" si="984"/>
        <v>#NAME?</v>
      </c>
      <c r="AD110" s="50" t="e">
        <f t="shared" ca="1" si="984"/>
        <v>#NAME?</v>
      </c>
      <c r="AE110" s="50" t="e">
        <f t="shared" ca="1" si="984"/>
        <v>#NAME?</v>
      </c>
      <c r="AL110" s="163" t="e">
        <f t="shared" ref="AL110:BQ110" ca="1" si="985">+AL85/AL107</f>
        <v>#NAME?</v>
      </c>
      <c r="AM110" s="163" t="e">
        <f t="shared" ca="1" si="985"/>
        <v>#NAME?</v>
      </c>
      <c r="AN110" s="163" t="e">
        <f t="shared" ca="1" si="985"/>
        <v>#NAME?</v>
      </c>
      <c r="AO110" s="163" t="e">
        <f t="shared" ca="1" si="985"/>
        <v>#NAME?</v>
      </c>
      <c r="AP110" s="163" t="e">
        <f t="shared" ca="1" si="985"/>
        <v>#NAME?</v>
      </c>
      <c r="AQ110" s="163" t="e">
        <f t="shared" ca="1" si="985"/>
        <v>#NAME?</v>
      </c>
      <c r="AR110" s="163" t="e">
        <f t="shared" ca="1" si="985"/>
        <v>#NAME?</v>
      </c>
      <c r="AS110" s="163" t="e">
        <f t="shared" ca="1" si="985"/>
        <v>#NAME?</v>
      </c>
      <c r="AT110" s="163" t="e">
        <f t="shared" ca="1" si="985"/>
        <v>#NAME?</v>
      </c>
      <c r="AU110" s="163" t="e">
        <f t="shared" ca="1" si="985"/>
        <v>#NAME?</v>
      </c>
      <c r="AV110" s="163" t="e">
        <f t="shared" ca="1" si="985"/>
        <v>#NAME?</v>
      </c>
      <c r="AW110" s="163" t="e">
        <f t="shared" ca="1" si="985"/>
        <v>#NAME?</v>
      </c>
      <c r="AX110" s="163" t="e">
        <f t="shared" ca="1" si="985"/>
        <v>#NAME?</v>
      </c>
      <c r="AY110" s="163" t="e">
        <f t="shared" ca="1" si="985"/>
        <v>#NAME?</v>
      </c>
      <c r="AZ110" s="163" t="e">
        <f t="shared" ca="1" si="985"/>
        <v>#NAME?</v>
      </c>
      <c r="BA110" s="163" t="e">
        <f t="shared" ca="1" si="985"/>
        <v>#NAME?</v>
      </c>
      <c r="BB110" s="163" t="e">
        <f t="shared" ca="1" si="985"/>
        <v>#NAME?</v>
      </c>
      <c r="BC110" s="163" t="e">
        <f t="shared" ca="1" si="985"/>
        <v>#NAME?</v>
      </c>
      <c r="BD110" s="163" t="e">
        <f t="shared" ca="1" si="985"/>
        <v>#NAME?</v>
      </c>
      <c r="BE110" s="163" t="e">
        <f t="shared" ca="1" si="985"/>
        <v>#NAME?</v>
      </c>
      <c r="BF110" s="163" t="e">
        <f t="shared" ca="1" si="985"/>
        <v>#NAME?</v>
      </c>
      <c r="BG110" s="163" t="e">
        <f t="shared" ca="1" si="985"/>
        <v>#NAME?</v>
      </c>
      <c r="BH110" s="163" t="e">
        <f t="shared" ca="1" si="985"/>
        <v>#NAME?</v>
      </c>
      <c r="BI110" s="163" t="e">
        <f t="shared" ca="1" si="985"/>
        <v>#NAME?</v>
      </c>
      <c r="BJ110" s="163" t="e">
        <f t="shared" ca="1" si="985"/>
        <v>#NAME?</v>
      </c>
      <c r="BK110" s="163" t="e">
        <f t="shared" ca="1" si="985"/>
        <v>#NAME?</v>
      </c>
      <c r="BL110" s="163" t="e">
        <f t="shared" ca="1" si="985"/>
        <v>#NAME?</v>
      </c>
      <c r="BM110" s="163" t="e">
        <f t="shared" ca="1" si="985"/>
        <v>#NAME?</v>
      </c>
      <c r="BN110" s="163" t="e">
        <f t="shared" ca="1" si="985"/>
        <v>#NAME?</v>
      </c>
      <c r="BO110" s="163" t="e">
        <f t="shared" ca="1" si="985"/>
        <v>#NAME?</v>
      </c>
      <c r="BP110" s="163" t="e">
        <f t="shared" ca="1" si="985"/>
        <v>#NAME?</v>
      </c>
      <c r="BQ110" s="163" t="e">
        <f t="shared" ca="1" si="985"/>
        <v>#NAME?</v>
      </c>
      <c r="BR110" s="163" t="e">
        <f t="shared" ref="BR110:DB110" ca="1" si="986">+BR85/BR107</f>
        <v>#NAME?</v>
      </c>
      <c r="BS110" s="163" t="e">
        <f t="shared" ca="1" si="986"/>
        <v>#NAME?</v>
      </c>
      <c r="BT110" s="163" t="e">
        <f t="shared" ca="1" si="986"/>
        <v>#NAME?</v>
      </c>
      <c r="BU110" s="163" t="e">
        <f t="shared" ca="1" si="986"/>
        <v>#NAME?</v>
      </c>
      <c r="BV110" s="163" t="e">
        <f t="shared" ca="1" si="986"/>
        <v>#NAME?</v>
      </c>
      <c r="BW110" s="163" t="e">
        <f t="shared" ca="1" si="986"/>
        <v>#NAME?</v>
      </c>
      <c r="BX110" s="163" t="e">
        <f t="shared" ca="1" si="986"/>
        <v>#NAME?</v>
      </c>
      <c r="BY110" s="163" t="e">
        <f t="shared" ca="1" si="986"/>
        <v>#NAME?</v>
      </c>
      <c r="BZ110" s="163" t="e">
        <f t="shared" ca="1" si="986"/>
        <v>#NAME?</v>
      </c>
      <c r="CA110" s="163" t="e">
        <f t="shared" ca="1" si="986"/>
        <v>#NAME?</v>
      </c>
      <c r="CB110" s="163" t="e">
        <f t="shared" ca="1" si="986"/>
        <v>#NAME?</v>
      </c>
      <c r="CC110" s="163" t="e">
        <f t="shared" ca="1" si="986"/>
        <v>#NAME?</v>
      </c>
      <c r="CD110" s="163" t="e">
        <f t="shared" ca="1" si="986"/>
        <v>#NAME?</v>
      </c>
      <c r="CE110" s="163" t="e">
        <f t="shared" ca="1" si="986"/>
        <v>#NAME?</v>
      </c>
      <c r="CF110" s="163" t="e">
        <f t="shared" ca="1" si="986"/>
        <v>#NAME?</v>
      </c>
      <c r="CG110" s="163" t="e">
        <f t="shared" ca="1" si="986"/>
        <v>#NAME?</v>
      </c>
      <c r="CH110" s="163" t="e">
        <f t="shared" ca="1" si="986"/>
        <v>#NAME?</v>
      </c>
      <c r="CI110" s="163" t="e">
        <f t="shared" ca="1" si="986"/>
        <v>#NAME?</v>
      </c>
      <c r="CJ110" s="163" t="e">
        <f t="shared" ca="1" si="986"/>
        <v>#NAME?</v>
      </c>
      <c r="CK110" s="163" t="e">
        <f t="shared" ref="CK110:CL110" ca="1" si="987">+CK85/CK107</f>
        <v>#NAME?</v>
      </c>
      <c r="CL110" s="163" t="e">
        <f t="shared" ca="1" si="987"/>
        <v>#NAME?</v>
      </c>
      <c r="CM110" s="50" t="e">
        <f t="shared" ca="1" si="986"/>
        <v>#NAME?</v>
      </c>
      <c r="CN110" s="50" t="e">
        <f t="shared" ca="1" si="986"/>
        <v>#NAME?</v>
      </c>
      <c r="CO110" s="50" t="e">
        <f t="shared" ca="1" si="986"/>
        <v>#NAME?</v>
      </c>
      <c r="CP110" s="50" t="e">
        <f t="shared" ca="1" si="986"/>
        <v>#NAME?</v>
      </c>
      <c r="CQ110" s="50" t="e">
        <f t="shared" ca="1" si="986"/>
        <v>#NAME?</v>
      </c>
      <c r="CR110" s="50" t="e">
        <f t="shared" ca="1" si="986"/>
        <v>#NAME?</v>
      </c>
      <c r="CS110" s="50" t="e">
        <f t="shared" ca="1" si="986"/>
        <v>#NAME?</v>
      </c>
      <c r="CT110" s="50" t="e">
        <f t="shared" ca="1" si="986"/>
        <v>#NAME?</v>
      </c>
      <c r="CU110" s="50" t="e">
        <f t="shared" ca="1" si="986"/>
        <v>#NAME?</v>
      </c>
      <c r="CV110" s="50" t="e">
        <f t="shared" ca="1" si="986"/>
        <v>#NAME?</v>
      </c>
      <c r="CW110" s="50" t="e">
        <f t="shared" ca="1" si="986"/>
        <v>#NAME?</v>
      </c>
      <c r="CX110" s="50" t="e">
        <f t="shared" ca="1" si="986"/>
        <v>#NAME?</v>
      </c>
      <c r="CY110" s="50" t="e">
        <f t="shared" ca="1" si="986"/>
        <v>#NAME?</v>
      </c>
      <c r="CZ110" s="50" t="e">
        <f t="shared" ca="1" si="986"/>
        <v>#NAME?</v>
      </c>
      <c r="DA110" s="50" t="e">
        <f t="shared" ca="1" si="986"/>
        <v>#NAME?</v>
      </c>
      <c r="DB110" s="50" t="e">
        <f t="shared" ca="1" si="986"/>
        <v>#NAME?</v>
      </c>
      <c r="DE110" s="106"/>
      <c r="DF110" s="163">
        <v>2.4374075651913825</v>
      </c>
    </row>
    <row r="111" spans="1:110" s="163" customFormat="1" hidden="1" outlineLevel="1" x14ac:dyDescent="0.2">
      <c r="A111" s="163" t="s">
        <v>508</v>
      </c>
      <c r="E111" s="163" t="e">
        <f t="shared" ca="1" si="983"/>
        <v>#NAME?</v>
      </c>
      <c r="F111" s="163" t="e">
        <f t="shared" ca="1" si="983"/>
        <v>#NAME?</v>
      </c>
      <c r="G111" s="163" t="e">
        <f t="shared" ca="1" si="983"/>
        <v>#NAME?</v>
      </c>
      <c r="H111" s="163" t="e">
        <f t="shared" ca="1" si="983"/>
        <v>#NAME?</v>
      </c>
      <c r="I111" s="163" t="e">
        <f t="shared" ca="1" si="983"/>
        <v>#NAME?</v>
      </c>
      <c r="J111" s="163" t="e">
        <f t="shared" ca="1" si="983"/>
        <v>#NAME?</v>
      </c>
      <c r="K111" s="163" t="e">
        <f t="shared" ca="1" si="983"/>
        <v>#NAME?</v>
      </c>
      <c r="L111" s="163" t="e">
        <f t="shared" ca="1" si="983"/>
        <v>#NAME?</v>
      </c>
      <c r="M111" s="163" t="e">
        <f t="shared" ca="1" si="983"/>
        <v>#NAME?</v>
      </c>
      <c r="N111" s="163" t="e">
        <f t="shared" ca="1" si="983"/>
        <v>#NAME?</v>
      </c>
      <c r="O111" s="163" t="e">
        <f t="shared" ca="1" si="983"/>
        <v>#NAME?</v>
      </c>
      <c r="P111" s="163" t="e">
        <f t="shared" ca="1" si="983"/>
        <v>#NAME?</v>
      </c>
      <c r="Q111" s="163" t="e">
        <f t="shared" ca="1" si="983"/>
        <v>#NAME?</v>
      </c>
      <c r="R111" s="163" t="e">
        <f t="shared" ca="1" si="983"/>
        <v>#NAME?</v>
      </c>
      <c r="S111" s="163" t="e">
        <f t="shared" ca="1" si="983"/>
        <v>#NAME?</v>
      </c>
      <c r="T111" s="163" t="e">
        <f t="shared" ca="1" si="983"/>
        <v>#NAME?</v>
      </c>
      <c r="U111" s="163" t="e">
        <f t="shared" ca="1" si="983"/>
        <v>#NAME?</v>
      </c>
      <c r="V111" s="163" t="e">
        <f t="shared" ca="1" si="983"/>
        <v>#NAME?</v>
      </c>
      <c r="W111" s="163" t="e">
        <f t="shared" ca="1" si="983"/>
        <v>#NAME?</v>
      </c>
      <c r="X111" s="163" t="e">
        <f t="shared" ca="1" si="983"/>
        <v>#NAME?</v>
      </c>
      <c r="Y111" s="163" t="e">
        <f t="shared" ca="1" si="983"/>
        <v>#NAME?</v>
      </c>
      <c r="Z111" s="163" t="e">
        <f t="shared" ref="Z111:AA112" ca="1" si="988">+Z86/Z$107</f>
        <v>#NAME?</v>
      </c>
      <c r="AA111" s="163" t="e">
        <f t="shared" ca="1" si="988"/>
        <v>#NAME?</v>
      </c>
      <c r="AB111" s="94" t="e">
        <f t="shared" ca="1" si="983"/>
        <v>#NAME?</v>
      </c>
      <c r="AC111" s="94" t="e">
        <f t="shared" ca="1" si="983"/>
        <v>#NAME?</v>
      </c>
      <c r="AD111" s="94" t="e">
        <f t="shared" ca="1" si="983"/>
        <v>#NAME?</v>
      </c>
      <c r="AE111" s="94" t="e">
        <f t="shared" ca="1" si="983"/>
        <v>#NAME?</v>
      </c>
      <c r="AL111" s="163" t="e">
        <f t="shared" ref="AL111:BQ111" ca="1" si="989">+AL86/AL107</f>
        <v>#NAME?</v>
      </c>
      <c r="AM111" s="163" t="e">
        <f t="shared" ca="1" si="989"/>
        <v>#NAME?</v>
      </c>
      <c r="AN111" s="163" t="e">
        <f t="shared" ca="1" si="989"/>
        <v>#NAME?</v>
      </c>
      <c r="AO111" s="163" t="e">
        <f t="shared" ca="1" si="989"/>
        <v>#NAME?</v>
      </c>
      <c r="AP111" s="163" t="e">
        <f t="shared" ca="1" si="989"/>
        <v>#NAME?</v>
      </c>
      <c r="AQ111" s="163" t="e">
        <f t="shared" ca="1" si="989"/>
        <v>#NAME?</v>
      </c>
      <c r="AR111" s="163" t="e">
        <f t="shared" ca="1" si="989"/>
        <v>#NAME?</v>
      </c>
      <c r="AS111" s="163" t="e">
        <f t="shared" ca="1" si="989"/>
        <v>#NAME?</v>
      </c>
      <c r="AT111" s="163" t="e">
        <f t="shared" ca="1" si="989"/>
        <v>#NAME?</v>
      </c>
      <c r="AU111" s="163" t="e">
        <f t="shared" ca="1" si="989"/>
        <v>#NAME?</v>
      </c>
      <c r="AV111" s="163" t="e">
        <f t="shared" ca="1" si="989"/>
        <v>#NAME?</v>
      </c>
      <c r="AW111" s="163" t="e">
        <f t="shared" ca="1" si="989"/>
        <v>#NAME?</v>
      </c>
      <c r="AX111" s="163" t="e">
        <f t="shared" ca="1" si="989"/>
        <v>#NAME?</v>
      </c>
      <c r="AY111" s="163" t="e">
        <f t="shared" ca="1" si="989"/>
        <v>#NAME?</v>
      </c>
      <c r="AZ111" s="163" t="e">
        <f t="shared" ca="1" si="989"/>
        <v>#NAME?</v>
      </c>
      <c r="BA111" s="163" t="e">
        <f t="shared" ca="1" si="989"/>
        <v>#NAME?</v>
      </c>
      <c r="BB111" s="163" t="e">
        <f t="shared" ca="1" si="989"/>
        <v>#NAME?</v>
      </c>
      <c r="BC111" s="163" t="e">
        <f t="shared" ca="1" si="989"/>
        <v>#NAME?</v>
      </c>
      <c r="BD111" s="163" t="e">
        <f t="shared" ca="1" si="989"/>
        <v>#NAME?</v>
      </c>
      <c r="BE111" s="163" t="e">
        <f t="shared" ca="1" si="989"/>
        <v>#NAME?</v>
      </c>
      <c r="BF111" s="163" t="e">
        <f t="shared" ca="1" si="989"/>
        <v>#NAME?</v>
      </c>
      <c r="BG111" s="163" t="e">
        <f t="shared" ca="1" si="989"/>
        <v>#NAME?</v>
      </c>
      <c r="BH111" s="163" t="e">
        <f t="shared" ca="1" si="989"/>
        <v>#NAME?</v>
      </c>
      <c r="BI111" s="163" t="e">
        <f t="shared" ca="1" si="989"/>
        <v>#NAME?</v>
      </c>
      <c r="BJ111" s="163" t="e">
        <f t="shared" ca="1" si="989"/>
        <v>#NAME?</v>
      </c>
      <c r="BK111" s="163" t="e">
        <f t="shared" ca="1" si="989"/>
        <v>#NAME?</v>
      </c>
      <c r="BL111" s="163" t="e">
        <f t="shared" ca="1" si="989"/>
        <v>#NAME?</v>
      </c>
      <c r="BM111" s="163" t="e">
        <f t="shared" ca="1" si="989"/>
        <v>#NAME?</v>
      </c>
      <c r="BN111" s="163" t="e">
        <f t="shared" ca="1" si="989"/>
        <v>#NAME?</v>
      </c>
      <c r="BO111" s="163" t="e">
        <f t="shared" ca="1" si="989"/>
        <v>#NAME?</v>
      </c>
      <c r="BP111" s="163" t="e">
        <f t="shared" ca="1" si="989"/>
        <v>#NAME?</v>
      </c>
      <c r="BQ111" s="163" t="e">
        <f t="shared" ca="1" si="989"/>
        <v>#NAME?</v>
      </c>
      <c r="BR111" s="163" t="e">
        <f t="shared" ref="BR111:CJ111" ca="1" si="990">+BR86/BR107</f>
        <v>#NAME?</v>
      </c>
      <c r="BS111" s="163" t="e">
        <f t="shared" ca="1" si="990"/>
        <v>#NAME?</v>
      </c>
      <c r="BT111" s="163" t="e">
        <f t="shared" ca="1" si="990"/>
        <v>#NAME?</v>
      </c>
      <c r="BU111" s="163" t="e">
        <f t="shared" ca="1" si="990"/>
        <v>#NAME?</v>
      </c>
      <c r="BV111" s="163" t="e">
        <f t="shared" ca="1" si="990"/>
        <v>#NAME?</v>
      </c>
      <c r="BW111" s="163" t="e">
        <f t="shared" ca="1" si="990"/>
        <v>#NAME?</v>
      </c>
      <c r="BX111" s="163" t="e">
        <f t="shared" ca="1" si="990"/>
        <v>#NAME?</v>
      </c>
      <c r="BY111" s="163" t="e">
        <f t="shared" ca="1" si="990"/>
        <v>#NAME?</v>
      </c>
      <c r="BZ111" s="163" t="e">
        <f t="shared" ca="1" si="990"/>
        <v>#NAME?</v>
      </c>
      <c r="CA111" s="163" t="e">
        <f t="shared" ca="1" si="990"/>
        <v>#NAME?</v>
      </c>
      <c r="CB111" s="163" t="e">
        <f t="shared" ca="1" si="990"/>
        <v>#NAME?</v>
      </c>
      <c r="CC111" s="163" t="e">
        <f t="shared" ca="1" si="990"/>
        <v>#NAME?</v>
      </c>
      <c r="CD111" s="163" t="e">
        <f t="shared" ca="1" si="990"/>
        <v>#NAME?</v>
      </c>
      <c r="CE111" s="163" t="e">
        <f t="shared" ca="1" si="990"/>
        <v>#NAME?</v>
      </c>
      <c r="CF111" s="163" t="e">
        <f t="shared" ca="1" si="990"/>
        <v>#NAME?</v>
      </c>
      <c r="CG111" s="163" t="e">
        <f t="shared" ca="1" si="990"/>
        <v>#NAME?</v>
      </c>
      <c r="CH111" s="163" t="e">
        <f t="shared" ca="1" si="990"/>
        <v>#NAME?</v>
      </c>
      <c r="CI111" s="163" t="e">
        <f t="shared" ca="1" si="990"/>
        <v>#NAME?</v>
      </c>
      <c r="CJ111" s="163" t="e">
        <f t="shared" ca="1" si="990"/>
        <v>#NAME?</v>
      </c>
      <c r="CK111" s="163" t="e">
        <f t="shared" ref="CK111:CL111" ca="1" si="991">+CK86/CK107</f>
        <v>#NAME?</v>
      </c>
      <c r="CL111" s="163" t="e">
        <f t="shared" ca="1" si="991"/>
        <v>#NAME?</v>
      </c>
      <c r="CM111" s="94" t="e">
        <f t="shared" ref="CM111:DB111" ca="1" si="992">+CL111</f>
        <v>#NAME?</v>
      </c>
      <c r="CN111" s="94" t="e">
        <f t="shared" ca="1" si="992"/>
        <v>#NAME?</v>
      </c>
      <c r="CO111" s="94" t="e">
        <f t="shared" ca="1" si="992"/>
        <v>#NAME?</v>
      </c>
      <c r="CP111" s="94" t="e">
        <f t="shared" ca="1" si="992"/>
        <v>#NAME?</v>
      </c>
      <c r="CQ111" s="94" t="e">
        <f t="shared" ca="1" si="992"/>
        <v>#NAME?</v>
      </c>
      <c r="CR111" s="94" t="e">
        <f t="shared" ca="1" si="992"/>
        <v>#NAME?</v>
      </c>
      <c r="CS111" s="94" t="e">
        <f t="shared" ca="1" si="992"/>
        <v>#NAME?</v>
      </c>
      <c r="CT111" s="94" t="e">
        <f t="shared" ca="1" si="992"/>
        <v>#NAME?</v>
      </c>
      <c r="CU111" s="94" t="e">
        <f t="shared" ca="1" si="992"/>
        <v>#NAME?</v>
      </c>
      <c r="CV111" s="94" t="e">
        <f t="shared" ca="1" si="992"/>
        <v>#NAME?</v>
      </c>
      <c r="CW111" s="94" t="e">
        <f t="shared" ca="1" si="992"/>
        <v>#NAME?</v>
      </c>
      <c r="CX111" s="94" t="e">
        <f t="shared" ca="1" si="992"/>
        <v>#NAME?</v>
      </c>
      <c r="CY111" s="94" t="e">
        <f t="shared" ca="1" si="992"/>
        <v>#NAME?</v>
      </c>
      <c r="CZ111" s="94" t="e">
        <f t="shared" ca="1" si="992"/>
        <v>#NAME?</v>
      </c>
      <c r="DA111" s="94" t="e">
        <f t="shared" ca="1" si="992"/>
        <v>#NAME?</v>
      </c>
      <c r="DB111" s="94" t="e">
        <f t="shared" ca="1" si="992"/>
        <v>#NAME?</v>
      </c>
      <c r="DE111" s="164"/>
      <c r="DF111" s="163">
        <v>3.7998995466316146</v>
      </c>
    </row>
    <row r="112" spans="1:110" s="163" customFormat="1" hidden="1" outlineLevel="1" x14ac:dyDescent="0.2">
      <c r="A112" s="163" t="s">
        <v>509</v>
      </c>
      <c r="E112" s="163" t="e">
        <f t="shared" ca="1" si="983"/>
        <v>#NAME?</v>
      </c>
      <c r="F112" s="163" t="e">
        <f t="shared" ca="1" si="983"/>
        <v>#NAME?</v>
      </c>
      <c r="G112" s="163" t="e">
        <f t="shared" ca="1" si="983"/>
        <v>#NAME?</v>
      </c>
      <c r="H112" s="163" t="e">
        <f t="shared" ca="1" si="983"/>
        <v>#NAME?</v>
      </c>
      <c r="I112" s="163" t="e">
        <f t="shared" ca="1" si="983"/>
        <v>#NAME?</v>
      </c>
      <c r="J112" s="163" t="e">
        <f t="shared" ca="1" si="983"/>
        <v>#NAME?</v>
      </c>
      <c r="K112" s="163" t="e">
        <f t="shared" ca="1" si="983"/>
        <v>#NAME?</v>
      </c>
      <c r="L112" s="163" t="e">
        <f t="shared" ca="1" si="983"/>
        <v>#NAME?</v>
      </c>
      <c r="M112" s="163" t="e">
        <f t="shared" ca="1" si="983"/>
        <v>#NAME?</v>
      </c>
      <c r="N112" s="163" t="e">
        <f t="shared" ca="1" si="983"/>
        <v>#NAME?</v>
      </c>
      <c r="O112" s="163" t="e">
        <f t="shared" ca="1" si="983"/>
        <v>#NAME?</v>
      </c>
      <c r="P112" s="163" t="e">
        <f t="shared" ca="1" si="983"/>
        <v>#NAME?</v>
      </c>
      <c r="Q112" s="163" t="e">
        <f t="shared" ca="1" si="983"/>
        <v>#NAME?</v>
      </c>
      <c r="R112" s="163" t="e">
        <f t="shared" ca="1" si="983"/>
        <v>#NAME?</v>
      </c>
      <c r="S112" s="163" t="e">
        <f t="shared" ca="1" si="983"/>
        <v>#NAME?</v>
      </c>
      <c r="T112" s="163" t="e">
        <f t="shared" ca="1" si="983"/>
        <v>#NAME?</v>
      </c>
      <c r="U112" s="163" t="e">
        <f t="shared" ca="1" si="983"/>
        <v>#NAME?</v>
      </c>
      <c r="V112" s="163" t="e">
        <f t="shared" ca="1" si="983"/>
        <v>#NAME?</v>
      </c>
      <c r="W112" s="163" t="e">
        <f t="shared" ca="1" si="983"/>
        <v>#NAME?</v>
      </c>
      <c r="X112" s="163" t="e">
        <f t="shared" ca="1" si="983"/>
        <v>#NAME?</v>
      </c>
      <c r="Y112" s="163" t="e">
        <f t="shared" ca="1" si="983"/>
        <v>#NAME?</v>
      </c>
      <c r="Z112" s="163" t="e">
        <f t="shared" ca="1" si="988"/>
        <v>#NAME?</v>
      </c>
      <c r="AA112" s="163" t="e">
        <f t="shared" ca="1" si="988"/>
        <v>#NAME?</v>
      </c>
      <c r="AB112" s="94" t="e">
        <f t="shared" ca="1" si="983"/>
        <v>#NAME?</v>
      </c>
      <c r="AC112" s="94" t="e">
        <f t="shared" ca="1" si="983"/>
        <v>#NAME?</v>
      </c>
      <c r="AD112" s="94" t="e">
        <f t="shared" ca="1" si="983"/>
        <v>#NAME?</v>
      </c>
      <c r="AE112" s="94" t="e">
        <f t="shared" ca="1" si="983"/>
        <v>#NAME?</v>
      </c>
      <c r="AL112" s="163" t="e">
        <f t="shared" ref="AL112:BQ112" ca="1" si="993">+AL87/AL107</f>
        <v>#NAME?</v>
      </c>
      <c r="AM112" s="163" t="e">
        <f t="shared" ca="1" si="993"/>
        <v>#NAME?</v>
      </c>
      <c r="AN112" s="163" t="e">
        <f t="shared" ca="1" si="993"/>
        <v>#NAME?</v>
      </c>
      <c r="AO112" s="163" t="e">
        <f t="shared" ca="1" si="993"/>
        <v>#NAME?</v>
      </c>
      <c r="AP112" s="163" t="e">
        <f t="shared" ca="1" si="993"/>
        <v>#NAME?</v>
      </c>
      <c r="AQ112" s="163" t="e">
        <f t="shared" ca="1" si="993"/>
        <v>#NAME?</v>
      </c>
      <c r="AR112" s="163" t="e">
        <f t="shared" ca="1" si="993"/>
        <v>#NAME?</v>
      </c>
      <c r="AS112" s="163" t="e">
        <f t="shared" ca="1" si="993"/>
        <v>#NAME?</v>
      </c>
      <c r="AT112" s="163" t="e">
        <f t="shared" ca="1" si="993"/>
        <v>#NAME?</v>
      </c>
      <c r="AU112" s="163" t="e">
        <f t="shared" ca="1" si="993"/>
        <v>#NAME?</v>
      </c>
      <c r="AV112" s="163" t="e">
        <f t="shared" ca="1" si="993"/>
        <v>#NAME?</v>
      </c>
      <c r="AW112" s="163" t="e">
        <f t="shared" ca="1" si="993"/>
        <v>#NAME?</v>
      </c>
      <c r="AX112" s="163" t="e">
        <f t="shared" ca="1" si="993"/>
        <v>#NAME?</v>
      </c>
      <c r="AY112" s="163" t="e">
        <f t="shared" ca="1" si="993"/>
        <v>#NAME?</v>
      </c>
      <c r="AZ112" s="163" t="e">
        <f t="shared" ca="1" si="993"/>
        <v>#NAME?</v>
      </c>
      <c r="BA112" s="163" t="e">
        <f t="shared" ca="1" si="993"/>
        <v>#NAME?</v>
      </c>
      <c r="BB112" s="163" t="e">
        <f t="shared" ca="1" si="993"/>
        <v>#NAME?</v>
      </c>
      <c r="BC112" s="163" t="e">
        <f t="shared" ca="1" si="993"/>
        <v>#NAME?</v>
      </c>
      <c r="BD112" s="163" t="e">
        <f t="shared" ca="1" si="993"/>
        <v>#NAME?</v>
      </c>
      <c r="BE112" s="163" t="e">
        <f t="shared" ca="1" si="993"/>
        <v>#NAME?</v>
      </c>
      <c r="BF112" s="163" t="e">
        <f t="shared" ca="1" si="993"/>
        <v>#NAME?</v>
      </c>
      <c r="BG112" s="163" t="e">
        <f t="shared" ca="1" si="993"/>
        <v>#NAME?</v>
      </c>
      <c r="BH112" s="163" t="e">
        <f t="shared" ca="1" si="993"/>
        <v>#NAME?</v>
      </c>
      <c r="BI112" s="163" t="e">
        <f t="shared" ca="1" si="993"/>
        <v>#NAME?</v>
      </c>
      <c r="BJ112" s="163" t="e">
        <f t="shared" ca="1" si="993"/>
        <v>#NAME?</v>
      </c>
      <c r="BK112" s="163" t="e">
        <f t="shared" ca="1" si="993"/>
        <v>#NAME?</v>
      </c>
      <c r="BL112" s="163" t="e">
        <f t="shared" ca="1" si="993"/>
        <v>#NAME?</v>
      </c>
      <c r="BM112" s="163" t="e">
        <f t="shared" ca="1" si="993"/>
        <v>#NAME?</v>
      </c>
      <c r="BN112" s="163" t="e">
        <f t="shared" ca="1" si="993"/>
        <v>#NAME?</v>
      </c>
      <c r="BO112" s="163" t="e">
        <f t="shared" ca="1" si="993"/>
        <v>#NAME?</v>
      </c>
      <c r="BP112" s="163" t="e">
        <f t="shared" ca="1" si="993"/>
        <v>#NAME?</v>
      </c>
      <c r="BQ112" s="163" t="e">
        <f t="shared" ca="1" si="993"/>
        <v>#NAME?</v>
      </c>
      <c r="BR112" s="163" t="e">
        <f t="shared" ref="BR112:CJ112" ca="1" si="994">+BR87/BR107</f>
        <v>#NAME?</v>
      </c>
      <c r="BS112" s="163" t="e">
        <f t="shared" ca="1" si="994"/>
        <v>#NAME?</v>
      </c>
      <c r="BT112" s="163" t="e">
        <f t="shared" ca="1" si="994"/>
        <v>#NAME?</v>
      </c>
      <c r="BU112" s="163" t="e">
        <f t="shared" ca="1" si="994"/>
        <v>#NAME?</v>
      </c>
      <c r="BV112" s="163" t="e">
        <f t="shared" ca="1" si="994"/>
        <v>#NAME?</v>
      </c>
      <c r="BW112" s="163" t="e">
        <f t="shared" ca="1" si="994"/>
        <v>#NAME?</v>
      </c>
      <c r="BX112" s="163" t="e">
        <f t="shared" ca="1" si="994"/>
        <v>#NAME?</v>
      </c>
      <c r="BY112" s="163" t="e">
        <f t="shared" ca="1" si="994"/>
        <v>#NAME?</v>
      </c>
      <c r="BZ112" s="163" t="e">
        <f t="shared" ca="1" si="994"/>
        <v>#NAME?</v>
      </c>
      <c r="CA112" s="163" t="e">
        <f t="shared" ca="1" si="994"/>
        <v>#NAME?</v>
      </c>
      <c r="CB112" s="163" t="e">
        <f t="shared" ca="1" si="994"/>
        <v>#NAME?</v>
      </c>
      <c r="CC112" s="163" t="e">
        <f t="shared" ca="1" si="994"/>
        <v>#NAME?</v>
      </c>
      <c r="CD112" s="163" t="e">
        <f t="shared" ca="1" si="994"/>
        <v>#NAME?</v>
      </c>
      <c r="CE112" s="163" t="e">
        <f t="shared" ca="1" si="994"/>
        <v>#NAME?</v>
      </c>
      <c r="CF112" s="163" t="e">
        <f t="shared" ca="1" si="994"/>
        <v>#NAME?</v>
      </c>
      <c r="CG112" s="163" t="e">
        <f t="shared" ca="1" si="994"/>
        <v>#NAME?</v>
      </c>
      <c r="CH112" s="163" t="e">
        <f t="shared" ca="1" si="994"/>
        <v>#NAME?</v>
      </c>
      <c r="CI112" s="163" t="e">
        <f t="shared" ca="1" si="994"/>
        <v>#NAME?</v>
      </c>
      <c r="CJ112" s="163" t="e">
        <f t="shared" ca="1" si="994"/>
        <v>#NAME?</v>
      </c>
      <c r="CK112" s="163" t="e">
        <f t="shared" ref="CK112:CL112" ca="1" si="995">+CK87/CK107</f>
        <v>#NAME?</v>
      </c>
      <c r="CL112" s="163" t="e">
        <f t="shared" ca="1" si="995"/>
        <v>#NAME?</v>
      </c>
      <c r="CM112" s="94" t="e">
        <f t="shared" ref="CM112:DB112" ca="1" si="996">+CL112</f>
        <v>#NAME?</v>
      </c>
      <c r="CN112" s="94" t="e">
        <f t="shared" ca="1" si="996"/>
        <v>#NAME?</v>
      </c>
      <c r="CO112" s="94" t="e">
        <f t="shared" ca="1" si="996"/>
        <v>#NAME?</v>
      </c>
      <c r="CP112" s="94" t="e">
        <f t="shared" ca="1" si="996"/>
        <v>#NAME?</v>
      </c>
      <c r="CQ112" s="94" t="e">
        <f t="shared" ca="1" si="996"/>
        <v>#NAME?</v>
      </c>
      <c r="CR112" s="94" t="e">
        <f t="shared" ca="1" si="996"/>
        <v>#NAME?</v>
      </c>
      <c r="CS112" s="94" t="e">
        <f t="shared" ca="1" si="996"/>
        <v>#NAME?</v>
      </c>
      <c r="CT112" s="94" t="e">
        <f t="shared" ca="1" si="996"/>
        <v>#NAME?</v>
      </c>
      <c r="CU112" s="94" t="e">
        <f t="shared" ca="1" si="996"/>
        <v>#NAME?</v>
      </c>
      <c r="CV112" s="94" t="e">
        <f t="shared" ca="1" si="996"/>
        <v>#NAME?</v>
      </c>
      <c r="CW112" s="94" t="e">
        <f t="shared" ca="1" si="996"/>
        <v>#NAME?</v>
      </c>
      <c r="CX112" s="94" t="e">
        <f t="shared" ca="1" si="996"/>
        <v>#NAME?</v>
      </c>
      <c r="CY112" s="94" t="e">
        <f t="shared" ca="1" si="996"/>
        <v>#NAME?</v>
      </c>
      <c r="CZ112" s="94" t="e">
        <f t="shared" ca="1" si="996"/>
        <v>#NAME?</v>
      </c>
      <c r="DA112" s="94" t="e">
        <f t="shared" ca="1" si="996"/>
        <v>#NAME?</v>
      </c>
      <c r="DB112" s="94" t="e">
        <f t="shared" ca="1" si="996"/>
        <v>#NAME?</v>
      </c>
      <c r="DE112" s="164"/>
      <c r="DF112" s="163">
        <v>2.3954566741965699</v>
      </c>
    </row>
    <row r="113" spans="1:110" s="4" customFormat="1" collapsed="1" x14ac:dyDescent="0.2">
      <c r="A113" s="3"/>
      <c r="AB113" s="17"/>
      <c r="AC113" s="17"/>
      <c r="AD113" s="17"/>
      <c r="AE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E113" s="119"/>
    </row>
    <row r="114" spans="1:110" s="4" customFormat="1" x14ac:dyDescent="0.2">
      <c r="A114" s="3"/>
      <c r="AB114" s="17"/>
      <c r="AC114" s="17"/>
      <c r="AD114" s="17"/>
      <c r="AE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E114" s="119"/>
    </row>
    <row r="115" spans="1:110" s="162" customFormat="1" x14ac:dyDescent="0.2">
      <c r="A115" s="49" t="s">
        <v>340</v>
      </c>
      <c r="B115" s="162" t="e">
        <f t="shared" ref="B115:AE115" ca="1" si="997">+B86*B73</f>
        <v>#NAME?</v>
      </c>
      <c r="C115" s="162" t="e">
        <f t="shared" ca="1" si="997"/>
        <v>#NAME?</v>
      </c>
      <c r="D115" s="162" t="e">
        <f t="shared" ca="1" si="997"/>
        <v>#NAME?</v>
      </c>
      <c r="E115" s="162" t="e">
        <f t="shared" ca="1" si="997"/>
        <v>#NAME?</v>
      </c>
      <c r="F115" s="162" t="e">
        <f t="shared" ca="1" si="997"/>
        <v>#NAME?</v>
      </c>
      <c r="G115" s="162" t="e">
        <f t="shared" ca="1" si="997"/>
        <v>#NAME?</v>
      </c>
      <c r="H115" s="162" t="e">
        <f t="shared" ca="1" si="997"/>
        <v>#NAME?</v>
      </c>
      <c r="I115" s="162" t="e">
        <f t="shared" ca="1" si="997"/>
        <v>#NAME?</v>
      </c>
      <c r="J115" s="162" t="e">
        <f t="shared" ca="1" si="997"/>
        <v>#NAME?</v>
      </c>
      <c r="K115" s="162" t="e">
        <f t="shared" ca="1" si="997"/>
        <v>#NAME?</v>
      </c>
      <c r="L115" s="162" t="e">
        <f t="shared" ca="1" si="997"/>
        <v>#NAME?</v>
      </c>
      <c r="M115" s="162" t="e">
        <f t="shared" ca="1" si="997"/>
        <v>#NAME?</v>
      </c>
      <c r="N115" s="162" t="e">
        <f t="shared" ca="1" si="997"/>
        <v>#NAME?</v>
      </c>
      <c r="O115" s="162" t="e">
        <f t="shared" ca="1" si="997"/>
        <v>#NAME?</v>
      </c>
      <c r="P115" s="162" t="e">
        <f t="shared" ca="1" si="997"/>
        <v>#NAME?</v>
      </c>
      <c r="Q115" s="162" t="e">
        <f t="shared" ca="1" si="997"/>
        <v>#NAME?</v>
      </c>
      <c r="R115" s="162" t="e">
        <f t="shared" ca="1" si="997"/>
        <v>#NAME?</v>
      </c>
      <c r="S115" s="162" t="e">
        <f t="shared" ca="1" si="997"/>
        <v>#NAME?</v>
      </c>
      <c r="T115" s="162" t="e">
        <f t="shared" ca="1" si="997"/>
        <v>#NAME?</v>
      </c>
      <c r="U115" s="162" t="e">
        <f t="shared" ca="1" si="997"/>
        <v>#NAME?</v>
      </c>
      <c r="V115" s="162" t="e">
        <f t="shared" ca="1" si="997"/>
        <v>#NAME?</v>
      </c>
      <c r="W115" s="162" t="e">
        <f t="shared" ca="1" si="997"/>
        <v>#NAME?</v>
      </c>
      <c r="X115" s="162" t="e">
        <f t="shared" ca="1" si="997"/>
        <v>#NAME?</v>
      </c>
      <c r="Y115" s="162" t="e">
        <f t="shared" ca="1" si="997"/>
        <v>#NAME?</v>
      </c>
      <c r="Z115" s="162" t="e">
        <f t="shared" ca="1" si="997"/>
        <v>#NAME?</v>
      </c>
      <c r="AA115" s="162" t="e">
        <f t="shared" ref="AA115" ca="1" si="998">+AA86*AA73</f>
        <v>#NAME?</v>
      </c>
      <c r="AB115" s="21" t="e">
        <f t="shared" ca="1" si="997"/>
        <v>#NAME?</v>
      </c>
      <c r="AC115" s="21" t="e">
        <f t="shared" ca="1" si="997"/>
        <v>#NAME?</v>
      </c>
      <c r="AD115" s="21" t="e">
        <f t="shared" ca="1" si="997"/>
        <v>#NAME?</v>
      </c>
      <c r="AE115" s="21" t="e">
        <f t="shared" ca="1" si="997"/>
        <v>#NAME?</v>
      </c>
      <c r="AL115" s="162" t="e">
        <f t="shared" ref="AL115:BQ115" ca="1" si="999">+AL86*AL73</f>
        <v>#NAME?</v>
      </c>
      <c r="AM115" s="162" t="e">
        <f t="shared" ca="1" si="999"/>
        <v>#NAME?</v>
      </c>
      <c r="AN115" s="162" t="e">
        <f t="shared" ca="1" si="999"/>
        <v>#NAME?</v>
      </c>
      <c r="AO115" s="162" t="e">
        <f t="shared" ca="1" si="999"/>
        <v>#NAME?</v>
      </c>
      <c r="AP115" s="162" t="e">
        <f t="shared" ca="1" si="999"/>
        <v>#NAME?</v>
      </c>
      <c r="AQ115" s="162" t="e">
        <f t="shared" ca="1" si="999"/>
        <v>#NAME?</v>
      </c>
      <c r="AR115" s="162" t="e">
        <f t="shared" ca="1" si="999"/>
        <v>#NAME?</v>
      </c>
      <c r="AS115" s="162" t="e">
        <f t="shared" ca="1" si="999"/>
        <v>#NAME?</v>
      </c>
      <c r="AT115" s="162" t="e">
        <f t="shared" ca="1" si="999"/>
        <v>#NAME?</v>
      </c>
      <c r="AU115" s="162" t="e">
        <f t="shared" ca="1" si="999"/>
        <v>#NAME?</v>
      </c>
      <c r="AV115" s="162" t="e">
        <f t="shared" ca="1" si="999"/>
        <v>#NAME?</v>
      </c>
      <c r="AW115" s="162" t="e">
        <f t="shared" ca="1" si="999"/>
        <v>#NAME?</v>
      </c>
      <c r="AX115" s="162" t="e">
        <f t="shared" ca="1" si="999"/>
        <v>#NAME?</v>
      </c>
      <c r="AY115" s="162" t="e">
        <f t="shared" ca="1" si="999"/>
        <v>#NAME?</v>
      </c>
      <c r="AZ115" s="162" t="e">
        <f t="shared" ca="1" si="999"/>
        <v>#NAME?</v>
      </c>
      <c r="BA115" s="162" t="e">
        <f t="shared" ca="1" si="999"/>
        <v>#NAME?</v>
      </c>
      <c r="BB115" s="162" t="e">
        <f t="shared" ca="1" si="999"/>
        <v>#NAME?</v>
      </c>
      <c r="BC115" s="162" t="e">
        <f t="shared" ca="1" si="999"/>
        <v>#NAME?</v>
      </c>
      <c r="BD115" s="162" t="e">
        <f t="shared" ca="1" si="999"/>
        <v>#NAME?</v>
      </c>
      <c r="BE115" s="162" t="e">
        <f t="shared" ca="1" si="999"/>
        <v>#NAME?</v>
      </c>
      <c r="BF115" s="162" t="e">
        <f t="shared" ca="1" si="999"/>
        <v>#NAME?</v>
      </c>
      <c r="BG115" s="162" t="e">
        <f t="shared" ca="1" si="999"/>
        <v>#NAME?</v>
      </c>
      <c r="BH115" s="162" t="e">
        <f t="shared" ca="1" si="999"/>
        <v>#NAME?</v>
      </c>
      <c r="BI115" s="162" t="e">
        <f t="shared" ca="1" si="999"/>
        <v>#NAME?</v>
      </c>
      <c r="BJ115" s="162" t="e">
        <f t="shared" ca="1" si="999"/>
        <v>#NAME?</v>
      </c>
      <c r="BK115" s="162" t="e">
        <f t="shared" ca="1" si="999"/>
        <v>#NAME?</v>
      </c>
      <c r="BL115" s="162" t="e">
        <f t="shared" ca="1" si="999"/>
        <v>#NAME?</v>
      </c>
      <c r="BM115" s="162" t="e">
        <f t="shared" ca="1" si="999"/>
        <v>#NAME?</v>
      </c>
      <c r="BN115" s="162" t="e">
        <f t="shared" ca="1" si="999"/>
        <v>#NAME?</v>
      </c>
      <c r="BO115" s="162" t="e">
        <f t="shared" ca="1" si="999"/>
        <v>#NAME?</v>
      </c>
      <c r="BP115" s="162" t="e">
        <f t="shared" ca="1" si="999"/>
        <v>#NAME?</v>
      </c>
      <c r="BQ115" s="162" t="e">
        <f t="shared" ca="1" si="999"/>
        <v>#NAME?</v>
      </c>
      <c r="BR115" s="162" t="e">
        <f t="shared" ref="BR115:CJ115" ca="1" si="1000">+BR86*BR73</f>
        <v>#NAME?</v>
      </c>
      <c r="BS115" s="162" t="e">
        <f t="shared" ca="1" si="1000"/>
        <v>#NAME?</v>
      </c>
      <c r="BT115" s="162" t="e">
        <f t="shared" ca="1" si="1000"/>
        <v>#NAME?</v>
      </c>
      <c r="BU115" s="162" t="e">
        <f t="shared" ca="1" si="1000"/>
        <v>#NAME?</v>
      </c>
      <c r="BV115" s="162" t="e">
        <f t="shared" ca="1" si="1000"/>
        <v>#NAME?</v>
      </c>
      <c r="BW115" s="162" t="e">
        <f t="shared" ca="1" si="1000"/>
        <v>#NAME?</v>
      </c>
      <c r="BX115" s="162" t="e">
        <f t="shared" ca="1" si="1000"/>
        <v>#NAME?</v>
      </c>
      <c r="BY115" s="162" t="e">
        <f t="shared" ca="1" si="1000"/>
        <v>#NAME?</v>
      </c>
      <c r="BZ115" s="162" t="e">
        <f t="shared" ca="1" si="1000"/>
        <v>#NAME?</v>
      </c>
      <c r="CA115" s="162" t="e">
        <f t="shared" ca="1" si="1000"/>
        <v>#NAME?</v>
      </c>
      <c r="CB115" s="162" t="e">
        <f t="shared" ca="1" si="1000"/>
        <v>#NAME?</v>
      </c>
      <c r="CC115" s="162" t="e">
        <f t="shared" ca="1" si="1000"/>
        <v>#NAME?</v>
      </c>
      <c r="CD115" s="162" t="e">
        <f t="shared" ca="1" si="1000"/>
        <v>#NAME?</v>
      </c>
      <c r="CE115" s="162" t="e">
        <f t="shared" ca="1" si="1000"/>
        <v>#NAME?</v>
      </c>
      <c r="CF115" s="162" t="e">
        <f t="shared" ca="1" si="1000"/>
        <v>#NAME?</v>
      </c>
      <c r="CG115" s="162" t="e">
        <f t="shared" ca="1" si="1000"/>
        <v>#NAME?</v>
      </c>
      <c r="CH115" s="162" t="e">
        <f t="shared" ca="1" si="1000"/>
        <v>#NAME?</v>
      </c>
      <c r="CI115" s="162" t="e">
        <f t="shared" ca="1" si="1000"/>
        <v>#NAME?</v>
      </c>
      <c r="CJ115" s="162" t="e">
        <f t="shared" ca="1" si="1000"/>
        <v>#NAME?</v>
      </c>
      <c r="CK115" s="162" t="e">
        <f t="shared" ref="CK115:CL115" ca="1" si="1001">+CK86*CK73</f>
        <v>#NAME?</v>
      </c>
      <c r="CL115" s="162" t="e">
        <f t="shared" ca="1" si="1001"/>
        <v>#NAME?</v>
      </c>
      <c r="CM115" s="21" t="e">
        <f t="shared" ref="CM115:DB115" ca="1" si="1002">+CM118-CM117</f>
        <v>#NAME?</v>
      </c>
      <c r="CN115" s="21" t="e">
        <f t="shared" ca="1" si="1002"/>
        <v>#NAME?</v>
      </c>
      <c r="CO115" s="21" t="e">
        <f t="shared" ca="1" si="1002"/>
        <v>#NAME?</v>
      </c>
      <c r="CP115" s="21" t="e">
        <f t="shared" ca="1" si="1002"/>
        <v>#NAME?</v>
      </c>
      <c r="CQ115" s="21" t="e">
        <f t="shared" ca="1" si="1002"/>
        <v>#NAME?</v>
      </c>
      <c r="CR115" s="21" t="e">
        <f t="shared" ca="1" si="1002"/>
        <v>#NAME?</v>
      </c>
      <c r="CS115" s="21" t="e">
        <f t="shared" ca="1" si="1002"/>
        <v>#NAME?</v>
      </c>
      <c r="CT115" s="21" t="e">
        <f t="shared" ca="1" si="1002"/>
        <v>#NAME?</v>
      </c>
      <c r="CU115" s="21" t="e">
        <f t="shared" ca="1" si="1002"/>
        <v>#NAME?</v>
      </c>
      <c r="CV115" s="21" t="e">
        <f t="shared" ca="1" si="1002"/>
        <v>#NAME?</v>
      </c>
      <c r="CW115" s="21" t="e">
        <f t="shared" ca="1" si="1002"/>
        <v>#NAME?</v>
      </c>
      <c r="CX115" s="21" t="e">
        <f t="shared" ca="1" si="1002"/>
        <v>#NAME?</v>
      </c>
      <c r="CY115" s="21" t="e">
        <f t="shared" ca="1" si="1002"/>
        <v>#NAME?</v>
      </c>
      <c r="CZ115" s="21" t="e">
        <f t="shared" ca="1" si="1002"/>
        <v>#NAME?</v>
      </c>
      <c r="DA115" s="21" t="e">
        <f t="shared" ca="1" si="1002"/>
        <v>#NAME?</v>
      </c>
      <c r="DB115" s="21" t="e">
        <f t="shared" ca="1" si="1002"/>
        <v>#NAME?</v>
      </c>
      <c r="DE115" s="22"/>
      <c r="DF115" s="162">
        <v>154487.5</v>
      </c>
    </row>
    <row r="116" spans="1:110" s="162" customFormat="1" x14ac:dyDescent="0.2">
      <c r="A116" s="49" t="s">
        <v>341</v>
      </c>
      <c r="B116" s="162" t="e">
        <f t="shared" ref="B116:AE116" ca="1" si="1003">+B87*B73</f>
        <v>#NAME?</v>
      </c>
      <c r="C116" s="162" t="e">
        <f t="shared" ca="1" si="1003"/>
        <v>#NAME?</v>
      </c>
      <c r="D116" s="162" t="e">
        <f t="shared" ca="1" si="1003"/>
        <v>#NAME?</v>
      </c>
      <c r="E116" s="162" t="e">
        <f t="shared" ca="1" si="1003"/>
        <v>#NAME?</v>
      </c>
      <c r="F116" s="162" t="e">
        <f t="shared" ca="1" si="1003"/>
        <v>#NAME?</v>
      </c>
      <c r="G116" s="162" t="e">
        <f t="shared" ca="1" si="1003"/>
        <v>#NAME?</v>
      </c>
      <c r="H116" s="162" t="e">
        <f t="shared" ca="1" si="1003"/>
        <v>#NAME?</v>
      </c>
      <c r="I116" s="162" t="e">
        <f t="shared" ca="1" si="1003"/>
        <v>#NAME?</v>
      </c>
      <c r="J116" s="162" t="e">
        <f t="shared" ca="1" si="1003"/>
        <v>#NAME?</v>
      </c>
      <c r="K116" s="162" t="e">
        <f t="shared" ca="1" si="1003"/>
        <v>#NAME?</v>
      </c>
      <c r="L116" s="162" t="e">
        <f t="shared" ca="1" si="1003"/>
        <v>#NAME?</v>
      </c>
      <c r="M116" s="162" t="e">
        <f t="shared" ca="1" si="1003"/>
        <v>#NAME?</v>
      </c>
      <c r="N116" s="162" t="e">
        <f t="shared" ca="1" si="1003"/>
        <v>#NAME?</v>
      </c>
      <c r="O116" s="162" t="e">
        <f t="shared" ca="1" si="1003"/>
        <v>#NAME?</v>
      </c>
      <c r="P116" s="162" t="e">
        <f t="shared" ca="1" si="1003"/>
        <v>#NAME?</v>
      </c>
      <c r="Q116" s="162" t="e">
        <f t="shared" ca="1" si="1003"/>
        <v>#NAME?</v>
      </c>
      <c r="R116" s="162" t="e">
        <f t="shared" ca="1" si="1003"/>
        <v>#NAME?</v>
      </c>
      <c r="S116" s="162" t="e">
        <f t="shared" ca="1" si="1003"/>
        <v>#NAME?</v>
      </c>
      <c r="T116" s="162" t="e">
        <f t="shared" ca="1" si="1003"/>
        <v>#NAME?</v>
      </c>
      <c r="U116" s="162" t="e">
        <f t="shared" ca="1" si="1003"/>
        <v>#NAME?</v>
      </c>
      <c r="V116" s="162" t="e">
        <f t="shared" ca="1" si="1003"/>
        <v>#NAME?</v>
      </c>
      <c r="W116" s="162" t="e">
        <f t="shared" ca="1" si="1003"/>
        <v>#NAME?</v>
      </c>
      <c r="X116" s="162" t="e">
        <f t="shared" ca="1" si="1003"/>
        <v>#NAME?</v>
      </c>
      <c r="Y116" s="162" t="e">
        <f t="shared" ca="1" si="1003"/>
        <v>#NAME?</v>
      </c>
      <c r="Z116" s="162" t="e">
        <f t="shared" ca="1" si="1003"/>
        <v>#NAME?</v>
      </c>
      <c r="AA116" s="162" t="e">
        <f t="shared" ref="AA116" ca="1" si="1004">+AA87*AA73</f>
        <v>#NAME?</v>
      </c>
      <c r="AB116" s="21" t="e">
        <f t="shared" ca="1" si="1003"/>
        <v>#NAME?</v>
      </c>
      <c r="AC116" s="21" t="e">
        <f t="shared" ca="1" si="1003"/>
        <v>#NAME?</v>
      </c>
      <c r="AD116" s="21" t="e">
        <f t="shared" ca="1" si="1003"/>
        <v>#NAME?</v>
      </c>
      <c r="AE116" s="21" t="e">
        <f t="shared" ca="1" si="1003"/>
        <v>#NAME?</v>
      </c>
      <c r="AL116" s="162" t="e">
        <f t="shared" ref="AL116:BQ116" ca="1" si="1005">+AL87*AL73</f>
        <v>#NAME?</v>
      </c>
      <c r="AM116" s="162" t="e">
        <f t="shared" ca="1" si="1005"/>
        <v>#NAME?</v>
      </c>
      <c r="AN116" s="162" t="e">
        <f t="shared" ca="1" si="1005"/>
        <v>#NAME?</v>
      </c>
      <c r="AO116" s="162" t="e">
        <f t="shared" ca="1" si="1005"/>
        <v>#NAME?</v>
      </c>
      <c r="AP116" s="162" t="e">
        <f t="shared" ca="1" si="1005"/>
        <v>#NAME?</v>
      </c>
      <c r="AQ116" s="162" t="e">
        <f t="shared" ca="1" si="1005"/>
        <v>#NAME?</v>
      </c>
      <c r="AR116" s="162" t="e">
        <f t="shared" ca="1" si="1005"/>
        <v>#NAME?</v>
      </c>
      <c r="AS116" s="162" t="e">
        <f t="shared" ca="1" si="1005"/>
        <v>#NAME?</v>
      </c>
      <c r="AT116" s="162" t="e">
        <f t="shared" ca="1" si="1005"/>
        <v>#NAME?</v>
      </c>
      <c r="AU116" s="162" t="e">
        <f t="shared" ca="1" si="1005"/>
        <v>#NAME?</v>
      </c>
      <c r="AV116" s="162" t="e">
        <f t="shared" ca="1" si="1005"/>
        <v>#NAME?</v>
      </c>
      <c r="AW116" s="162" t="e">
        <f t="shared" ca="1" si="1005"/>
        <v>#NAME?</v>
      </c>
      <c r="AX116" s="162" t="e">
        <f t="shared" ca="1" si="1005"/>
        <v>#NAME?</v>
      </c>
      <c r="AY116" s="162" t="e">
        <f t="shared" ca="1" si="1005"/>
        <v>#NAME?</v>
      </c>
      <c r="AZ116" s="162" t="e">
        <f t="shared" ca="1" si="1005"/>
        <v>#NAME?</v>
      </c>
      <c r="BA116" s="162" t="e">
        <f t="shared" ca="1" si="1005"/>
        <v>#NAME?</v>
      </c>
      <c r="BB116" s="162" t="e">
        <f t="shared" ca="1" si="1005"/>
        <v>#NAME?</v>
      </c>
      <c r="BC116" s="162" t="e">
        <f t="shared" ca="1" si="1005"/>
        <v>#NAME?</v>
      </c>
      <c r="BD116" s="162" t="e">
        <f t="shared" ca="1" si="1005"/>
        <v>#NAME?</v>
      </c>
      <c r="BE116" s="162" t="e">
        <f t="shared" ca="1" si="1005"/>
        <v>#NAME?</v>
      </c>
      <c r="BF116" s="162" t="e">
        <f t="shared" ca="1" si="1005"/>
        <v>#NAME?</v>
      </c>
      <c r="BG116" s="162" t="e">
        <f t="shared" ca="1" si="1005"/>
        <v>#NAME?</v>
      </c>
      <c r="BH116" s="162" t="e">
        <f t="shared" ca="1" si="1005"/>
        <v>#NAME?</v>
      </c>
      <c r="BI116" s="162" t="e">
        <f t="shared" ca="1" si="1005"/>
        <v>#NAME?</v>
      </c>
      <c r="BJ116" s="162" t="e">
        <f t="shared" ca="1" si="1005"/>
        <v>#NAME?</v>
      </c>
      <c r="BK116" s="162" t="e">
        <f t="shared" ca="1" si="1005"/>
        <v>#NAME?</v>
      </c>
      <c r="BL116" s="162" t="e">
        <f t="shared" ca="1" si="1005"/>
        <v>#NAME?</v>
      </c>
      <c r="BM116" s="162" t="e">
        <f t="shared" ca="1" si="1005"/>
        <v>#NAME?</v>
      </c>
      <c r="BN116" s="162" t="e">
        <f t="shared" ca="1" si="1005"/>
        <v>#NAME?</v>
      </c>
      <c r="BO116" s="162" t="e">
        <f t="shared" ca="1" si="1005"/>
        <v>#NAME?</v>
      </c>
      <c r="BP116" s="162" t="e">
        <f t="shared" ca="1" si="1005"/>
        <v>#NAME?</v>
      </c>
      <c r="BQ116" s="162" t="e">
        <f t="shared" ca="1" si="1005"/>
        <v>#NAME?</v>
      </c>
      <c r="BR116" s="162" t="e">
        <f t="shared" ref="BR116:CJ116" ca="1" si="1006">+BR87*BR73</f>
        <v>#NAME?</v>
      </c>
      <c r="BS116" s="162" t="e">
        <f t="shared" ca="1" si="1006"/>
        <v>#NAME?</v>
      </c>
      <c r="BT116" s="162" t="e">
        <f t="shared" ca="1" si="1006"/>
        <v>#NAME?</v>
      </c>
      <c r="BU116" s="162" t="e">
        <f t="shared" ca="1" si="1006"/>
        <v>#NAME?</v>
      </c>
      <c r="BV116" s="162" t="e">
        <f t="shared" ca="1" si="1006"/>
        <v>#NAME?</v>
      </c>
      <c r="BW116" s="162" t="e">
        <f t="shared" ca="1" si="1006"/>
        <v>#NAME?</v>
      </c>
      <c r="BX116" s="162" t="e">
        <f t="shared" ca="1" si="1006"/>
        <v>#NAME?</v>
      </c>
      <c r="BY116" s="162" t="e">
        <f t="shared" ca="1" si="1006"/>
        <v>#NAME?</v>
      </c>
      <c r="BZ116" s="162" t="e">
        <f t="shared" ca="1" si="1006"/>
        <v>#NAME?</v>
      </c>
      <c r="CA116" s="162" t="e">
        <f t="shared" ca="1" si="1006"/>
        <v>#NAME?</v>
      </c>
      <c r="CB116" s="162" t="e">
        <f t="shared" ca="1" si="1006"/>
        <v>#NAME?</v>
      </c>
      <c r="CC116" s="162" t="e">
        <f t="shared" ca="1" si="1006"/>
        <v>#NAME?</v>
      </c>
      <c r="CD116" s="162" t="e">
        <f t="shared" ca="1" si="1006"/>
        <v>#NAME?</v>
      </c>
      <c r="CE116" s="162" t="e">
        <f t="shared" ca="1" si="1006"/>
        <v>#NAME?</v>
      </c>
      <c r="CF116" s="162" t="e">
        <f t="shared" ca="1" si="1006"/>
        <v>#NAME?</v>
      </c>
      <c r="CG116" s="162" t="e">
        <f t="shared" ca="1" si="1006"/>
        <v>#NAME?</v>
      </c>
      <c r="CH116" s="162" t="e">
        <f t="shared" ca="1" si="1006"/>
        <v>#NAME?</v>
      </c>
      <c r="CI116" s="162" t="e">
        <f t="shared" ca="1" si="1006"/>
        <v>#NAME?</v>
      </c>
      <c r="CJ116" s="162" t="e">
        <f t="shared" ca="1" si="1006"/>
        <v>#NAME?</v>
      </c>
      <c r="CK116" s="162" t="e">
        <f t="shared" ref="CK116:CL116" ca="1" si="1007">+CK87*CK73</f>
        <v>#NAME?</v>
      </c>
      <c r="CL116" s="162" t="e">
        <f t="shared" ca="1" si="1007"/>
        <v>#NAME?</v>
      </c>
      <c r="CM116" s="21" t="e">
        <f t="shared" ref="CM116:DB116" ca="1" si="1008">+CM119-CM117</f>
        <v>#NAME?</v>
      </c>
      <c r="CN116" s="21" t="e">
        <f t="shared" ca="1" si="1008"/>
        <v>#NAME?</v>
      </c>
      <c r="CO116" s="21" t="e">
        <f t="shared" ca="1" si="1008"/>
        <v>#NAME?</v>
      </c>
      <c r="CP116" s="21" t="e">
        <f t="shared" ca="1" si="1008"/>
        <v>#NAME?</v>
      </c>
      <c r="CQ116" s="21" t="e">
        <f t="shared" ca="1" si="1008"/>
        <v>#NAME?</v>
      </c>
      <c r="CR116" s="21" t="e">
        <f t="shared" ca="1" si="1008"/>
        <v>#NAME?</v>
      </c>
      <c r="CS116" s="21" t="e">
        <f t="shared" ca="1" si="1008"/>
        <v>#NAME?</v>
      </c>
      <c r="CT116" s="21" t="e">
        <f t="shared" ca="1" si="1008"/>
        <v>#NAME?</v>
      </c>
      <c r="CU116" s="21" t="e">
        <f t="shared" ca="1" si="1008"/>
        <v>#NAME?</v>
      </c>
      <c r="CV116" s="21" t="e">
        <f t="shared" ca="1" si="1008"/>
        <v>#NAME?</v>
      </c>
      <c r="CW116" s="21" t="e">
        <f t="shared" ca="1" si="1008"/>
        <v>#NAME?</v>
      </c>
      <c r="CX116" s="21" t="e">
        <f t="shared" ca="1" si="1008"/>
        <v>#NAME?</v>
      </c>
      <c r="CY116" s="21" t="e">
        <f t="shared" ca="1" si="1008"/>
        <v>#NAME?</v>
      </c>
      <c r="CZ116" s="21" t="e">
        <f t="shared" ca="1" si="1008"/>
        <v>#NAME?</v>
      </c>
      <c r="DA116" s="21" t="e">
        <f t="shared" ca="1" si="1008"/>
        <v>#NAME?</v>
      </c>
      <c r="DB116" s="21" t="e">
        <f t="shared" ca="1" si="1008"/>
        <v>#NAME?</v>
      </c>
      <c r="DE116" s="22"/>
      <c r="DF116" s="162">
        <v>97388.92</v>
      </c>
    </row>
    <row r="117" spans="1:110" s="162" customFormat="1" x14ac:dyDescent="0.2">
      <c r="A117" s="49" t="s">
        <v>80</v>
      </c>
      <c r="B117" s="162" t="e">
        <f ca="1">+B181</f>
        <v>#NAME?</v>
      </c>
      <c r="C117" s="162" t="e">
        <f t="shared" ref="C117:W117" ca="1" si="1009">+C181</f>
        <v>#NAME?</v>
      </c>
      <c r="D117" s="162" t="e">
        <f t="shared" ca="1" si="1009"/>
        <v>#NAME?</v>
      </c>
      <c r="E117" s="162" t="e">
        <f t="shared" ca="1" si="1009"/>
        <v>#NAME?</v>
      </c>
      <c r="F117" s="162" t="e">
        <f t="shared" ca="1" si="1009"/>
        <v>#NAME?</v>
      </c>
      <c r="G117" s="162" t="e">
        <f t="shared" ca="1" si="1009"/>
        <v>#NAME?</v>
      </c>
      <c r="H117" s="162" t="e">
        <f t="shared" ca="1" si="1009"/>
        <v>#NAME?</v>
      </c>
      <c r="I117" s="162" t="e">
        <f t="shared" ca="1" si="1009"/>
        <v>#NAME?</v>
      </c>
      <c r="J117" s="162" t="e">
        <f t="shared" ca="1" si="1009"/>
        <v>#NAME?</v>
      </c>
      <c r="K117" s="162" t="e">
        <f t="shared" ca="1" si="1009"/>
        <v>#NAME?</v>
      </c>
      <c r="L117" s="162" t="e">
        <f t="shared" ca="1" si="1009"/>
        <v>#NAME?</v>
      </c>
      <c r="M117" s="162" t="e">
        <f t="shared" ca="1" si="1009"/>
        <v>#NAME?</v>
      </c>
      <c r="N117" s="162" t="e">
        <f t="shared" ca="1" si="1009"/>
        <v>#NAME?</v>
      </c>
      <c r="O117" s="162" t="e">
        <f t="shared" ca="1" si="1009"/>
        <v>#NAME?</v>
      </c>
      <c r="P117" s="162" t="e">
        <f t="shared" ca="1" si="1009"/>
        <v>#NAME?</v>
      </c>
      <c r="Q117" s="162" t="e">
        <f t="shared" ca="1" si="1009"/>
        <v>#NAME?</v>
      </c>
      <c r="R117" s="162" t="e">
        <f t="shared" ca="1" si="1009"/>
        <v>#NAME?</v>
      </c>
      <c r="S117" s="162" t="e">
        <f t="shared" ca="1" si="1009"/>
        <v>#NAME?</v>
      </c>
      <c r="T117" s="162" t="e">
        <f t="shared" ca="1" si="1009"/>
        <v>#NAME?</v>
      </c>
      <c r="U117" s="162" t="e">
        <f t="shared" ca="1" si="1009"/>
        <v>#NAME?</v>
      </c>
      <c r="V117" s="162" t="e">
        <f t="shared" ca="1" si="1009"/>
        <v>#NAME?</v>
      </c>
      <c r="W117" s="162" t="e">
        <f t="shared" ca="1" si="1009"/>
        <v>#NAME?</v>
      </c>
      <c r="X117" s="162" t="e">
        <f t="shared" ref="X117:Y117" ca="1" si="1010">+X181</f>
        <v>#NAME?</v>
      </c>
      <c r="Y117" s="162" t="e">
        <f t="shared" ca="1" si="1010"/>
        <v>#NAME?</v>
      </c>
      <c r="Z117" s="162" t="e">
        <f t="shared" ref="Z117:AA117" ca="1" si="1011">+Z181</f>
        <v>#NAME?</v>
      </c>
      <c r="AA117" s="162" t="e">
        <f t="shared" ca="1" si="1011"/>
        <v>#NAME?</v>
      </c>
      <c r="AB117" s="21" t="e">
        <f t="shared" ref="AA117:AD117" ca="1" si="1012">+AB181</f>
        <v>#NAME?</v>
      </c>
      <c r="AC117" s="21" t="e">
        <f t="shared" ca="1" si="1012"/>
        <v>#NAME?</v>
      </c>
      <c r="AD117" s="21" t="e">
        <f t="shared" ca="1" si="1012"/>
        <v>#NAME?</v>
      </c>
      <c r="AE117" s="21" t="e">
        <f t="shared" ref="AE117" ca="1" si="1013">+AE181</f>
        <v>#NAME?</v>
      </c>
      <c r="AL117" s="162" t="e">
        <f t="shared" ref="AL117:AM117" ca="1" si="1014">+AL181</f>
        <v>#NAME?</v>
      </c>
      <c r="AM117" s="162" t="e">
        <f t="shared" ca="1" si="1014"/>
        <v>#NAME?</v>
      </c>
      <c r="AN117" s="162" t="e">
        <f t="shared" ref="AN117:AO117" ca="1" si="1015">+AN181</f>
        <v>#NAME?</v>
      </c>
      <c r="AO117" s="162" t="e">
        <f t="shared" ca="1" si="1015"/>
        <v>#NAME?</v>
      </c>
      <c r="AP117" s="162" t="e">
        <f t="shared" ref="AP117:CD117" ca="1" si="1016">+AP181</f>
        <v>#NAME?</v>
      </c>
      <c r="AQ117" s="162" t="e">
        <f t="shared" ca="1" si="1016"/>
        <v>#NAME?</v>
      </c>
      <c r="AR117" s="162" t="e">
        <f t="shared" ca="1" si="1016"/>
        <v>#NAME?</v>
      </c>
      <c r="AS117" s="162" t="e">
        <f t="shared" ca="1" si="1016"/>
        <v>#NAME?</v>
      </c>
      <c r="AT117" s="162" t="e">
        <f t="shared" ca="1" si="1016"/>
        <v>#NAME?</v>
      </c>
      <c r="AU117" s="162" t="e">
        <f t="shared" ca="1" si="1016"/>
        <v>#NAME?</v>
      </c>
      <c r="AV117" s="162" t="e">
        <f t="shared" ca="1" si="1016"/>
        <v>#NAME?</v>
      </c>
      <c r="AW117" s="162" t="e">
        <f t="shared" ca="1" si="1016"/>
        <v>#NAME?</v>
      </c>
      <c r="AX117" s="162" t="e">
        <f t="shared" ca="1" si="1016"/>
        <v>#NAME?</v>
      </c>
      <c r="AY117" s="162" t="e">
        <f t="shared" ca="1" si="1016"/>
        <v>#NAME?</v>
      </c>
      <c r="AZ117" s="162" t="e">
        <f t="shared" ca="1" si="1016"/>
        <v>#NAME?</v>
      </c>
      <c r="BA117" s="162" t="e">
        <f t="shared" ca="1" si="1016"/>
        <v>#NAME?</v>
      </c>
      <c r="BB117" s="162" t="e">
        <f t="shared" ca="1" si="1016"/>
        <v>#NAME?</v>
      </c>
      <c r="BC117" s="162" t="e">
        <f t="shared" ca="1" si="1016"/>
        <v>#NAME?</v>
      </c>
      <c r="BD117" s="162" t="e">
        <f t="shared" ca="1" si="1016"/>
        <v>#NAME?</v>
      </c>
      <c r="BE117" s="162" t="e">
        <f t="shared" ca="1" si="1016"/>
        <v>#NAME?</v>
      </c>
      <c r="BF117" s="162" t="e">
        <f t="shared" ca="1" si="1016"/>
        <v>#NAME?</v>
      </c>
      <c r="BG117" s="162" t="e">
        <f t="shared" ca="1" si="1016"/>
        <v>#NAME?</v>
      </c>
      <c r="BH117" s="162" t="e">
        <f t="shared" ca="1" si="1016"/>
        <v>#NAME?</v>
      </c>
      <c r="BI117" s="162" t="e">
        <f t="shared" ca="1" si="1016"/>
        <v>#NAME?</v>
      </c>
      <c r="BJ117" s="162" t="e">
        <f t="shared" ca="1" si="1016"/>
        <v>#NAME?</v>
      </c>
      <c r="BK117" s="162" t="e">
        <f t="shared" ca="1" si="1016"/>
        <v>#NAME?</v>
      </c>
      <c r="BL117" s="162" t="e">
        <f t="shared" ca="1" si="1016"/>
        <v>#NAME?</v>
      </c>
      <c r="BM117" s="162" t="e">
        <f t="shared" ca="1" si="1016"/>
        <v>#NAME?</v>
      </c>
      <c r="BN117" s="162" t="e">
        <f t="shared" ca="1" si="1016"/>
        <v>#NAME?</v>
      </c>
      <c r="BO117" s="162" t="e">
        <f t="shared" ca="1" si="1016"/>
        <v>#NAME?</v>
      </c>
      <c r="BP117" s="162" t="e">
        <f t="shared" ca="1" si="1016"/>
        <v>#NAME?</v>
      </c>
      <c r="BQ117" s="162" t="e">
        <f t="shared" ca="1" si="1016"/>
        <v>#NAME?</v>
      </c>
      <c r="BR117" s="162" t="e">
        <f t="shared" ca="1" si="1016"/>
        <v>#NAME?</v>
      </c>
      <c r="BS117" s="162" t="e">
        <f t="shared" ca="1" si="1016"/>
        <v>#NAME?</v>
      </c>
      <c r="BT117" s="162" t="e">
        <f t="shared" ca="1" si="1016"/>
        <v>#NAME?</v>
      </c>
      <c r="BU117" s="162" t="e">
        <f t="shared" ca="1" si="1016"/>
        <v>#NAME?</v>
      </c>
      <c r="BV117" s="162" t="e">
        <f t="shared" ca="1" si="1016"/>
        <v>#NAME?</v>
      </c>
      <c r="BW117" s="162" t="e">
        <f t="shared" ca="1" si="1016"/>
        <v>#NAME?</v>
      </c>
      <c r="BX117" s="162" t="e">
        <f t="shared" ca="1" si="1016"/>
        <v>#NAME?</v>
      </c>
      <c r="BY117" s="162" t="e">
        <f t="shared" ca="1" si="1016"/>
        <v>#NAME?</v>
      </c>
      <c r="BZ117" s="162" t="e">
        <f t="shared" ca="1" si="1016"/>
        <v>#NAME?</v>
      </c>
      <c r="CA117" s="162" t="e">
        <f t="shared" ca="1" si="1016"/>
        <v>#NAME?</v>
      </c>
      <c r="CB117" s="162" t="e">
        <f t="shared" ca="1" si="1016"/>
        <v>#NAME?</v>
      </c>
      <c r="CC117" s="162" t="e">
        <f t="shared" ca="1" si="1016"/>
        <v>#NAME?</v>
      </c>
      <c r="CD117" s="162" t="e">
        <f t="shared" ca="1" si="1016"/>
        <v>#NAME?</v>
      </c>
      <c r="CE117" s="162" t="e">
        <f t="shared" ref="CE117:CF117" ca="1" si="1017">+CE181</f>
        <v>#NAME?</v>
      </c>
      <c r="CF117" s="162" t="e">
        <f t="shared" ca="1" si="1017"/>
        <v>#NAME?</v>
      </c>
      <c r="CG117" s="162" t="e">
        <f t="shared" ref="CG117:CH117" ca="1" si="1018">+CG181</f>
        <v>#NAME?</v>
      </c>
      <c r="CH117" s="162" t="e">
        <f t="shared" ca="1" si="1018"/>
        <v>#NAME?</v>
      </c>
      <c r="CI117" s="162" t="e">
        <f t="shared" ref="CI117:CJ117" ca="1" si="1019">+CI181</f>
        <v>#NAME?</v>
      </c>
      <c r="CJ117" s="162" t="e">
        <f t="shared" ca="1" si="1019"/>
        <v>#NAME?</v>
      </c>
      <c r="CK117" s="162" t="e">
        <f t="shared" ref="CK117:CL117" ca="1" si="1020">+CK181</f>
        <v>#NAME?</v>
      </c>
      <c r="CL117" s="162" t="e">
        <f t="shared" ca="1" si="1020"/>
        <v>#NAME?</v>
      </c>
      <c r="CM117" s="21" t="e">
        <f t="shared" ref="CM117:DB117" ca="1" si="1021">+CM181</f>
        <v>#NAME?</v>
      </c>
      <c r="CN117" s="21" t="e">
        <f t="shared" ca="1" si="1021"/>
        <v>#NAME?</v>
      </c>
      <c r="CO117" s="21" t="e">
        <f t="shared" ca="1" si="1021"/>
        <v>#NAME?</v>
      </c>
      <c r="CP117" s="21" t="e">
        <f t="shared" ca="1" si="1021"/>
        <v>#NAME?</v>
      </c>
      <c r="CQ117" s="21" t="e">
        <f t="shared" ca="1" si="1021"/>
        <v>#NAME?</v>
      </c>
      <c r="CR117" s="21" t="e">
        <f t="shared" ca="1" si="1021"/>
        <v>#NAME?</v>
      </c>
      <c r="CS117" s="21" t="e">
        <f t="shared" ca="1" si="1021"/>
        <v>#NAME?</v>
      </c>
      <c r="CT117" s="21" t="e">
        <f t="shared" ca="1" si="1021"/>
        <v>#NAME?</v>
      </c>
      <c r="CU117" s="21" t="e">
        <f t="shared" ca="1" si="1021"/>
        <v>#NAME?</v>
      </c>
      <c r="CV117" s="21" t="e">
        <f t="shared" ca="1" si="1021"/>
        <v>#NAME?</v>
      </c>
      <c r="CW117" s="21" t="e">
        <f t="shared" ca="1" si="1021"/>
        <v>#NAME?</v>
      </c>
      <c r="CX117" s="21" t="e">
        <f t="shared" ca="1" si="1021"/>
        <v>#NAME?</v>
      </c>
      <c r="CY117" s="21" t="e">
        <f t="shared" ca="1" si="1021"/>
        <v>#NAME?</v>
      </c>
      <c r="CZ117" s="21" t="e">
        <f t="shared" ca="1" si="1021"/>
        <v>#NAME?</v>
      </c>
      <c r="DA117" s="21" t="e">
        <f t="shared" ca="1" si="1021"/>
        <v>#NAME?</v>
      </c>
      <c r="DB117" s="21" t="e">
        <f t="shared" ca="1" si="1021"/>
        <v>#NAME?</v>
      </c>
      <c r="DE117" s="22"/>
      <c r="DF117" s="162">
        <v>-905.82</v>
      </c>
    </row>
    <row r="118" spans="1:110" s="162" customFormat="1" x14ac:dyDescent="0.2">
      <c r="A118" s="49" t="s">
        <v>342</v>
      </c>
      <c r="B118" s="162" t="e">
        <f ca="1">+B115+B117</f>
        <v>#NAME?</v>
      </c>
      <c r="C118" s="162" t="e">
        <f t="shared" ref="C118:W118" ca="1" si="1022">+C115+C117</f>
        <v>#NAME?</v>
      </c>
      <c r="D118" s="162" t="e">
        <f t="shared" ca="1" si="1022"/>
        <v>#NAME?</v>
      </c>
      <c r="E118" s="162" t="e">
        <f t="shared" ca="1" si="1022"/>
        <v>#NAME?</v>
      </c>
      <c r="F118" s="162" t="e">
        <f t="shared" ca="1" si="1022"/>
        <v>#NAME?</v>
      </c>
      <c r="G118" s="162" t="e">
        <f t="shared" ca="1" si="1022"/>
        <v>#NAME?</v>
      </c>
      <c r="H118" s="162" t="e">
        <f t="shared" ca="1" si="1022"/>
        <v>#NAME?</v>
      </c>
      <c r="I118" s="162" t="e">
        <f t="shared" ca="1" si="1022"/>
        <v>#NAME?</v>
      </c>
      <c r="J118" s="162" t="e">
        <f t="shared" ca="1" si="1022"/>
        <v>#NAME?</v>
      </c>
      <c r="K118" s="162" t="e">
        <f t="shared" ca="1" si="1022"/>
        <v>#NAME?</v>
      </c>
      <c r="L118" s="162" t="e">
        <f t="shared" ca="1" si="1022"/>
        <v>#NAME?</v>
      </c>
      <c r="M118" s="162" t="e">
        <f t="shared" ca="1" si="1022"/>
        <v>#NAME?</v>
      </c>
      <c r="N118" s="162" t="e">
        <f t="shared" ca="1" si="1022"/>
        <v>#NAME?</v>
      </c>
      <c r="O118" s="162" t="e">
        <f t="shared" ca="1" si="1022"/>
        <v>#NAME?</v>
      </c>
      <c r="P118" s="162" t="e">
        <f t="shared" ca="1" si="1022"/>
        <v>#NAME?</v>
      </c>
      <c r="Q118" s="162" t="e">
        <f t="shared" ca="1" si="1022"/>
        <v>#NAME?</v>
      </c>
      <c r="R118" s="162" t="e">
        <f t="shared" ca="1" si="1022"/>
        <v>#NAME?</v>
      </c>
      <c r="S118" s="162" t="e">
        <f t="shared" ca="1" si="1022"/>
        <v>#NAME?</v>
      </c>
      <c r="T118" s="162" t="e">
        <f t="shared" ca="1" si="1022"/>
        <v>#NAME?</v>
      </c>
      <c r="U118" s="162" t="e">
        <f t="shared" ca="1" si="1022"/>
        <v>#NAME?</v>
      </c>
      <c r="V118" s="162" t="e">
        <f t="shared" ca="1" si="1022"/>
        <v>#NAME?</v>
      </c>
      <c r="W118" s="162" t="e">
        <f t="shared" ca="1" si="1022"/>
        <v>#NAME?</v>
      </c>
      <c r="X118" s="162" t="e">
        <f t="shared" ref="X118:Y118" ca="1" si="1023">+X115+X117</f>
        <v>#NAME?</v>
      </c>
      <c r="Y118" s="162" t="e">
        <f t="shared" ca="1" si="1023"/>
        <v>#NAME?</v>
      </c>
      <c r="Z118" s="162" t="e">
        <f t="shared" ref="Z118:AA118" ca="1" si="1024">+Z115+Z117</f>
        <v>#NAME?</v>
      </c>
      <c r="AA118" s="162" t="e">
        <f t="shared" ca="1" si="1024"/>
        <v>#NAME?</v>
      </c>
      <c r="AB118" s="21" t="e">
        <f t="shared" ref="AA118:AD118" ca="1" si="1025">+AB115+AB117</f>
        <v>#NAME?</v>
      </c>
      <c r="AC118" s="21" t="e">
        <f t="shared" ca="1" si="1025"/>
        <v>#NAME?</v>
      </c>
      <c r="AD118" s="21" t="e">
        <f t="shared" ca="1" si="1025"/>
        <v>#NAME?</v>
      </c>
      <c r="AE118" s="21" t="e">
        <f t="shared" ref="AE118" ca="1" si="1026">+AE115+AE117</f>
        <v>#NAME?</v>
      </c>
      <c r="AL118" s="162" t="e">
        <f t="shared" ref="AL118" ca="1" si="1027">+AL115+AL117</f>
        <v>#NAME?</v>
      </c>
      <c r="AM118" s="162" t="e">
        <f t="shared" ref="AM118:AO118" ca="1" si="1028">+AM115+AM117</f>
        <v>#NAME?</v>
      </c>
      <c r="AN118" s="162" t="e">
        <f t="shared" ca="1" si="1028"/>
        <v>#NAME?</v>
      </c>
      <c r="AO118" s="162" t="e">
        <f t="shared" ca="1" si="1028"/>
        <v>#NAME?</v>
      </c>
      <c r="AP118" s="162" t="e">
        <f t="shared" ref="AP118:CD118" ca="1" si="1029">+AP115+AP117</f>
        <v>#NAME?</v>
      </c>
      <c r="AQ118" s="162" t="e">
        <f t="shared" ca="1" si="1029"/>
        <v>#NAME?</v>
      </c>
      <c r="AR118" s="162" t="e">
        <f t="shared" ca="1" si="1029"/>
        <v>#NAME?</v>
      </c>
      <c r="AS118" s="162" t="e">
        <f t="shared" ca="1" si="1029"/>
        <v>#NAME?</v>
      </c>
      <c r="AT118" s="162" t="e">
        <f t="shared" ca="1" si="1029"/>
        <v>#NAME?</v>
      </c>
      <c r="AU118" s="162" t="e">
        <f t="shared" ca="1" si="1029"/>
        <v>#NAME?</v>
      </c>
      <c r="AV118" s="162" t="e">
        <f t="shared" ca="1" si="1029"/>
        <v>#NAME?</v>
      </c>
      <c r="AW118" s="162" t="e">
        <f t="shared" ca="1" si="1029"/>
        <v>#NAME?</v>
      </c>
      <c r="AX118" s="162" t="e">
        <f t="shared" ca="1" si="1029"/>
        <v>#NAME?</v>
      </c>
      <c r="AY118" s="162" t="e">
        <f t="shared" ca="1" si="1029"/>
        <v>#NAME?</v>
      </c>
      <c r="AZ118" s="162" t="e">
        <f t="shared" ca="1" si="1029"/>
        <v>#NAME?</v>
      </c>
      <c r="BA118" s="162" t="e">
        <f t="shared" ca="1" si="1029"/>
        <v>#NAME?</v>
      </c>
      <c r="BB118" s="162" t="e">
        <f t="shared" ca="1" si="1029"/>
        <v>#NAME?</v>
      </c>
      <c r="BC118" s="162" t="e">
        <f t="shared" ca="1" si="1029"/>
        <v>#NAME?</v>
      </c>
      <c r="BD118" s="162" t="e">
        <f t="shared" ca="1" si="1029"/>
        <v>#NAME?</v>
      </c>
      <c r="BE118" s="162" t="e">
        <f t="shared" ca="1" si="1029"/>
        <v>#NAME?</v>
      </c>
      <c r="BF118" s="162" t="e">
        <f t="shared" ca="1" si="1029"/>
        <v>#NAME?</v>
      </c>
      <c r="BG118" s="162" t="e">
        <f t="shared" ca="1" si="1029"/>
        <v>#NAME?</v>
      </c>
      <c r="BH118" s="162" t="e">
        <f t="shared" ca="1" si="1029"/>
        <v>#NAME?</v>
      </c>
      <c r="BI118" s="162" t="e">
        <f t="shared" ca="1" si="1029"/>
        <v>#NAME?</v>
      </c>
      <c r="BJ118" s="162" t="e">
        <f t="shared" ca="1" si="1029"/>
        <v>#NAME?</v>
      </c>
      <c r="BK118" s="162" t="e">
        <f t="shared" ca="1" si="1029"/>
        <v>#NAME?</v>
      </c>
      <c r="BL118" s="162" t="e">
        <f t="shared" ca="1" si="1029"/>
        <v>#NAME?</v>
      </c>
      <c r="BM118" s="162" t="e">
        <f t="shared" ca="1" si="1029"/>
        <v>#NAME?</v>
      </c>
      <c r="BN118" s="162" t="e">
        <f t="shared" ca="1" si="1029"/>
        <v>#NAME?</v>
      </c>
      <c r="BO118" s="162" t="e">
        <f t="shared" ca="1" si="1029"/>
        <v>#NAME?</v>
      </c>
      <c r="BP118" s="162" t="e">
        <f t="shared" ca="1" si="1029"/>
        <v>#NAME?</v>
      </c>
      <c r="BQ118" s="162" t="e">
        <f t="shared" ca="1" si="1029"/>
        <v>#NAME?</v>
      </c>
      <c r="BR118" s="162" t="e">
        <f t="shared" ca="1" si="1029"/>
        <v>#NAME?</v>
      </c>
      <c r="BS118" s="162" t="e">
        <f t="shared" ca="1" si="1029"/>
        <v>#NAME?</v>
      </c>
      <c r="BT118" s="162" t="e">
        <f t="shared" ca="1" si="1029"/>
        <v>#NAME?</v>
      </c>
      <c r="BU118" s="162" t="e">
        <f t="shared" ca="1" si="1029"/>
        <v>#NAME?</v>
      </c>
      <c r="BV118" s="162" t="e">
        <f t="shared" ca="1" si="1029"/>
        <v>#NAME?</v>
      </c>
      <c r="BW118" s="162" t="e">
        <f t="shared" ca="1" si="1029"/>
        <v>#NAME?</v>
      </c>
      <c r="BX118" s="162" t="e">
        <f t="shared" ca="1" si="1029"/>
        <v>#NAME?</v>
      </c>
      <c r="BY118" s="162" t="e">
        <f t="shared" ca="1" si="1029"/>
        <v>#NAME?</v>
      </c>
      <c r="BZ118" s="162" t="e">
        <f t="shared" ca="1" si="1029"/>
        <v>#NAME?</v>
      </c>
      <c r="CA118" s="162" t="e">
        <f t="shared" ca="1" si="1029"/>
        <v>#NAME?</v>
      </c>
      <c r="CB118" s="162" t="e">
        <f t="shared" ca="1" si="1029"/>
        <v>#NAME?</v>
      </c>
      <c r="CC118" s="162" t="e">
        <f t="shared" ca="1" si="1029"/>
        <v>#NAME?</v>
      </c>
      <c r="CD118" s="162" t="e">
        <f t="shared" ca="1" si="1029"/>
        <v>#NAME?</v>
      </c>
      <c r="CE118" s="162" t="e">
        <f t="shared" ref="CE118:CF118" ca="1" si="1030">+CE115+CE117</f>
        <v>#NAME?</v>
      </c>
      <c r="CF118" s="162" t="e">
        <f t="shared" ca="1" si="1030"/>
        <v>#NAME?</v>
      </c>
      <c r="CG118" s="162" t="e">
        <f t="shared" ref="CG118:CH118" ca="1" si="1031">+CG115+CG117</f>
        <v>#NAME?</v>
      </c>
      <c r="CH118" s="162" t="e">
        <f t="shared" ca="1" si="1031"/>
        <v>#NAME?</v>
      </c>
      <c r="CI118" s="162" t="e">
        <f t="shared" ref="CI118:CJ118" ca="1" si="1032">+CI115+CI117</f>
        <v>#NAME?</v>
      </c>
      <c r="CJ118" s="162" t="e">
        <f t="shared" ca="1" si="1032"/>
        <v>#NAME?</v>
      </c>
      <c r="CK118" s="162" t="e">
        <f t="shared" ref="CK118:CL118" ca="1" si="1033">+CK115+CK117</f>
        <v>#NAME?</v>
      </c>
      <c r="CL118" s="162" t="e">
        <f t="shared" ca="1" si="1033"/>
        <v>#NAME?</v>
      </c>
      <c r="CM118" s="21" t="e">
        <f t="shared" ref="CM118:DB118" ca="1" si="1034">+CM120*CM121</f>
        <v>#NAME?</v>
      </c>
      <c r="CN118" s="21" t="e">
        <f t="shared" ca="1" si="1034"/>
        <v>#NAME?</v>
      </c>
      <c r="CO118" s="21" t="e">
        <f t="shared" ca="1" si="1034"/>
        <v>#NAME?</v>
      </c>
      <c r="CP118" s="21" t="e">
        <f t="shared" ca="1" si="1034"/>
        <v>#NAME?</v>
      </c>
      <c r="CQ118" s="21" t="e">
        <f t="shared" ca="1" si="1034"/>
        <v>#NAME?</v>
      </c>
      <c r="CR118" s="21" t="e">
        <f t="shared" ca="1" si="1034"/>
        <v>#NAME?</v>
      </c>
      <c r="CS118" s="21" t="e">
        <f t="shared" ca="1" si="1034"/>
        <v>#NAME?</v>
      </c>
      <c r="CT118" s="21" t="e">
        <f t="shared" ca="1" si="1034"/>
        <v>#NAME?</v>
      </c>
      <c r="CU118" s="21" t="e">
        <f t="shared" ca="1" si="1034"/>
        <v>#NAME?</v>
      </c>
      <c r="CV118" s="21" t="e">
        <f t="shared" ca="1" si="1034"/>
        <v>#NAME?</v>
      </c>
      <c r="CW118" s="21" t="e">
        <f t="shared" ca="1" si="1034"/>
        <v>#NAME?</v>
      </c>
      <c r="CX118" s="21" t="e">
        <f t="shared" ca="1" si="1034"/>
        <v>#NAME?</v>
      </c>
      <c r="CY118" s="21" t="e">
        <f t="shared" ca="1" si="1034"/>
        <v>#NAME?</v>
      </c>
      <c r="CZ118" s="21" t="e">
        <f t="shared" ca="1" si="1034"/>
        <v>#NAME?</v>
      </c>
      <c r="DA118" s="21" t="e">
        <f t="shared" ca="1" si="1034"/>
        <v>#NAME?</v>
      </c>
      <c r="DB118" s="21" t="e">
        <f t="shared" ca="1" si="1034"/>
        <v>#NAME?</v>
      </c>
      <c r="DE118" s="22"/>
      <c r="DF118" s="162">
        <v>153581.68</v>
      </c>
    </row>
    <row r="119" spans="1:110" s="162" customFormat="1" x14ac:dyDescent="0.2">
      <c r="A119" s="49" t="s">
        <v>345</v>
      </c>
      <c r="B119" s="162" t="e">
        <f ca="1">+B116+B117</f>
        <v>#NAME?</v>
      </c>
      <c r="C119" s="162" t="e">
        <f t="shared" ref="C119:W119" ca="1" si="1035">+C116+C117</f>
        <v>#NAME?</v>
      </c>
      <c r="D119" s="162" t="e">
        <f t="shared" ca="1" si="1035"/>
        <v>#NAME?</v>
      </c>
      <c r="E119" s="162" t="e">
        <f t="shared" ca="1" si="1035"/>
        <v>#NAME?</v>
      </c>
      <c r="F119" s="162" t="e">
        <f t="shared" ca="1" si="1035"/>
        <v>#NAME?</v>
      </c>
      <c r="G119" s="162" t="e">
        <f t="shared" ca="1" si="1035"/>
        <v>#NAME?</v>
      </c>
      <c r="H119" s="162" t="e">
        <f t="shared" ca="1" si="1035"/>
        <v>#NAME?</v>
      </c>
      <c r="I119" s="162" t="e">
        <f t="shared" ca="1" si="1035"/>
        <v>#NAME?</v>
      </c>
      <c r="J119" s="162" t="e">
        <f t="shared" ca="1" si="1035"/>
        <v>#NAME?</v>
      </c>
      <c r="K119" s="162" t="e">
        <f t="shared" ca="1" si="1035"/>
        <v>#NAME?</v>
      </c>
      <c r="L119" s="162" t="e">
        <f t="shared" ca="1" si="1035"/>
        <v>#NAME?</v>
      </c>
      <c r="M119" s="162" t="e">
        <f t="shared" ca="1" si="1035"/>
        <v>#NAME?</v>
      </c>
      <c r="N119" s="162" t="e">
        <f t="shared" ca="1" si="1035"/>
        <v>#NAME?</v>
      </c>
      <c r="O119" s="162" t="e">
        <f t="shared" ca="1" si="1035"/>
        <v>#NAME?</v>
      </c>
      <c r="P119" s="162" t="e">
        <f t="shared" ca="1" si="1035"/>
        <v>#NAME?</v>
      </c>
      <c r="Q119" s="162" t="e">
        <f t="shared" ca="1" si="1035"/>
        <v>#NAME?</v>
      </c>
      <c r="R119" s="162" t="e">
        <f t="shared" ca="1" si="1035"/>
        <v>#NAME?</v>
      </c>
      <c r="S119" s="162" t="e">
        <f t="shared" ca="1" si="1035"/>
        <v>#NAME?</v>
      </c>
      <c r="T119" s="162" t="e">
        <f t="shared" ca="1" si="1035"/>
        <v>#NAME?</v>
      </c>
      <c r="U119" s="162" t="e">
        <f t="shared" ca="1" si="1035"/>
        <v>#NAME?</v>
      </c>
      <c r="V119" s="162" t="e">
        <f t="shared" ca="1" si="1035"/>
        <v>#NAME?</v>
      </c>
      <c r="W119" s="162" t="e">
        <f t="shared" ca="1" si="1035"/>
        <v>#NAME?</v>
      </c>
      <c r="X119" s="162" t="e">
        <f t="shared" ref="X119:Y119" ca="1" si="1036">+X116+X117</f>
        <v>#NAME?</v>
      </c>
      <c r="Y119" s="162" t="e">
        <f t="shared" ca="1" si="1036"/>
        <v>#NAME?</v>
      </c>
      <c r="Z119" s="162" t="e">
        <f t="shared" ref="Z119:AA119" ca="1" si="1037">+Z116+Z117</f>
        <v>#NAME?</v>
      </c>
      <c r="AA119" s="162" t="e">
        <f t="shared" ca="1" si="1037"/>
        <v>#NAME?</v>
      </c>
      <c r="AB119" s="21" t="e">
        <f t="shared" ref="AA119:AD119" ca="1" si="1038">+AB116+AB117</f>
        <v>#NAME?</v>
      </c>
      <c r="AC119" s="21" t="e">
        <f t="shared" ca="1" si="1038"/>
        <v>#NAME?</v>
      </c>
      <c r="AD119" s="21" t="e">
        <f t="shared" ca="1" si="1038"/>
        <v>#NAME?</v>
      </c>
      <c r="AE119" s="21" t="e">
        <f t="shared" ref="AE119" ca="1" si="1039">+AE116+AE117</f>
        <v>#NAME?</v>
      </c>
      <c r="AL119" s="162" t="e">
        <f t="shared" ref="AL119:AM119" ca="1" si="1040">+AL116+AL117</f>
        <v>#NAME?</v>
      </c>
      <c r="AM119" s="162" t="e">
        <f t="shared" ca="1" si="1040"/>
        <v>#NAME?</v>
      </c>
      <c r="AN119" s="162" t="e">
        <f t="shared" ref="AN119:AO119" ca="1" si="1041">+AN116+AN117</f>
        <v>#NAME?</v>
      </c>
      <c r="AO119" s="162" t="e">
        <f t="shared" ca="1" si="1041"/>
        <v>#NAME?</v>
      </c>
      <c r="AP119" s="162" t="e">
        <f t="shared" ref="AP119:CD119" ca="1" si="1042">+AP116+AP117</f>
        <v>#NAME?</v>
      </c>
      <c r="AQ119" s="162" t="e">
        <f t="shared" ca="1" si="1042"/>
        <v>#NAME?</v>
      </c>
      <c r="AR119" s="162" t="e">
        <f t="shared" ca="1" si="1042"/>
        <v>#NAME?</v>
      </c>
      <c r="AS119" s="162" t="e">
        <f t="shared" ca="1" si="1042"/>
        <v>#NAME?</v>
      </c>
      <c r="AT119" s="162" t="e">
        <f t="shared" ca="1" si="1042"/>
        <v>#NAME?</v>
      </c>
      <c r="AU119" s="162" t="e">
        <f t="shared" ca="1" si="1042"/>
        <v>#NAME?</v>
      </c>
      <c r="AV119" s="162" t="e">
        <f t="shared" ca="1" si="1042"/>
        <v>#NAME?</v>
      </c>
      <c r="AW119" s="162" t="e">
        <f t="shared" ca="1" si="1042"/>
        <v>#NAME?</v>
      </c>
      <c r="AX119" s="162" t="e">
        <f t="shared" ca="1" si="1042"/>
        <v>#NAME?</v>
      </c>
      <c r="AY119" s="162" t="e">
        <f t="shared" ca="1" si="1042"/>
        <v>#NAME?</v>
      </c>
      <c r="AZ119" s="162" t="e">
        <f t="shared" ca="1" si="1042"/>
        <v>#NAME?</v>
      </c>
      <c r="BA119" s="162" t="e">
        <f t="shared" ca="1" si="1042"/>
        <v>#NAME?</v>
      </c>
      <c r="BB119" s="162" t="e">
        <f t="shared" ca="1" si="1042"/>
        <v>#NAME?</v>
      </c>
      <c r="BC119" s="162" t="e">
        <f t="shared" ca="1" si="1042"/>
        <v>#NAME?</v>
      </c>
      <c r="BD119" s="162" t="e">
        <f t="shared" ca="1" si="1042"/>
        <v>#NAME?</v>
      </c>
      <c r="BE119" s="162" t="e">
        <f t="shared" ca="1" si="1042"/>
        <v>#NAME?</v>
      </c>
      <c r="BF119" s="162" t="e">
        <f t="shared" ca="1" si="1042"/>
        <v>#NAME?</v>
      </c>
      <c r="BG119" s="162" t="e">
        <f t="shared" ca="1" si="1042"/>
        <v>#NAME?</v>
      </c>
      <c r="BH119" s="162" t="e">
        <f t="shared" ca="1" si="1042"/>
        <v>#NAME?</v>
      </c>
      <c r="BI119" s="162" t="e">
        <f t="shared" ca="1" si="1042"/>
        <v>#NAME?</v>
      </c>
      <c r="BJ119" s="162" t="e">
        <f t="shared" ca="1" si="1042"/>
        <v>#NAME?</v>
      </c>
      <c r="BK119" s="162" t="e">
        <f t="shared" ca="1" si="1042"/>
        <v>#NAME?</v>
      </c>
      <c r="BL119" s="162" t="e">
        <f t="shared" ca="1" si="1042"/>
        <v>#NAME?</v>
      </c>
      <c r="BM119" s="162" t="e">
        <f t="shared" ca="1" si="1042"/>
        <v>#NAME?</v>
      </c>
      <c r="BN119" s="162" t="e">
        <f t="shared" ca="1" si="1042"/>
        <v>#NAME?</v>
      </c>
      <c r="BO119" s="162" t="e">
        <f t="shared" ca="1" si="1042"/>
        <v>#NAME?</v>
      </c>
      <c r="BP119" s="162" t="e">
        <f t="shared" ca="1" si="1042"/>
        <v>#NAME?</v>
      </c>
      <c r="BQ119" s="162" t="e">
        <f t="shared" ca="1" si="1042"/>
        <v>#NAME?</v>
      </c>
      <c r="BR119" s="162" t="e">
        <f t="shared" ca="1" si="1042"/>
        <v>#NAME?</v>
      </c>
      <c r="BS119" s="162" t="e">
        <f t="shared" ca="1" si="1042"/>
        <v>#NAME?</v>
      </c>
      <c r="BT119" s="162" t="e">
        <f t="shared" ca="1" si="1042"/>
        <v>#NAME?</v>
      </c>
      <c r="BU119" s="162" t="e">
        <f t="shared" ca="1" si="1042"/>
        <v>#NAME?</v>
      </c>
      <c r="BV119" s="162" t="e">
        <f t="shared" ca="1" si="1042"/>
        <v>#NAME?</v>
      </c>
      <c r="BW119" s="162" t="e">
        <f t="shared" ca="1" si="1042"/>
        <v>#NAME?</v>
      </c>
      <c r="BX119" s="162" t="e">
        <f t="shared" ca="1" si="1042"/>
        <v>#NAME?</v>
      </c>
      <c r="BY119" s="162" t="e">
        <f t="shared" ca="1" si="1042"/>
        <v>#NAME?</v>
      </c>
      <c r="BZ119" s="162" t="e">
        <f t="shared" ca="1" si="1042"/>
        <v>#NAME?</v>
      </c>
      <c r="CA119" s="162" t="e">
        <f t="shared" ca="1" si="1042"/>
        <v>#NAME?</v>
      </c>
      <c r="CB119" s="162" t="e">
        <f t="shared" ca="1" si="1042"/>
        <v>#NAME?</v>
      </c>
      <c r="CC119" s="162" t="e">
        <f t="shared" ca="1" si="1042"/>
        <v>#NAME?</v>
      </c>
      <c r="CD119" s="162" t="e">
        <f t="shared" ca="1" si="1042"/>
        <v>#NAME?</v>
      </c>
      <c r="CE119" s="162" t="e">
        <f t="shared" ref="CE119:CF119" ca="1" si="1043">+CE116+CE117</f>
        <v>#NAME?</v>
      </c>
      <c r="CF119" s="162" t="e">
        <f t="shared" ca="1" si="1043"/>
        <v>#NAME?</v>
      </c>
      <c r="CG119" s="162" t="e">
        <f t="shared" ref="CG119:CH119" ca="1" si="1044">+CG116+CG117</f>
        <v>#NAME?</v>
      </c>
      <c r="CH119" s="162" t="e">
        <f t="shared" ca="1" si="1044"/>
        <v>#NAME?</v>
      </c>
      <c r="CI119" s="162" t="e">
        <f t="shared" ref="CI119:CJ119" ca="1" si="1045">+CI116+CI117</f>
        <v>#NAME?</v>
      </c>
      <c r="CJ119" s="162" t="e">
        <f t="shared" ca="1" si="1045"/>
        <v>#NAME?</v>
      </c>
      <c r="CK119" s="162" t="e">
        <f t="shared" ref="CK119:CL119" ca="1" si="1046">+CK116+CK117</f>
        <v>#NAME?</v>
      </c>
      <c r="CL119" s="162" t="e">
        <f t="shared" ca="1" si="1046"/>
        <v>#NAME?</v>
      </c>
      <c r="CM119" s="21" t="e">
        <f t="shared" ref="CM119:DB119" ca="1" si="1047">+CM120*CM122</f>
        <v>#NAME?</v>
      </c>
      <c r="CN119" s="21" t="e">
        <f t="shared" ca="1" si="1047"/>
        <v>#NAME?</v>
      </c>
      <c r="CO119" s="21" t="e">
        <f t="shared" ca="1" si="1047"/>
        <v>#NAME?</v>
      </c>
      <c r="CP119" s="21" t="e">
        <f t="shared" ca="1" si="1047"/>
        <v>#NAME?</v>
      </c>
      <c r="CQ119" s="21" t="e">
        <f t="shared" ca="1" si="1047"/>
        <v>#NAME?</v>
      </c>
      <c r="CR119" s="21" t="e">
        <f t="shared" ca="1" si="1047"/>
        <v>#NAME?</v>
      </c>
      <c r="CS119" s="21" t="e">
        <f t="shared" ca="1" si="1047"/>
        <v>#NAME?</v>
      </c>
      <c r="CT119" s="21" t="e">
        <f t="shared" ca="1" si="1047"/>
        <v>#NAME?</v>
      </c>
      <c r="CU119" s="21" t="e">
        <f t="shared" ca="1" si="1047"/>
        <v>#NAME?</v>
      </c>
      <c r="CV119" s="21" t="e">
        <f t="shared" ca="1" si="1047"/>
        <v>#NAME?</v>
      </c>
      <c r="CW119" s="21" t="e">
        <f t="shared" ca="1" si="1047"/>
        <v>#NAME?</v>
      </c>
      <c r="CX119" s="21" t="e">
        <f t="shared" ca="1" si="1047"/>
        <v>#NAME?</v>
      </c>
      <c r="CY119" s="21" t="e">
        <f t="shared" ca="1" si="1047"/>
        <v>#NAME?</v>
      </c>
      <c r="CZ119" s="21" t="e">
        <f t="shared" ca="1" si="1047"/>
        <v>#NAME?</v>
      </c>
      <c r="DA119" s="21" t="e">
        <f t="shared" ca="1" si="1047"/>
        <v>#NAME?</v>
      </c>
      <c r="DB119" s="21" t="e">
        <f t="shared" ca="1" si="1047"/>
        <v>#NAME?</v>
      </c>
      <c r="DE119" s="22"/>
      <c r="DF119" s="162">
        <v>96483.099999999991</v>
      </c>
    </row>
    <row r="120" spans="1:110" s="162" customFormat="1" x14ac:dyDescent="0.2">
      <c r="A120" s="49" t="s">
        <v>13</v>
      </c>
      <c r="B120" s="162" t="e">
        <f t="shared" ref="B120:AE120" ca="1" si="1048">+B36</f>
        <v>#NAME?</v>
      </c>
      <c r="C120" s="162" t="e">
        <f t="shared" ca="1" si="1048"/>
        <v>#NAME?</v>
      </c>
      <c r="D120" s="162" t="e">
        <f t="shared" ca="1" si="1048"/>
        <v>#NAME?</v>
      </c>
      <c r="E120" s="162" t="e">
        <f t="shared" ca="1" si="1048"/>
        <v>#NAME?</v>
      </c>
      <c r="F120" s="162" t="e">
        <f t="shared" ca="1" si="1048"/>
        <v>#NAME?</v>
      </c>
      <c r="G120" s="162" t="e">
        <f t="shared" ca="1" si="1048"/>
        <v>#NAME?</v>
      </c>
      <c r="H120" s="162" t="e">
        <f t="shared" ca="1" si="1048"/>
        <v>#NAME?</v>
      </c>
      <c r="I120" s="162" t="e">
        <f t="shared" ca="1" si="1048"/>
        <v>#NAME?</v>
      </c>
      <c r="J120" s="162" t="e">
        <f t="shared" ca="1" si="1048"/>
        <v>#NAME?</v>
      </c>
      <c r="K120" s="162" t="e">
        <f t="shared" ca="1" si="1048"/>
        <v>#NAME?</v>
      </c>
      <c r="L120" s="162" t="e">
        <f t="shared" ca="1" si="1048"/>
        <v>#NAME?</v>
      </c>
      <c r="M120" s="162" t="e">
        <f t="shared" ca="1" si="1048"/>
        <v>#NAME?</v>
      </c>
      <c r="N120" s="162" t="e">
        <f t="shared" ca="1" si="1048"/>
        <v>#NAME?</v>
      </c>
      <c r="O120" s="162" t="e">
        <f t="shared" ca="1" si="1048"/>
        <v>#NAME?</v>
      </c>
      <c r="P120" s="162" t="e">
        <f t="shared" ca="1" si="1048"/>
        <v>#NAME?</v>
      </c>
      <c r="Q120" s="162" t="e">
        <f t="shared" ca="1" si="1048"/>
        <v>#NAME?</v>
      </c>
      <c r="R120" s="162" t="e">
        <f t="shared" ca="1" si="1048"/>
        <v>#NAME?</v>
      </c>
      <c r="S120" s="162" t="e">
        <f t="shared" ca="1" si="1048"/>
        <v>#NAME?</v>
      </c>
      <c r="T120" s="162" t="e">
        <f t="shared" ca="1" si="1048"/>
        <v>#NAME?</v>
      </c>
      <c r="U120" s="162" t="e">
        <f t="shared" ca="1" si="1048"/>
        <v>#NAME?</v>
      </c>
      <c r="V120" s="162" t="e">
        <f t="shared" ca="1" si="1048"/>
        <v>#NAME?</v>
      </c>
      <c r="W120" s="162" t="e">
        <f t="shared" ca="1" si="1048"/>
        <v>#NAME?</v>
      </c>
      <c r="X120" s="162" t="e">
        <f t="shared" ca="1" si="1048"/>
        <v>#NAME?</v>
      </c>
      <c r="Y120" s="162" t="e">
        <f t="shared" ca="1" si="1048"/>
        <v>#NAME?</v>
      </c>
      <c r="Z120" s="162" t="e">
        <f t="shared" ca="1" si="1048"/>
        <v>#NAME?</v>
      </c>
      <c r="AA120" s="162" t="e">
        <f t="shared" ref="AA120" ca="1" si="1049">+AA36</f>
        <v>#NAME?</v>
      </c>
      <c r="AB120" s="21" t="e">
        <f t="shared" ca="1" si="1048"/>
        <v>#NAME?</v>
      </c>
      <c r="AC120" s="21" t="e">
        <f t="shared" ca="1" si="1048"/>
        <v>#NAME?</v>
      </c>
      <c r="AD120" s="21" t="e">
        <f t="shared" ca="1" si="1048"/>
        <v>#NAME?</v>
      </c>
      <c r="AE120" s="21" t="e">
        <f t="shared" ca="1" si="1048"/>
        <v>#NAME?</v>
      </c>
      <c r="AL120" s="162" t="e">
        <f t="shared" ref="AL120:BQ120" ca="1" si="1050">+SUM(AI36:AL36)</f>
        <v>#NAME?</v>
      </c>
      <c r="AM120" s="162" t="e">
        <f t="shared" ca="1" si="1050"/>
        <v>#NAME?</v>
      </c>
      <c r="AN120" s="162" t="e">
        <f t="shared" ca="1" si="1050"/>
        <v>#NAME?</v>
      </c>
      <c r="AO120" s="162" t="e">
        <f t="shared" ca="1" si="1050"/>
        <v>#NAME?</v>
      </c>
      <c r="AP120" s="162" t="e">
        <f t="shared" ca="1" si="1050"/>
        <v>#NAME?</v>
      </c>
      <c r="AQ120" s="162" t="e">
        <f t="shared" ca="1" si="1050"/>
        <v>#NAME?</v>
      </c>
      <c r="AR120" s="162" t="e">
        <f t="shared" ca="1" si="1050"/>
        <v>#NAME?</v>
      </c>
      <c r="AS120" s="162" t="e">
        <f t="shared" ca="1" si="1050"/>
        <v>#NAME?</v>
      </c>
      <c r="AT120" s="162" t="e">
        <f t="shared" ca="1" si="1050"/>
        <v>#NAME?</v>
      </c>
      <c r="AU120" s="162" t="e">
        <f t="shared" ca="1" si="1050"/>
        <v>#NAME?</v>
      </c>
      <c r="AV120" s="162" t="e">
        <f t="shared" ca="1" si="1050"/>
        <v>#NAME?</v>
      </c>
      <c r="AW120" s="162" t="e">
        <f t="shared" ca="1" si="1050"/>
        <v>#NAME?</v>
      </c>
      <c r="AX120" s="162" t="e">
        <f t="shared" ca="1" si="1050"/>
        <v>#NAME?</v>
      </c>
      <c r="AY120" s="162" t="e">
        <f t="shared" ca="1" si="1050"/>
        <v>#NAME?</v>
      </c>
      <c r="AZ120" s="162" t="e">
        <f t="shared" ca="1" si="1050"/>
        <v>#NAME?</v>
      </c>
      <c r="BA120" s="162" t="e">
        <f t="shared" ca="1" si="1050"/>
        <v>#NAME?</v>
      </c>
      <c r="BB120" s="162" t="e">
        <f t="shared" ca="1" si="1050"/>
        <v>#NAME?</v>
      </c>
      <c r="BC120" s="162" t="e">
        <f t="shared" ca="1" si="1050"/>
        <v>#NAME?</v>
      </c>
      <c r="BD120" s="162" t="e">
        <f t="shared" ca="1" si="1050"/>
        <v>#NAME?</v>
      </c>
      <c r="BE120" s="162" t="e">
        <f t="shared" ca="1" si="1050"/>
        <v>#NAME?</v>
      </c>
      <c r="BF120" s="162" t="e">
        <f t="shared" ca="1" si="1050"/>
        <v>#NAME?</v>
      </c>
      <c r="BG120" s="162" t="e">
        <f t="shared" ca="1" si="1050"/>
        <v>#NAME?</v>
      </c>
      <c r="BH120" s="162" t="e">
        <f t="shared" ca="1" si="1050"/>
        <v>#NAME?</v>
      </c>
      <c r="BI120" s="162" t="e">
        <f t="shared" ca="1" si="1050"/>
        <v>#NAME?</v>
      </c>
      <c r="BJ120" s="162" t="e">
        <f t="shared" ca="1" si="1050"/>
        <v>#NAME?</v>
      </c>
      <c r="BK120" s="162" t="e">
        <f t="shared" ca="1" si="1050"/>
        <v>#NAME?</v>
      </c>
      <c r="BL120" s="162" t="e">
        <f t="shared" ca="1" si="1050"/>
        <v>#NAME?</v>
      </c>
      <c r="BM120" s="162" t="e">
        <f t="shared" ca="1" si="1050"/>
        <v>#NAME?</v>
      </c>
      <c r="BN120" s="162" t="e">
        <f t="shared" ca="1" si="1050"/>
        <v>#NAME?</v>
      </c>
      <c r="BO120" s="162" t="e">
        <f t="shared" ca="1" si="1050"/>
        <v>#NAME?</v>
      </c>
      <c r="BP120" s="162" t="e">
        <f t="shared" ca="1" si="1050"/>
        <v>#NAME?</v>
      </c>
      <c r="BQ120" s="162" t="e">
        <f t="shared" ca="1" si="1050"/>
        <v>#NAME?</v>
      </c>
      <c r="BR120" s="162" t="e">
        <f t="shared" ref="BR120:CL120" ca="1" si="1051">+SUM(BO36:BR36)</f>
        <v>#NAME?</v>
      </c>
      <c r="BS120" s="162" t="e">
        <f t="shared" ca="1" si="1051"/>
        <v>#NAME?</v>
      </c>
      <c r="BT120" s="162" t="e">
        <f t="shared" ca="1" si="1051"/>
        <v>#NAME?</v>
      </c>
      <c r="BU120" s="162" t="e">
        <f t="shared" ca="1" si="1051"/>
        <v>#NAME?</v>
      </c>
      <c r="BV120" s="162" t="e">
        <f t="shared" ca="1" si="1051"/>
        <v>#NAME?</v>
      </c>
      <c r="BW120" s="162" t="e">
        <f t="shared" ca="1" si="1051"/>
        <v>#NAME?</v>
      </c>
      <c r="BX120" s="162" t="e">
        <f t="shared" ca="1" si="1051"/>
        <v>#NAME?</v>
      </c>
      <c r="BY120" s="162" t="e">
        <f t="shared" ca="1" si="1051"/>
        <v>#NAME?</v>
      </c>
      <c r="BZ120" s="162" t="e">
        <f t="shared" ca="1" si="1051"/>
        <v>#NAME?</v>
      </c>
      <c r="CA120" s="162" t="e">
        <f t="shared" ca="1" si="1051"/>
        <v>#NAME?</v>
      </c>
      <c r="CB120" s="162" t="e">
        <f t="shared" ca="1" si="1051"/>
        <v>#NAME?</v>
      </c>
      <c r="CC120" s="162" t="e">
        <f t="shared" ca="1" si="1051"/>
        <v>#NAME?</v>
      </c>
      <c r="CD120" s="162" t="e">
        <f t="shared" ca="1" si="1051"/>
        <v>#NAME?</v>
      </c>
      <c r="CE120" s="162" t="e">
        <f t="shared" ca="1" si="1051"/>
        <v>#NAME?</v>
      </c>
      <c r="CF120" s="162" t="e">
        <f t="shared" ca="1" si="1051"/>
        <v>#NAME?</v>
      </c>
      <c r="CG120" s="162" t="e">
        <f t="shared" ca="1" si="1051"/>
        <v>#NAME?</v>
      </c>
      <c r="CH120" s="162" t="e">
        <f t="shared" ca="1" si="1051"/>
        <v>#NAME?</v>
      </c>
      <c r="CI120" s="162" t="e">
        <f t="shared" ca="1" si="1051"/>
        <v>#NAME?</v>
      </c>
      <c r="CJ120" s="162" t="e">
        <f t="shared" ca="1" si="1051"/>
        <v>#NAME?</v>
      </c>
      <c r="CK120" s="162" t="e">
        <f t="shared" ca="1" si="1051"/>
        <v>#NAME?</v>
      </c>
      <c r="CL120" s="162" t="e">
        <f t="shared" ca="1" si="1051"/>
        <v>#NAME?</v>
      </c>
      <c r="CM120" s="21" t="e">
        <f t="shared" ref="CM120" ca="1" si="1052">+SUM(CJ36:CM36)</f>
        <v>#NAME?</v>
      </c>
      <c r="CN120" s="21" t="e">
        <f t="shared" ref="CN120" ca="1" si="1053">+SUM(CK36:CN36)</f>
        <v>#NAME?</v>
      </c>
      <c r="CO120" s="21" t="e">
        <f t="shared" ref="CO120" ca="1" si="1054">+SUM(CL36:CO36)</f>
        <v>#NAME?</v>
      </c>
      <c r="CP120" s="21" t="e">
        <f t="shared" ref="CP120" ca="1" si="1055">+SUM(CM36:CP36)</f>
        <v>#NAME?</v>
      </c>
      <c r="CQ120" s="21" t="e">
        <f t="shared" ref="CQ120" ca="1" si="1056">+SUM(CN36:CQ36)</f>
        <v>#NAME?</v>
      </c>
      <c r="CR120" s="21" t="e">
        <f t="shared" ref="CR120" ca="1" si="1057">+SUM(CO36:CR36)</f>
        <v>#NAME?</v>
      </c>
      <c r="CS120" s="21" t="e">
        <f t="shared" ref="CS120" ca="1" si="1058">+SUM(CP36:CS36)</f>
        <v>#NAME?</v>
      </c>
      <c r="CT120" s="21" t="e">
        <f t="shared" ref="CT120" ca="1" si="1059">+SUM(CQ36:CT36)</f>
        <v>#NAME?</v>
      </c>
      <c r="CU120" s="21" t="e">
        <f t="shared" ref="CU120" ca="1" si="1060">+SUM(CR36:CU36)</f>
        <v>#NAME?</v>
      </c>
      <c r="CV120" s="21" t="e">
        <f t="shared" ref="CV120" ca="1" si="1061">+SUM(CS36:CV36)</f>
        <v>#NAME?</v>
      </c>
      <c r="CW120" s="21" t="e">
        <f t="shared" ref="CW120" ca="1" si="1062">+SUM(CT36:CW36)</f>
        <v>#NAME?</v>
      </c>
      <c r="CX120" s="21" t="e">
        <f t="shared" ref="CX120" ca="1" si="1063">+SUM(CU36:CX36)</f>
        <v>#NAME?</v>
      </c>
      <c r="CY120" s="21" t="e">
        <f t="shared" ref="CY120" ca="1" si="1064">+SUM(CV36:CY36)</f>
        <v>#NAME?</v>
      </c>
      <c r="CZ120" s="21" t="e">
        <f t="shared" ref="CZ120" ca="1" si="1065">+SUM(CW36:CZ36)</f>
        <v>#NAME?</v>
      </c>
      <c r="DA120" s="21" t="e">
        <f t="shared" ref="DA120" ca="1" si="1066">+SUM(CX36:DA36)</f>
        <v>#NAME?</v>
      </c>
      <c r="DB120" s="21" t="e">
        <f t="shared" ref="DB120" ca="1" si="1067">+SUM(CY36:DB36)</f>
        <v>#NAME?</v>
      </c>
      <c r="DE120" s="22"/>
      <c r="DF120" s="162">
        <v>6538.9400000000023</v>
      </c>
    </row>
    <row r="121" spans="1:110" s="162" customFormat="1" x14ac:dyDescent="0.2">
      <c r="A121" s="49" t="s">
        <v>343</v>
      </c>
      <c r="B121" s="162" t="e">
        <f ca="1">+B118/B120</f>
        <v>#NAME?</v>
      </c>
      <c r="C121" s="162" t="e">
        <f t="shared" ref="C121:W121" ca="1" si="1068">+C118/C120</f>
        <v>#NAME?</v>
      </c>
      <c r="D121" s="162" t="e">
        <f t="shared" ca="1" si="1068"/>
        <v>#NAME?</v>
      </c>
      <c r="E121" s="162" t="e">
        <f t="shared" ca="1" si="1068"/>
        <v>#NAME?</v>
      </c>
      <c r="F121" s="162" t="e">
        <f t="shared" ca="1" si="1068"/>
        <v>#NAME?</v>
      </c>
      <c r="G121" s="162" t="e">
        <f t="shared" ca="1" si="1068"/>
        <v>#NAME?</v>
      </c>
      <c r="H121" s="162" t="e">
        <f t="shared" ca="1" si="1068"/>
        <v>#NAME?</v>
      </c>
      <c r="I121" s="162" t="e">
        <f t="shared" ca="1" si="1068"/>
        <v>#NAME?</v>
      </c>
      <c r="J121" s="162" t="e">
        <f t="shared" ca="1" si="1068"/>
        <v>#NAME?</v>
      </c>
      <c r="K121" s="162" t="e">
        <f t="shared" ca="1" si="1068"/>
        <v>#NAME?</v>
      </c>
      <c r="L121" s="162" t="e">
        <f t="shared" ca="1" si="1068"/>
        <v>#NAME?</v>
      </c>
      <c r="M121" s="162" t="e">
        <f t="shared" ca="1" si="1068"/>
        <v>#NAME?</v>
      </c>
      <c r="N121" s="162" t="e">
        <f t="shared" ca="1" si="1068"/>
        <v>#NAME?</v>
      </c>
      <c r="O121" s="162" t="e">
        <f t="shared" ca="1" si="1068"/>
        <v>#NAME?</v>
      </c>
      <c r="P121" s="162" t="e">
        <f t="shared" ca="1" si="1068"/>
        <v>#NAME?</v>
      </c>
      <c r="Q121" s="162" t="e">
        <f t="shared" ca="1" si="1068"/>
        <v>#NAME?</v>
      </c>
      <c r="R121" s="162" t="e">
        <f t="shared" ca="1" si="1068"/>
        <v>#NAME?</v>
      </c>
      <c r="S121" s="162" t="e">
        <f t="shared" ca="1" si="1068"/>
        <v>#NAME?</v>
      </c>
      <c r="T121" s="162" t="e">
        <f t="shared" ca="1" si="1068"/>
        <v>#NAME?</v>
      </c>
      <c r="U121" s="162" t="e">
        <f t="shared" ca="1" si="1068"/>
        <v>#NAME?</v>
      </c>
      <c r="V121" s="162" t="e">
        <f t="shared" ca="1" si="1068"/>
        <v>#NAME?</v>
      </c>
      <c r="W121" s="162" t="e">
        <f t="shared" ca="1" si="1068"/>
        <v>#NAME?</v>
      </c>
      <c r="X121" s="162" t="e">
        <f t="shared" ref="X121:Y121" ca="1" si="1069">+X118/X120</f>
        <v>#NAME?</v>
      </c>
      <c r="Y121" s="162" t="e">
        <f t="shared" ca="1" si="1069"/>
        <v>#NAME?</v>
      </c>
      <c r="Z121" s="162" t="e">
        <f t="shared" ref="Z121:AA121" ca="1" si="1070">+Z118/Z120</f>
        <v>#NAME?</v>
      </c>
      <c r="AA121" s="162" t="e">
        <f t="shared" ca="1" si="1070"/>
        <v>#NAME?</v>
      </c>
      <c r="AB121" s="21" t="e">
        <f t="shared" ref="AA121:AD121" ca="1" si="1071">+AB118/AB120</f>
        <v>#NAME?</v>
      </c>
      <c r="AC121" s="21" t="e">
        <f t="shared" ca="1" si="1071"/>
        <v>#NAME?</v>
      </c>
      <c r="AD121" s="21" t="e">
        <f t="shared" ca="1" si="1071"/>
        <v>#NAME?</v>
      </c>
      <c r="AE121" s="21" t="e">
        <f t="shared" ref="AE121" ca="1" si="1072">+AE118/AE120</f>
        <v>#NAME?</v>
      </c>
      <c r="AL121" s="162" t="e">
        <f t="shared" ref="AL121" ca="1" si="1073">+AL118/AL120</f>
        <v>#NAME?</v>
      </c>
      <c r="AM121" s="162" t="e">
        <f t="shared" ref="AM121:AO121" ca="1" si="1074">+AM118/AM120</f>
        <v>#NAME?</v>
      </c>
      <c r="AN121" s="162" t="e">
        <f t="shared" ca="1" si="1074"/>
        <v>#NAME?</v>
      </c>
      <c r="AO121" s="162" t="e">
        <f t="shared" ca="1" si="1074"/>
        <v>#NAME?</v>
      </c>
      <c r="AP121" s="162" t="e">
        <f t="shared" ref="AP121:CD121" ca="1" si="1075">+AP118/AP120</f>
        <v>#NAME?</v>
      </c>
      <c r="AQ121" s="162" t="e">
        <f t="shared" ca="1" si="1075"/>
        <v>#NAME?</v>
      </c>
      <c r="AR121" s="162" t="e">
        <f t="shared" ca="1" si="1075"/>
        <v>#NAME?</v>
      </c>
      <c r="AS121" s="162" t="e">
        <f t="shared" ca="1" si="1075"/>
        <v>#NAME?</v>
      </c>
      <c r="AT121" s="162" t="e">
        <f t="shared" ca="1" si="1075"/>
        <v>#NAME?</v>
      </c>
      <c r="AU121" s="162" t="e">
        <f t="shared" ca="1" si="1075"/>
        <v>#NAME?</v>
      </c>
      <c r="AV121" s="162" t="e">
        <f t="shared" ca="1" si="1075"/>
        <v>#NAME?</v>
      </c>
      <c r="AW121" s="162" t="e">
        <f t="shared" ca="1" si="1075"/>
        <v>#NAME?</v>
      </c>
      <c r="AX121" s="162" t="e">
        <f t="shared" ca="1" si="1075"/>
        <v>#NAME?</v>
      </c>
      <c r="AY121" s="162" t="e">
        <f t="shared" ca="1" si="1075"/>
        <v>#NAME?</v>
      </c>
      <c r="AZ121" s="162" t="e">
        <f t="shared" ca="1" si="1075"/>
        <v>#NAME?</v>
      </c>
      <c r="BA121" s="162" t="e">
        <f t="shared" ca="1" si="1075"/>
        <v>#NAME?</v>
      </c>
      <c r="BB121" s="162" t="e">
        <f t="shared" ca="1" si="1075"/>
        <v>#NAME?</v>
      </c>
      <c r="BC121" s="162" t="e">
        <f t="shared" ca="1" si="1075"/>
        <v>#NAME?</v>
      </c>
      <c r="BD121" s="162" t="e">
        <f t="shared" ca="1" si="1075"/>
        <v>#NAME?</v>
      </c>
      <c r="BE121" s="162" t="e">
        <f t="shared" ca="1" si="1075"/>
        <v>#NAME?</v>
      </c>
      <c r="BF121" s="162" t="e">
        <f t="shared" ca="1" si="1075"/>
        <v>#NAME?</v>
      </c>
      <c r="BG121" s="162" t="e">
        <f t="shared" ca="1" si="1075"/>
        <v>#NAME?</v>
      </c>
      <c r="BH121" s="162" t="e">
        <f t="shared" ca="1" si="1075"/>
        <v>#NAME?</v>
      </c>
      <c r="BI121" s="162" t="e">
        <f t="shared" ca="1" si="1075"/>
        <v>#NAME?</v>
      </c>
      <c r="BJ121" s="162" t="e">
        <f t="shared" ca="1" si="1075"/>
        <v>#NAME?</v>
      </c>
      <c r="BK121" s="162" t="e">
        <f t="shared" ca="1" si="1075"/>
        <v>#NAME?</v>
      </c>
      <c r="BL121" s="162" t="e">
        <f t="shared" ca="1" si="1075"/>
        <v>#NAME?</v>
      </c>
      <c r="BM121" s="162" t="e">
        <f t="shared" ca="1" si="1075"/>
        <v>#NAME?</v>
      </c>
      <c r="BN121" s="162" t="e">
        <f t="shared" ca="1" si="1075"/>
        <v>#NAME?</v>
      </c>
      <c r="BO121" s="162" t="e">
        <f t="shared" ca="1" si="1075"/>
        <v>#NAME?</v>
      </c>
      <c r="BP121" s="162" t="e">
        <f t="shared" ca="1" si="1075"/>
        <v>#NAME?</v>
      </c>
      <c r="BQ121" s="162" t="e">
        <f t="shared" ca="1" si="1075"/>
        <v>#NAME?</v>
      </c>
      <c r="BR121" s="162" t="e">
        <f t="shared" ca="1" si="1075"/>
        <v>#NAME?</v>
      </c>
      <c r="BS121" s="162" t="e">
        <f t="shared" ca="1" si="1075"/>
        <v>#NAME?</v>
      </c>
      <c r="BT121" s="162" t="e">
        <f t="shared" ca="1" si="1075"/>
        <v>#NAME?</v>
      </c>
      <c r="BU121" s="162" t="e">
        <f t="shared" ca="1" si="1075"/>
        <v>#NAME?</v>
      </c>
      <c r="BV121" s="162" t="e">
        <f t="shared" ca="1" si="1075"/>
        <v>#NAME?</v>
      </c>
      <c r="BW121" s="162" t="e">
        <f t="shared" ca="1" si="1075"/>
        <v>#NAME?</v>
      </c>
      <c r="BX121" s="162" t="e">
        <f t="shared" ca="1" si="1075"/>
        <v>#NAME?</v>
      </c>
      <c r="BY121" s="162" t="e">
        <f t="shared" ca="1" si="1075"/>
        <v>#NAME?</v>
      </c>
      <c r="BZ121" s="162" t="e">
        <f t="shared" ca="1" si="1075"/>
        <v>#NAME?</v>
      </c>
      <c r="CA121" s="162" t="e">
        <f t="shared" ca="1" si="1075"/>
        <v>#NAME?</v>
      </c>
      <c r="CB121" s="162" t="e">
        <f t="shared" ca="1" si="1075"/>
        <v>#NAME?</v>
      </c>
      <c r="CC121" s="162" t="e">
        <f t="shared" ca="1" si="1075"/>
        <v>#NAME?</v>
      </c>
      <c r="CD121" s="162" t="e">
        <f t="shared" ca="1" si="1075"/>
        <v>#NAME?</v>
      </c>
      <c r="CE121" s="162" t="e">
        <f t="shared" ref="CE121:CF121" ca="1" si="1076">+CE118/CE120</f>
        <v>#NAME?</v>
      </c>
      <c r="CF121" s="162" t="e">
        <f t="shared" ca="1" si="1076"/>
        <v>#NAME?</v>
      </c>
      <c r="CG121" s="162" t="e">
        <f t="shared" ref="CG121:CH121" ca="1" si="1077">+CG118/CG120</f>
        <v>#NAME?</v>
      </c>
      <c r="CH121" s="162" t="e">
        <f t="shared" ca="1" si="1077"/>
        <v>#NAME?</v>
      </c>
      <c r="CI121" s="162" t="e">
        <f t="shared" ref="CI121:CJ121" ca="1" si="1078">+CI118/CI120</f>
        <v>#NAME?</v>
      </c>
      <c r="CJ121" s="162" t="e">
        <f t="shared" ca="1" si="1078"/>
        <v>#NAME?</v>
      </c>
      <c r="CK121" s="162" t="e">
        <f t="shared" ref="CK121:CL121" ca="1" si="1079">+CK118/CK120</f>
        <v>#NAME?</v>
      </c>
      <c r="CL121" s="162" t="e">
        <f t="shared" ca="1" si="1079"/>
        <v>#NAME?</v>
      </c>
      <c r="CM121" s="21">
        <v>19.5</v>
      </c>
      <c r="CN121" s="21">
        <f t="shared" ref="CN121:CN122" si="1080">+CM121</f>
        <v>19.5</v>
      </c>
      <c r="CO121" s="21">
        <f t="shared" ref="CO121:CO122" si="1081">+CN121</f>
        <v>19.5</v>
      </c>
      <c r="CP121" s="21">
        <f t="shared" ref="CP121:CP122" si="1082">+CO121</f>
        <v>19.5</v>
      </c>
      <c r="CQ121" s="21">
        <f t="shared" ref="CQ121:CQ122" si="1083">+CP121</f>
        <v>19.5</v>
      </c>
      <c r="CR121" s="21">
        <f t="shared" ref="CR121:CR122" si="1084">+CQ121</f>
        <v>19.5</v>
      </c>
      <c r="CS121" s="21">
        <f t="shared" ref="CS121:CS122" si="1085">+CR121</f>
        <v>19.5</v>
      </c>
      <c r="CT121" s="21">
        <f t="shared" ref="CT121:CT122" si="1086">+CS121</f>
        <v>19.5</v>
      </c>
      <c r="CU121" s="21">
        <f t="shared" ref="CU121:CU122" si="1087">+CT121</f>
        <v>19.5</v>
      </c>
      <c r="CV121" s="21">
        <f t="shared" ref="CV121:CV122" si="1088">+CU121</f>
        <v>19.5</v>
      </c>
      <c r="CW121" s="21">
        <f t="shared" ref="CW121:CW122" si="1089">+CV121</f>
        <v>19.5</v>
      </c>
      <c r="CX121" s="21">
        <f t="shared" ref="CX121:CX122" si="1090">+CW121</f>
        <v>19.5</v>
      </c>
      <c r="CY121" s="21">
        <f t="shared" ref="CY121:CY122" si="1091">+CX121</f>
        <v>19.5</v>
      </c>
      <c r="CZ121" s="21">
        <f t="shared" ref="CZ121:CZ122" si="1092">+CY121</f>
        <v>19.5</v>
      </c>
      <c r="DA121" s="21">
        <f t="shared" ref="DA121:DA122" si="1093">+CZ121</f>
        <v>19.5</v>
      </c>
      <c r="DB121" s="21">
        <f t="shared" ref="DB121:DB122" si="1094">+DA121</f>
        <v>19.5</v>
      </c>
      <c r="DE121" s="22"/>
      <c r="DF121" s="162">
        <v>23.487244109901596</v>
      </c>
    </row>
    <row r="122" spans="1:110" s="162" customFormat="1" x14ac:dyDescent="0.2">
      <c r="A122" s="49" t="s">
        <v>344</v>
      </c>
      <c r="B122" s="162" t="e">
        <f ca="1">+B119/B120</f>
        <v>#NAME?</v>
      </c>
      <c r="C122" s="162" t="e">
        <f t="shared" ref="C122:W122" ca="1" si="1095">+C119/C120</f>
        <v>#NAME?</v>
      </c>
      <c r="D122" s="162" t="e">
        <f t="shared" ca="1" si="1095"/>
        <v>#NAME?</v>
      </c>
      <c r="E122" s="162" t="e">
        <f t="shared" ca="1" si="1095"/>
        <v>#NAME?</v>
      </c>
      <c r="F122" s="162" t="e">
        <f t="shared" ca="1" si="1095"/>
        <v>#NAME?</v>
      </c>
      <c r="G122" s="162" t="e">
        <f t="shared" ca="1" si="1095"/>
        <v>#NAME?</v>
      </c>
      <c r="H122" s="162" t="e">
        <f t="shared" ca="1" si="1095"/>
        <v>#NAME?</v>
      </c>
      <c r="I122" s="162" t="e">
        <f t="shared" ca="1" si="1095"/>
        <v>#NAME?</v>
      </c>
      <c r="J122" s="162" t="e">
        <f t="shared" ca="1" si="1095"/>
        <v>#NAME?</v>
      </c>
      <c r="K122" s="162" t="e">
        <f t="shared" ca="1" si="1095"/>
        <v>#NAME?</v>
      </c>
      <c r="L122" s="162" t="e">
        <f t="shared" ca="1" si="1095"/>
        <v>#NAME?</v>
      </c>
      <c r="M122" s="162" t="e">
        <f t="shared" ca="1" si="1095"/>
        <v>#NAME?</v>
      </c>
      <c r="N122" s="162" t="e">
        <f t="shared" ca="1" si="1095"/>
        <v>#NAME?</v>
      </c>
      <c r="O122" s="162" t="e">
        <f t="shared" ca="1" si="1095"/>
        <v>#NAME?</v>
      </c>
      <c r="P122" s="162" t="e">
        <f t="shared" ca="1" si="1095"/>
        <v>#NAME?</v>
      </c>
      <c r="Q122" s="162" t="e">
        <f t="shared" ca="1" si="1095"/>
        <v>#NAME?</v>
      </c>
      <c r="R122" s="162" t="e">
        <f t="shared" ca="1" si="1095"/>
        <v>#NAME?</v>
      </c>
      <c r="S122" s="162" t="e">
        <f t="shared" ca="1" si="1095"/>
        <v>#NAME?</v>
      </c>
      <c r="T122" s="162" t="e">
        <f t="shared" ca="1" si="1095"/>
        <v>#NAME?</v>
      </c>
      <c r="U122" s="162" t="e">
        <f t="shared" ca="1" si="1095"/>
        <v>#NAME?</v>
      </c>
      <c r="V122" s="162" t="e">
        <f t="shared" ca="1" si="1095"/>
        <v>#NAME?</v>
      </c>
      <c r="W122" s="162" t="e">
        <f t="shared" ca="1" si="1095"/>
        <v>#NAME?</v>
      </c>
      <c r="X122" s="162" t="e">
        <f t="shared" ref="X122:Y122" ca="1" si="1096">+X119/X120</f>
        <v>#NAME?</v>
      </c>
      <c r="Y122" s="162" t="e">
        <f t="shared" ca="1" si="1096"/>
        <v>#NAME?</v>
      </c>
      <c r="Z122" s="162" t="e">
        <f t="shared" ref="Z122:AA122" ca="1" si="1097">+Z119/Z120</f>
        <v>#NAME?</v>
      </c>
      <c r="AA122" s="162" t="e">
        <f t="shared" ca="1" si="1097"/>
        <v>#NAME?</v>
      </c>
      <c r="AB122" s="21" t="e">
        <f t="shared" ref="AA122:AD122" ca="1" si="1098">+AB119/AB120</f>
        <v>#NAME?</v>
      </c>
      <c r="AC122" s="21" t="e">
        <f t="shared" ca="1" si="1098"/>
        <v>#NAME?</v>
      </c>
      <c r="AD122" s="21" t="e">
        <f t="shared" ca="1" si="1098"/>
        <v>#NAME?</v>
      </c>
      <c r="AE122" s="21" t="e">
        <f t="shared" ref="AE122" ca="1" si="1099">+AE119/AE120</f>
        <v>#NAME?</v>
      </c>
      <c r="AL122" s="162" t="e">
        <f t="shared" ref="AL122:AM122" ca="1" si="1100">+AL119/AL120</f>
        <v>#NAME?</v>
      </c>
      <c r="AM122" s="162" t="e">
        <f t="shared" ca="1" si="1100"/>
        <v>#NAME?</v>
      </c>
      <c r="AN122" s="162" t="e">
        <f t="shared" ref="AN122:AO122" ca="1" si="1101">+AN119/AN120</f>
        <v>#NAME?</v>
      </c>
      <c r="AO122" s="162" t="e">
        <f t="shared" ca="1" si="1101"/>
        <v>#NAME?</v>
      </c>
      <c r="AP122" s="162" t="e">
        <f t="shared" ref="AP122:CD122" ca="1" si="1102">+AP119/AP120</f>
        <v>#NAME?</v>
      </c>
      <c r="AQ122" s="162" t="e">
        <f t="shared" ca="1" si="1102"/>
        <v>#NAME?</v>
      </c>
      <c r="AR122" s="162" t="e">
        <f t="shared" ca="1" si="1102"/>
        <v>#NAME?</v>
      </c>
      <c r="AS122" s="162" t="e">
        <f t="shared" ca="1" si="1102"/>
        <v>#NAME?</v>
      </c>
      <c r="AT122" s="162" t="e">
        <f t="shared" ca="1" si="1102"/>
        <v>#NAME?</v>
      </c>
      <c r="AU122" s="162" t="e">
        <f t="shared" ca="1" si="1102"/>
        <v>#NAME?</v>
      </c>
      <c r="AV122" s="162" t="e">
        <f t="shared" ca="1" si="1102"/>
        <v>#NAME?</v>
      </c>
      <c r="AW122" s="162" t="e">
        <f t="shared" ca="1" si="1102"/>
        <v>#NAME?</v>
      </c>
      <c r="AX122" s="162" t="e">
        <f t="shared" ca="1" si="1102"/>
        <v>#NAME?</v>
      </c>
      <c r="AY122" s="162" t="e">
        <f t="shared" ca="1" si="1102"/>
        <v>#NAME?</v>
      </c>
      <c r="AZ122" s="162" t="e">
        <f t="shared" ca="1" si="1102"/>
        <v>#NAME?</v>
      </c>
      <c r="BA122" s="162" t="e">
        <f t="shared" ca="1" si="1102"/>
        <v>#NAME?</v>
      </c>
      <c r="BB122" s="162" t="e">
        <f t="shared" ca="1" si="1102"/>
        <v>#NAME?</v>
      </c>
      <c r="BC122" s="162" t="e">
        <f t="shared" ca="1" si="1102"/>
        <v>#NAME?</v>
      </c>
      <c r="BD122" s="162" t="e">
        <f t="shared" ca="1" si="1102"/>
        <v>#NAME?</v>
      </c>
      <c r="BE122" s="162" t="e">
        <f t="shared" ca="1" si="1102"/>
        <v>#NAME?</v>
      </c>
      <c r="BF122" s="162" t="e">
        <f t="shared" ca="1" si="1102"/>
        <v>#NAME?</v>
      </c>
      <c r="BG122" s="162" t="e">
        <f t="shared" ca="1" si="1102"/>
        <v>#NAME?</v>
      </c>
      <c r="BH122" s="162" t="e">
        <f t="shared" ca="1" si="1102"/>
        <v>#NAME?</v>
      </c>
      <c r="BI122" s="162" t="e">
        <f t="shared" ca="1" si="1102"/>
        <v>#NAME?</v>
      </c>
      <c r="BJ122" s="162" t="e">
        <f t="shared" ca="1" si="1102"/>
        <v>#NAME?</v>
      </c>
      <c r="BK122" s="162" t="e">
        <f t="shared" ca="1" si="1102"/>
        <v>#NAME?</v>
      </c>
      <c r="BL122" s="162" t="e">
        <f t="shared" ca="1" si="1102"/>
        <v>#NAME?</v>
      </c>
      <c r="BM122" s="162" t="e">
        <f t="shared" ca="1" si="1102"/>
        <v>#NAME?</v>
      </c>
      <c r="BN122" s="162" t="e">
        <f t="shared" ca="1" si="1102"/>
        <v>#NAME?</v>
      </c>
      <c r="BO122" s="162" t="e">
        <f t="shared" ca="1" si="1102"/>
        <v>#NAME?</v>
      </c>
      <c r="BP122" s="162" t="e">
        <f t="shared" ca="1" si="1102"/>
        <v>#NAME?</v>
      </c>
      <c r="BQ122" s="162" t="e">
        <f t="shared" ca="1" si="1102"/>
        <v>#NAME?</v>
      </c>
      <c r="BR122" s="162" t="e">
        <f t="shared" ca="1" si="1102"/>
        <v>#NAME?</v>
      </c>
      <c r="BS122" s="162" t="e">
        <f t="shared" ca="1" si="1102"/>
        <v>#NAME?</v>
      </c>
      <c r="BT122" s="162" t="e">
        <f t="shared" ca="1" si="1102"/>
        <v>#NAME?</v>
      </c>
      <c r="BU122" s="162" t="e">
        <f t="shared" ca="1" si="1102"/>
        <v>#NAME?</v>
      </c>
      <c r="BV122" s="162" t="e">
        <f t="shared" ca="1" si="1102"/>
        <v>#NAME?</v>
      </c>
      <c r="BW122" s="162" t="e">
        <f t="shared" ca="1" si="1102"/>
        <v>#NAME?</v>
      </c>
      <c r="BX122" s="162" t="e">
        <f t="shared" ca="1" si="1102"/>
        <v>#NAME?</v>
      </c>
      <c r="BY122" s="162" t="e">
        <f t="shared" ca="1" si="1102"/>
        <v>#NAME?</v>
      </c>
      <c r="BZ122" s="162" t="e">
        <f t="shared" ca="1" si="1102"/>
        <v>#NAME?</v>
      </c>
      <c r="CA122" s="162" t="e">
        <f t="shared" ca="1" si="1102"/>
        <v>#NAME?</v>
      </c>
      <c r="CB122" s="162" t="e">
        <f t="shared" ca="1" si="1102"/>
        <v>#NAME?</v>
      </c>
      <c r="CC122" s="162" t="e">
        <f t="shared" ca="1" si="1102"/>
        <v>#NAME?</v>
      </c>
      <c r="CD122" s="162" t="e">
        <f t="shared" ca="1" si="1102"/>
        <v>#NAME?</v>
      </c>
      <c r="CE122" s="162" t="e">
        <f t="shared" ref="CE122:CF122" ca="1" si="1103">+CE119/CE120</f>
        <v>#NAME?</v>
      </c>
      <c r="CF122" s="162" t="e">
        <f t="shared" ca="1" si="1103"/>
        <v>#NAME?</v>
      </c>
      <c r="CG122" s="162" t="e">
        <f t="shared" ref="CG122:CH122" ca="1" si="1104">+CG119/CG120</f>
        <v>#NAME?</v>
      </c>
      <c r="CH122" s="162" t="e">
        <f t="shared" ca="1" si="1104"/>
        <v>#NAME?</v>
      </c>
      <c r="CI122" s="162" t="e">
        <f t="shared" ref="CI122:CJ122" ca="1" si="1105">+CI119/CI120</f>
        <v>#NAME?</v>
      </c>
      <c r="CJ122" s="162" t="e">
        <f t="shared" ca="1" si="1105"/>
        <v>#NAME?</v>
      </c>
      <c r="CK122" s="162" t="e">
        <f t="shared" ref="CK122:CL122" ca="1" si="1106">+CK119/CK120</f>
        <v>#NAME?</v>
      </c>
      <c r="CL122" s="162" t="e">
        <f t="shared" ca="1" si="1106"/>
        <v>#NAME?</v>
      </c>
      <c r="CM122" s="21">
        <v>15.35</v>
      </c>
      <c r="CN122" s="21">
        <f t="shared" si="1080"/>
        <v>15.35</v>
      </c>
      <c r="CO122" s="21">
        <f t="shared" si="1081"/>
        <v>15.35</v>
      </c>
      <c r="CP122" s="21">
        <f t="shared" si="1082"/>
        <v>15.35</v>
      </c>
      <c r="CQ122" s="21">
        <f t="shared" si="1083"/>
        <v>15.35</v>
      </c>
      <c r="CR122" s="21">
        <f t="shared" si="1084"/>
        <v>15.35</v>
      </c>
      <c r="CS122" s="21">
        <f t="shared" si="1085"/>
        <v>15.35</v>
      </c>
      <c r="CT122" s="21">
        <f t="shared" si="1086"/>
        <v>15.35</v>
      </c>
      <c r="CU122" s="21">
        <f t="shared" si="1087"/>
        <v>15.35</v>
      </c>
      <c r="CV122" s="21">
        <f t="shared" si="1088"/>
        <v>15.35</v>
      </c>
      <c r="CW122" s="21">
        <f t="shared" si="1089"/>
        <v>15.35</v>
      </c>
      <c r="CX122" s="21">
        <f t="shared" si="1090"/>
        <v>15.35</v>
      </c>
      <c r="CY122" s="21">
        <f t="shared" si="1091"/>
        <v>15.35</v>
      </c>
      <c r="CZ122" s="21">
        <f t="shared" si="1092"/>
        <v>15.35</v>
      </c>
      <c r="DA122" s="21">
        <f t="shared" si="1093"/>
        <v>15.35</v>
      </c>
      <c r="DB122" s="21">
        <f t="shared" si="1094"/>
        <v>15.35</v>
      </c>
      <c r="DE122" s="22"/>
      <c r="DF122" s="162">
        <v>14.755159093064007</v>
      </c>
    </row>
    <row r="123" spans="1:110" s="162" customFormat="1" x14ac:dyDescent="0.2">
      <c r="A123" s="49"/>
      <c r="AB123" s="21"/>
      <c r="AC123" s="21"/>
      <c r="AD123" s="21"/>
      <c r="AE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E123" s="22"/>
    </row>
    <row r="124" spans="1:110" s="162" customFormat="1" x14ac:dyDescent="0.2">
      <c r="A124" s="49" t="s">
        <v>531</v>
      </c>
      <c r="R124" s="162">
        <f>BA124</f>
        <v>44.089999999999996</v>
      </c>
      <c r="S124" s="162">
        <f>BE124</f>
        <v>49.159999999999989</v>
      </c>
      <c r="T124" s="162">
        <f>BI124</f>
        <v>52.999999999999993</v>
      </c>
      <c r="U124" s="162">
        <f>BM124</f>
        <v>52.999999999999993</v>
      </c>
      <c r="V124" s="162">
        <f>BQ124</f>
        <v>47</v>
      </c>
      <c r="W124" s="162">
        <f>BU124</f>
        <v>52.999999999999993</v>
      </c>
      <c r="X124" s="162">
        <f>BZ124</f>
        <v>54.699999999999996</v>
      </c>
      <c r="Y124" s="162">
        <f>CD124</f>
        <v>59.2</v>
      </c>
      <c r="Z124" s="162">
        <f>CH124</f>
        <v>65.2</v>
      </c>
      <c r="AA124" s="162">
        <f>CI124</f>
        <v>67.8</v>
      </c>
      <c r="AB124" s="21">
        <f>+CP124</f>
        <v>86.965999999999994</v>
      </c>
      <c r="AC124" s="21">
        <f>+CT124</f>
        <v>96.967089999999999</v>
      </c>
      <c r="AD124" s="21">
        <f>+CX124</f>
        <v>106.76999546647157</v>
      </c>
      <c r="AE124" s="21">
        <f>+DB124</f>
        <v>116.77095075776153</v>
      </c>
      <c r="BA124" s="162">
        <f t="shared" ref="BA124:CL124" si="1107">SUM(AX4:BA4)</f>
        <v>44.089999999999996</v>
      </c>
      <c r="BB124" s="162">
        <f t="shared" si="1107"/>
        <v>45.350793650793648</v>
      </c>
      <c r="BC124" s="162">
        <f t="shared" si="1107"/>
        <v>46.727830687830682</v>
      </c>
      <c r="BD124" s="162">
        <f t="shared" si="1107"/>
        <v>47.899206349206338</v>
      </c>
      <c r="BE124" s="162">
        <f t="shared" si="1107"/>
        <v>49.159999999999989</v>
      </c>
      <c r="BF124" s="162">
        <f t="shared" si="1107"/>
        <v>50.11492063492063</v>
      </c>
      <c r="BG124" s="162">
        <f t="shared" si="1107"/>
        <v>51.157883597883597</v>
      </c>
      <c r="BH124" s="162">
        <f t="shared" si="1107"/>
        <v>52.04507936507936</v>
      </c>
      <c r="BI124" s="162">
        <f t="shared" si="1107"/>
        <v>52.999999999999993</v>
      </c>
      <c r="BJ124" s="162">
        <f t="shared" si="1107"/>
        <v>52.999999999999993</v>
      </c>
      <c r="BK124" s="162">
        <f t="shared" si="1107"/>
        <v>53</v>
      </c>
      <c r="BL124" s="162">
        <f t="shared" si="1107"/>
        <v>52.999999999999993</v>
      </c>
      <c r="BM124" s="162">
        <f t="shared" si="1107"/>
        <v>52.999999999999993</v>
      </c>
      <c r="BN124" s="162">
        <f t="shared" si="1107"/>
        <v>51.507936507936506</v>
      </c>
      <c r="BO124" s="162">
        <f t="shared" si="1107"/>
        <v>49.878306878306873</v>
      </c>
      <c r="BP124" s="162">
        <f t="shared" si="1107"/>
        <v>48.492063492063487</v>
      </c>
      <c r="BQ124" s="162">
        <f t="shared" si="1107"/>
        <v>47</v>
      </c>
      <c r="BR124" s="162">
        <f t="shared" si="1107"/>
        <v>48.492063492063487</v>
      </c>
      <c r="BS124" s="162">
        <f t="shared" si="1107"/>
        <v>50.12169312169312</v>
      </c>
      <c r="BT124" s="162">
        <f t="shared" si="1107"/>
        <v>51.507936507936506</v>
      </c>
      <c r="BU124" s="162">
        <f t="shared" si="1107"/>
        <v>52.999999999999993</v>
      </c>
      <c r="BV124" s="162">
        <f t="shared" si="1107"/>
        <v>54.220105820105815</v>
      </c>
      <c r="BW124" s="162">
        <f t="shared" si="1107"/>
        <v>53.92504409171076</v>
      </c>
      <c r="BX124" s="162">
        <f t="shared" si="1107"/>
        <v>54.479894179894174</v>
      </c>
      <c r="BY124" s="162">
        <f t="shared" si="1107"/>
        <v>55</v>
      </c>
      <c r="BZ124" s="162">
        <f t="shared" si="1107"/>
        <v>54.699999999999996</v>
      </c>
      <c r="CA124" s="162">
        <f t="shared" si="1107"/>
        <v>56</v>
      </c>
      <c r="CB124" s="162">
        <f t="shared" si="1107"/>
        <v>56.3</v>
      </c>
      <c r="CC124" s="162">
        <f t="shared" si="1107"/>
        <v>56.7</v>
      </c>
      <c r="CD124" s="162">
        <f t="shared" si="1107"/>
        <v>59.2</v>
      </c>
      <c r="CE124" s="162">
        <f t="shared" si="1107"/>
        <v>59.599999999999994</v>
      </c>
      <c r="CF124" s="162">
        <f t="shared" si="1107"/>
        <v>60.7</v>
      </c>
      <c r="CG124" s="162">
        <f t="shared" si="1107"/>
        <v>63.100000000000009</v>
      </c>
      <c r="CH124" s="162">
        <f t="shared" si="1107"/>
        <v>65.2</v>
      </c>
      <c r="CI124" s="162">
        <f t="shared" si="1107"/>
        <v>67.8</v>
      </c>
      <c r="CJ124" s="162">
        <f t="shared" si="1107"/>
        <v>70.2</v>
      </c>
      <c r="CK124" s="162">
        <f>SUM(CH4:CK4)</f>
        <v>72.5</v>
      </c>
      <c r="CL124" s="162">
        <f t="shared" si="1107"/>
        <v>73.699999999999989</v>
      </c>
      <c r="CM124" s="21">
        <f t="shared" ref="CM124:DB124" si="1108">SUM(CJ4:CM4)</f>
        <v>77.012</v>
      </c>
      <c r="CN124" s="21">
        <f t="shared" si="1108"/>
        <v>80</v>
      </c>
      <c r="CO124" s="21">
        <f t="shared" si="1108"/>
        <v>83.383999999999986</v>
      </c>
      <c r="CP124" s="21">
        <f t="shared" si="1108"/>
        <v>86.965999999999994</v>
      </c>
      <c r="CQ124" s="21">
        <f t="shared" si="1108"/>
        <v>89.462879999999984</v>
      </c>
      <c r="CR124" s="21">
        <f t="shared" si="1108"/>
        <v>91.715499999999992</v>
      </c>
      <c r="CS124" s="21">
        <f t="shared" si="1108"/>
        <v>94.266659999999987</v>
      </c>
      <c r="CT124" s="21">
        <f t="shared" si="1108"/>
        <v>96.967089999999999</v>
      </c>
      <c r="CU124" s="21">
        <f t="shared" si="1108"/>
        <v>99.611910139999992</v>
      </c>
      <c r="CV124" s="21">
        <f t="shared" si="1108"/>
        <v>101.87869348824999</v>
      </c>
      <c r="CW124" s="21">
        <f t="shared" si="1108"/>
        <v>104.317533885825</v>
      </c>
      <c r="CX124" s="21">
        <f t="shared" si="1108"/>
        <v>106.76999546647157</v>
      </c>
      <c r="CY124" s="21">
        <f t="shared" si="1108"/>
        <v>109.285333725432</v>
      </c>
      <c r="CZ124" s="21">
        <f t="shared" si="1108"/>
        <v>111.54343125575035</v>
      </c>
      <c r="DA124" s="21">
        <f t="shared" si="1108"/>
        <v>114.088771469303</v>
      </c>
      <c r="DB124" s="21">
        <f t="shared" si="1108"/>
        <v>116.77095075776153</v>
      </c>
      <c r="DE124" s="22"/>
      <c r="DF124" s="162">
        <v>73.699999999999989</v>
      </c>
    </row>
    <row r="125" spans="1:110" s="162" customFormat="1" x14ac:dyDescent="0.2">
      <c r="A125" s="192" t="s">
        <v>532</v>
      </c>
      <c r="S125" s="193">
        <f>S124/R124-1</f>
        <v>0.1149920616919935</v>
      </c>
      <c r="T125" s="193">
        <f t="shared" ref="T125:AE125" si="1109">T124/S124-1</f>
        <v>7.8112286411716969E-2</v>
      </c>
      <c r="U125" s="193">
        <f t="shared" si="1109"/>
        <v>0</v>
      </c>
      <c r="V125" s="193">
        <f t="shared" si="1109"/>
        <v>-0.11320754716981118</v>
      </c>
      <c r="W125" s="193">
        <f t="shared" si="1109"/>
        <v>0.12765957446808485</v>
      </c>
      <c r="X125" s="193">
        <f t="shared" si="1109"/>
        <v>3.2075471698113311E-2</v>
      </c>
      <c r="Y125" s="193">
        <f t="shared" si="1109"/>
        <v>8.2266910420475403E-2</v>
      </c>
      <c r="Z125" s="193">
        <f t="shared" si="1109"/>
        <v>0.10135135135135132</v>
      </c>
      <c r="AA125" s="193">
        <f t="shared" si="1109"/>
        <v>3.9877300613496924E-2</v>
      </c>
      <c r="AB125" s="194">
        <f t="shared" si="1109"/>
        <v>0.28268436578171086</v>
      </c>
      <c r="AC125" s="194">
        <f t="shared" si="1109"/>
        <v>0.11499999999999999</v>
      </c>
      <c r="AD125" s="194">
        <f t="shared" si="1109"/>
        <v>0.10109518050373145</v>
      </c>
      <c r="AE125" s="194">
        <f t="shared" si="1109"/>
        <v>9.3668218749999976E-2</v>
      </c>
      <c r="BE125" s="193">
        <f t="shared" ref="BE125:CL125" si="1110">BE124/BA124-1</f>
        <v>0.1149920616919935</v>
      </c>
      <c r="BF125" s="193">
        <f t="shared" si="1110"/>
        <v>0.10505057575863641</v>
      </c>
      <c r="BG125" s="193">
        <f t="shared" si="1110"/>
        <v>9.480544773516808E-2</v>
      </c>
      <c r="BH125" s="193">
        <f t="shared" si="1110"/>
        <v>8.6554106672410702E-2</v>
      </c>
      <c r="BI125" s="193">
        <f t="shared" si="1110"/>
        <v>7.8112286411716969E-2</v>
      </c>
      <c r="BJ125" s="193">
        <f t="shared" si="1110"/>
        <v>5.7569269361847697E-2</v>
      </c>
      <c r="BK125" s="193">
        <f t="shared" si="1110"/>
        <v>3.6008456029885672E-2</v>
      </c>
      <c r="BL125" s="193">
        <f t="shared" si="1110"/>
        <v>1.8347952324602623E-2</v>
      </c>
      <c r="BM125" s="193">
        <f t="shared" si="1110"/>
        <v>0</v>
      </c>
      <c r="BN125" s="193">
        <f t="shared" si="1110"/>
        <v>-2.8152141359688465E-2</v>
      </c>
      <c r="BO125" s="193">
        <f t="shared" si="1110"/>
        <v>-5.8899870220625039E-2</v>
      </c>
      <c r="BP125" s="193">
        <f t="shared" si="1110"/>
        <v>-8.505540581012272E-2</v>
      </c>
      <c r="BQ125" s="193">
        <f t="shared" si="1110"/>
        <v>-0.11320754716981118</v>
      </c>
      <c r="BR125" s="193">
        <f t="shared" si="1110"/>
        <v>-5.8551617873651818E-2</v>
      </c>
      <c r="BS125" s="193">
        <f t="shared" si="1110"/>
        <v>4.8796011456455624E-3</v>
      </c>
      <c r="BT125" s="193">
        <f t="shared" si="1110"/>
        <v>6.2193126022913381E-2</v>
      </c>
      <c r="BU125" s="193">
        <f t="shared" si="1110"/>
        <v>0.12765957446808485</v>
      </c>
      <c r="BV125" s="193">
        <f t="shared" si="1110"/>
        <v>0.11812329514457165</v>
      </c>
      <c r="BW125" s="193">
        <f t="shared" si="1110"/>
        <v>7.588233224251395E-2</v>
      </c>
      <c r="BX125" s="193">
        <f t="shared" si="1110"/>
        <v>5.769902413970196E-2</v>
      </c>
      <c r="BY125" s="193">
        <f t="shared" si="1110"/>
        <v>3.7735849056603987E-2</v>
      </c>
      <c r="BZ125" s="193">
        <f t="shared" si="1110"/>
        <v>8.8508528826261035E-3</v>
      </c>
      <c r="CA125" s="193">
        <f t="shared" si="1110"/>
        <v>3.8478520383967485E-2</v>
      </c>
      <c r="CB125" s="193">
        <f t="shared" si="1110"/>
        <v>3.3408762030553429E-2</v>
      </c>
      <c r="CC125" s="193">
        <f t="shared" si="1110"/>
        <v>3.0909090909090997E-2</v>
      </c>
      <c r="CD125" s="193">
        <f t="shared" si="1110"/>
        <v>8.2266910420475403E-2</v>
      </c>
      <c r="CE125" s="193">
        <f t="shared" si="1110"/>
        <v>6.4285714285714279E-2</v>
      </c>
      <c r="CF125" s="193">
        <f t="shared" si="1110"/>
        <v>7.815275310834835E-2</v>
      </c>
      <c r="CG125" s="193">
        <f t="shared" si="1110"/>
        <v>0.1128747795414462</v>
      </c>
      <c r="CH125" s="193">
        <f t="shared" si="1110"/>
        <v>0.10135135135135132</v>
      </c>
      <c r="CI125" s="193">
        <f t="shared" si="1110"/>
        <v>0.13758389261744974</v>
      </c>
      <c r="CJ125" s="193">
        <f t="shared" si="1110"/>
        <v>0.15650741350906094</v>
      </c>
      <c r="CK125" s="193">
        <f>CK124/CG124-1</f>
        <v>0.14896988906497599</v>
      </c>
      <c r="CL125" s="193">
        <f t="shared" si="1110"/>
        <v>0.130368098159509</v>
      </c>
      <c r="CM125" s="194">
        <f t="shared" ref="CM125:DB125" si="1111">CM124/CI124-1</f>
        <v>0.13587020648967552</v>
      </c>
      <c r="CN125" s="194">
        <f t="shared" si="1111"/>
        <v>0.13960113960113962</v>
      </c>
      <c r="CO125" s="194">
        <f t="shared" si="1111"/>
        <v>0.1501241379310343</v>
      </c>
      <c r="CP125" s="194">
        <f t="shared" si="1111"/>
        <v>0.18000000000000016</v>
      </c>
      <c r="CQ125" s="194">
        <f t="shared" si="1111"/>
        <v>0.16167454422687344</v>
      </c>
      <c r="CR125" s="194">
        <f t="shared" si="1111"/>
        <v>0.14644374999999998</v>
      </c>
      <c r="CS125" s="194">
        <f t="shared" si="1111"/>
        <v>0.13051256835843805</v>
      </c>
      <c r="CT125" s="194">
        <f t="shared" si="1111"/>
        <v>0.11499999999999999</v>
      </c>
      <c r="CU125" s="194">
        <f t="shared" si="1111"/>
        <v>0.11344403555977634</v>
      </c>
      <c r="CV125" s="194">
        <f t="shared" si="1111"/>
        <v>0.11081216902541002</v>
      </c>
      <c r="CW125" s="194">
        <f t="shared" si="1111"/>
        <v>0.10662172485823751</v>
      </c>
      <c r="CX125" s="194">
        <f t="shared" si="1111"/>
        <v>0.10109518050373145</v>
      </c>
      <c r="CY125" s="194">
        <f t="shared" si="1111"/>
        <v>9.7111114241624774E-2</v>
      </c>
      <c r="CZ125" s="194">
        <f t="shared" si="1111"/>
        <v>9.4865152237302963E-2</v>
      </c>
      <c r="DA125" s="194">
        <f t="shared" si="1111"/>
        <v>9.3668218749999976E-2</v>
      </c>
      <c r="DB125" s="194">
        <f t="shared" si="1111"/>
        <v>9.3668218749999976E-2</v>
      </c>
      <c r="DE125" s="22"/>
      <c r="DF125" s="162">
        <v>0.130368098159509</v>
      </c>
    </row>
    <row r="126" spans="1:110" s="162" customFormat="1" x14ac:dyDescent="0.2">
      <c r="A126" s="49" t="s">
        <v>533</v>
      </c>
      <c r="R126" s="162" t="e">
        <f t="shared" ref="R126:AE126" ca="1" si="1112">+R120*10^7/(R124*10^6)</f>
        <v>#NAME?</v>
      </c>
      <c r="S126" s="162" t="e">
        <f t="shared" ca="1" si="1112"/>
        <v>#NAME?</v>
      </c>
      <c r="T126" s="162" t="e">
        <f t="shared" ca="1" si="1112"/>
        <v>#NAME?</v>
      </c>
      <c r="U126" s="162" t="e">
        <f t="shared" ca="1" si="1112"/>
        <v>#NAME?</v>
      </c>
      <c r="V126" s="162" t="e">
        <f t="shared" ca="1" si="1112"/>
        <v>#NAME?</v>
      </c>
      <c r="W126" s="162" t="e">
        <f t="shared" ca="1" si="1112"/>
        <v>#NAME?</v>
      </c>
      <c r="X126" s="162" t="e">
        <f t="shared" ca="1" si="1112"/>
        <v>#NAME?</v>
      </c>
      <c r="Y126" s="162" t="e">
        <f t="shared" ca="1" si="1112"/>
        <v>#NAME?</v>
      </c>
      <c r="Z126" s="162" t="e">
        <f t="shared" ca="1" si="1112"/>
        <v>#NAME?</v>
      </c>
      <c r="AA126" s="162" t="e">
        <f t="shared" ref="AA126" ca="1" si="1113">+AA120*10^7/(AA124*10^6)</f>
        <v>#NAME?</v>
      </c>
      <c r="AB126" s="21" t="e">
        <f t="shared" ca="1" si="1112"/>
        <v>#NAME?</v>
      </c>
      <c r="AC126" s="21" t="e">
        <f t="shared" ca="1" si="1112"/>
        <v>#NAME?</v>
      </c>
      <c r="AD126" s="21" t="e">
        <f t="shared" ca="1" si="1112"/>
        <v>#NAME?</v>
      </c>
      <c r="AE126" s="21" t="e">
        <f t="shared" ca="1" si="1112"/>
        <v>#NAME?</v>
      </c>
      <c r="BA126" s="162" t="e">
        <f t="shared" ref="BA126:CJ126" ca="1" si="1114">+BA120*10^7/(BA124*10^6)</f>
        <v>#NAME?</v>
      </c>
      <c r="BB126" s="162" t="e">
        <f t="shared" ca="1" si="1114"/>
        <v>#NAME?</v>
      </c>
      <c r="BC126" s="162" t="e">
        <f t="shared" ca="1" si="1114"/>
        <v>#NAME?</v>
      </c>
      <c r="BD126" s="162" t="e">
        <f t="shared" ca="1" si="1114"/>
        <v>#NAME?</v>
      </c>
      <c r="BE126" s="162" t="e">
        <f t="shared" ca="1" si="1114"/>
        <v>#NAME?</v>
      </c>
      <c r="BF126" s="162" t="e">
        <f t="shared" ca="1" si="1114"/>
        <v>#NAME?</v>
      </c>
      <c r="BG126" s="162" t="e">
        <f t="shared" ca="1" si="1114"/>
        <v>#NAME?</v>
      </c>
      <c r="BH126" s="162" t="e">
        <f t="shared" ca="1" si="1114"/>
        <v>#NAME?</v>
      </c>
      <c r="BI126" s="162" t="e">
        <f t="shared" ca="1" si="1114"/>
        <v>#NAME?</v>
      </c>
      <c r="BJ126" s="162" t="e">
        <f t="shared" ca="1" si="1114"/>
        <v>#NAME?</v>
      </c>
      <c r="BK126" s="162" t="e">
        <f t="shared" ca="1" si="1114"/>
        <v>#NAME?</v>
      </c>
      <c r="BL126" s="162" t="e">
        <f t="shared" ca="1" si="1114"/>
        <v>#NAME?</v>
      </c>
      <c r="BM126" s="162" t="e">
        <f t="shared" ca="1" si="1114"/>
        <v>#NAME?</v>
      </c>
      <c r="BN126" s="162" t="e">
        <f t="shared" ca="1" si="1114"/>
        <v>#NAME?</v>
      </c>
      <c r="BO126" s="162" t="e">
        <f t="shared" ca="1" si="1114"/>
        <v>#NAME?</v>
      </c>
      <c r="BP126" s="162" t="e">
        <f t="shared" ca="1" si="1114"/>
        <v>#NAME?</v>
      </c>
      <c r="BQ126" s="162" t="e">
        <f t="shared" ca="1" si="1114"/>
        <v>#NAME?</v>
      </c>
      <c r="BR126" s="162" t="e">
        <f t="shared" ca="1" si="1114"/>
        <v>#NAME?</v>
      </c>
      <c r="BS126" s="162" t="e">
        <f t="shared" ca="1" si="1114"/>
        <v>#NAME?</v>
      </c>
      <c r="BT126" s="162" t="e">
        <f t="shared" ca="1" si="1114"/>
        <v>#NAME?</v>
      </c>
      <c r="BU126" s="162" t="e">
        <f t="shared" ca="1" si="1114"/>
        <v>#NAME?</v>
      </c>
      <c r="BV126" s="162" t="e">
        <f t="shared" ca="1" si="1114"/>
        <v>#NAME?</v>
      </c>
      <c r="BW126" s="162" t="e">
        <f t="shared" ca="1" si="1114"/>
        <v>#NAME?</v>
      </c>
      <c r="BX126" s="162" t="e">
        <f t="shared" ca="1" si="1114"/>
        <v>#NAME?</v>
      </c>
      <c r="BY126" s="162" t="e">
        <f t="shared" ca="1" si="1114"/>
        <v>#NAME?</v>
      </c>
      <c r="BZ126" s="162" t="e">
        <f t="shared" ca="1" si="1114"/>
        <v>#NAME?</v>
      </c>
      <c r="CA126" s="162" t="e">
        <f t="shared" ca="1" si="1114"/>
        <v>#NAME?</v>
      </c>
      <c r="CB126" s="162" t="e">
        <f t="shared" ca="1" si="1114"/>
        <v>#NAME?</v>
      </c>
      <c r="CC126" s="162" t="e">
        <f t="shared" ca="1" si="1114"/>
        <v>#NAME?</v>
      </c>
      <c r="CD126" s="162" t="e">
        <f t="shared" ca="1" si="1114"/>
        <v>#NAME?</v>
      </c>
      <c r="CE126" s="162" t="e">
        <f t="shared" ca="1" si="1114"/>
        <v>#NAME?</v>
      </c>
      <c r="CF126" s="162" t="e">
        <f t="shared" ca="1" si="1114"/>
        <v>#NAME?</v>
      </c>
      <c r="CG126" s="162" t="e">
        <f t="shared" ca="1" si="1114"/>
        <v>#NAME?</v>
      </c>
      <c r="CH126" s="162" t="e">
        <f t="shared" ca="1" si="1114"/>
        <v>#NAME?</v>
      </c>
      <c r="CI126" s="162" t="e">
        <f t="shared" ca="1" si="1114"/>
        <v>#NAME?</v>
      </c>
      <c r="CJ126" s="162" t="e">
        <f t="shared" ca="1" si="1114"/>
        <v>#NAME?</v>
      </c>
      <c r="CK126" s="162" t="e">
        <f t="shared" ref="CK126:DB126" ca="1" si="1115">+CK120*10^7/(CK124*10^6)</f>
        <v>#NAME?</v>
      </c>
      <c r="CL126" s="162" t="e">
        <f t="shared" ca="1" si="1115"/>
        <v>#NAME?</v>
      </c>
      <c r="CM126" s="21" t="e">
        <f t="shared" ca="1" si="1115"/>
        <v>#NAME?</v>
      </c>
      <c r="CN126" s="21" t="e">
        <f t="shared" ca="1" si="1115"/>
        <v>#NAME?</v>
      </c>
      <c r="CO126" s="21" t="e">
        <f t="shared" ca="1" si="1115"/>
        <v>#NAME?</v>
      </c>
      <c r="CP126" s="21" t="e">
        <f t="shared" ca="1" si="1115"/>
        <v>#NAME?</v>
      </c>
      <c r="CQ126" s="21" t="e">
        <f t="shared" ca="1" si="1115"/>
        <v>#NAME?</v>
      </c>
      <c r="CR126" s="21" t="e">
        <f t="shared" ca="1" si="1115"/>
        <v>#NAME?</v>
      </c>
      <c r="CS126" s="21" t="e">
        <f t="shared" ca="1" si="1115"/>
        <v>#NAME?</v>
      </c>
      <c r="CT126" s="21" t="e">
        <f t="shared" ca="1" si="1115"/>
        <v>#NAME?</v>
      </c>
      <c r="CU126" s="21" t="e">
        <f t="shared" ca="1" si="1115"/>
        <v>#NAME?</v>
      </c>
      <c r="CV126" s="21" t="e">
        <f t="shared" ca="1" si="1115"/>
        <v>#NAME?</v>
      </c>
      <c r="CW126" s="21" t="e">
        <f t="shared" ca="1" si="1115"/>
        <v>#NAME?</v>
      </c>
      <c r="CX126" s="21" t="e">
        <f t="shared" ca="1" si="1115"/>
        <v>#NAME?</v>
      </c>
      <c r="CY126" s="21" t="e">
        <f t="shared" ca="1" si="1115"/>
        <v>#NAME?</v>
      </c>
      <c r="CZ126" s="21" t="e">
        <f t="shared" ca="1" si="1115"/>
        <v>#NAME?</v>
      </c>
      <c r="DA126" s="21" t="e">
        <f t="shared" ca="1" si="1115"/>
        <v>#NAME?</v>
      </c>
      <c r="DB126" s="21" t="e">
        <f t="shared" ca="1" si="1115"/>
        <v>#NAME?</v>
      </c>
      <c r="DE126" s="22"/>
      <c r="DF126" s="162">
        <v>887.23744911804658</v>
      </c>
    </row>
    <row r="127" spans="1:110" s="162" customFormat="1" x14ac:dyDescent="0.2">
      <c r="A127" s="49"/>
      <c r="AB127" s="21"/>
      <c r="AC127" s="21"/>
      <c r="AD127" s="21"/>
      <c r="AE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E127" s="22"/>
    </row>
    <row r="128" spans="1:110" s="10" customFormat="1" x14ac:dyDescent="0.2">
      <c r="A128" s="149" t="s">
        <v>490</v>
      </c>
      <c r="AB128" s="20"/>
      <c r="AC128" s="20"/>
      <c r="AD128" s="20"/>
      <c r="AE128" s="20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E128" s="126"/>
    </row>
    <row r="129" spans="1:110" x14ac:dyDescent="0.2">
      <c r="A129" s="152" t="s">
        <v>491</v>
      </c>
      <c r="AA129" s="2"/>
      <c r="CL129" s="2"/>
    </row>
    <row r="130" spans="1:110" s="23" customFormat="1" outlineLevel="1" x14ac:dyDescent="0.2">
      <c r="A130" s="23" t="s">
        <v>41</v>
      </c>
      <c r="B130" s="23" t="e">
        <f ca="1">'Annual Raw'!C41</f>
        <v>#NAME?</v>
      </c>
      <c r="C130" s="23" t="e">
        <f ca="1">'Annual Raw'!D41</f>
        <v>#NAME?</v>
      </c>
      <c r="D130" s="23" t="e">
        <f ca="1">'Annual Raw'!E41</f>
        <v>#NAME?</v>
      </c>
      <c r="E130" s="23" t="e">
        <f ca="1">'Annual Raw'!F41</f>
        <v>#NAME?</v>
      </c>
      <c r="F130" s="23" t="e">
        <f ca="1">'Annual Raw'!G41</f>
        <v>#NAME?</v>
      </c>
      <c r="G130" s="23" t="e">
        <f ca="1">'Annual Raw'!H41</f>
        <v>#NAME?</v>
      </c>
      <c r="H130" s="23" t="e">
        <f ca="1">'Annual Raw'!I41</f>
        <v>#NAME?</v>
      </c>
      <c r="I130" s="23" t="e">
        <f ca="1">'Annual Raw'!J41</f>
        <v>#NAME?</v>
      </c>
      <c r="J130" s="23" t="e">
        <f ca="1">'Annual Raw'!K41</f>
        <v>#NAME?</v>
      </c>
      <c r="K130" s="23" t="e">
        <f ca="1">'Annual Raw'!L41</f>
        <v>#NAME?</v>
      </c>
      <c r="L130" s="23" t="e">
        <f ca="1">'Annual Raw'!M41</f>
        <v>#NAME?</v>
      </c>
      <c r="M130" s="23" t="e">
        <f ca="1">'Annual Raw'!N41</f>
        <v>#NAME?</v>
      </c>
      <c r="N130" s="23" t="e">
        <f ca="1">'Annual Raw'!O41</f>
        <v>#NAME?</v>
      </c>
      <c r="O130" s="23" t="e">
        <f ca="1">'Annual Raw'!P41</f>
        <v>#NAME?</v>
      </c>
      <c r="P130" s="23" t="e">
        <f ca="1">'Annual Raw'!Q41</f>
        <v>#NAME?</v>
      </c>
      <c r="Q130" s="23" t="e">
        <f ca="1">'Annual Raw'!R41</f>
        <v>#NAME?</v>
      </c>
      <c r="R130" s="23" t="e">
        <f ca="1">'Annual Raw'!S41</f>
        <v>#NAME?</v>
      </c>
      <c r="S130" s="23" t="e">
        <f ca="1">'Annual Raw'!T41</f>
        <v>#NAME?</v>
      </c>
      <c r="T130" s="23" t="e">
        <f ca="1">'Annual Raw'!U41</f>
        <v>#NAME?</v>
      </c>
      <c r="U130" s="23" t="e">
        <f ca="1">'Annual Raw'!V41</f>
        <v>#NAME?</v>
      </c>
      <c r="V130" s="23" t="e">
        <f ca="1">'Annual Raw'!W41</f>
        <v>#NAME?</v>
      </c>
      <c r="W130" s="23" t="e">
        <f ca="1">'Annual Raw'!X41</f>
        <v>#NAME?</v>
      </c>
      <c r="X130" s="23" t="e">
        <f ca="1">'Annual Raw'!Y41</f>
        <v>#NAME?</v>
      </c>
      <c r="Y130" s="23" t="e">
        <f ca="1">'Annual Raw'!Z41</f>
        <v>#NAME?</v>
      </c>
      <c r="Z130" s="23" t="e">
        <f ca="1">'Annual Raw'!AA41</f>
        <v>#NAME?</v>
      </c>
      <c r="AA130" s="23" t="e">
        <f ca="1">'Annual Raw'!AB41</f>
        <v>#NAME?</v>
      </c>
      <c r="AB130" s="24" t="e">
        <f ca="1">+CP130</f>
        <v>#NAME?</v>
      </c>
      <c r="AC130" s="24" t="e">
        <f ca="1">+CT130</f>
        <v>#NAME?</v>
      </c>
      <c r="AD130" s="24" t="e">
        <f ca="1">+CX130</f>
        <v>#NAME?</v>
      </c>
      <c r="AE130" s="24" t="e">
        <f ca="1">+DB130</f>
        <v>#NAME?</v>
      </c>
      <c r="AJ130" s="23" t="e">
        <f ca="1">+'QTR Raw'!D56</f>
        <v>#NAME?</v>
      </c>
      <c r="AK130" s="23" t="e">
        <f t="shared" ref="AK130:CE130" ca="1" si="1116">+AJ130</f>
        <v>#NAME?</v>
      </c>
      <c r="AL130" s="23" t="e">
        <f ca="1">+'QTR Raw'!F56</f>
        <v>#NAME?</v>
      </c>
      <c r="AM130" s="23" t="e">
        <f t="shared" ca="1" si="1116"/>
        <v>#NAME?</v>
      </c>
      <c r="AN130" s="23" t="e">
        <f ca="1">+'QTR Raw'!H56</f>
        <v>#NAME?</v>
      </c>
      <c r="AO130" s="23" t="e">
        <f t="shared" ca="1" si="1116"/>
        <v>#NAME?</v>
      </c>
      <c r="AP130" s="23" t="e">
        <f ca="1">+'QTR Raw'!J56</f>
        <v>#NAME?</v>
      </c>
      <c r="AQ130" s="23" t="e">
        <f t="shared" ca="1" si="1116"/>
        <v>#NAME?</v>
      </c>
      <c r="AR130" s="23" t="e">
        <f ca="1">+'QTR Raw'!L56</f>
        <v>#NAME?</v>
      </c>
      <c r="AS130" s="23" t="e">
        <f t="shared" ca="1" si="1116"/>
        <v>#NAME?</v>
      </c>
      <c r="AT130" s="23" t="e">
        <f ca="1">+'QTR Raw'!N56</f>
        <v>#NAME?</v>
      </c>
      <c r="AU130" s="23" t="e">
        <f t="shared" ca="1" si="1116"/>
        <v>#NAME?</v>
      </c>
      <c r="AV130" s="23" t="e">
        <f ca="1">+'QTR Raw'!P56</f>
        <v>#NAME?</v>
      </c>
      <c r="AW130" s="23" t="e">
        <f t="shared" ca="1" si="1116"/>
        <v>#NAME?</v>
      </c>
      <c r="AX130" s="23" t="e">
        <f ca="1">+'QTR Raw'!R56</f>
        <v>#NAME?</v>
      </c>
      <c r="AY130" s="23" t="e">
        <f t="shared" ca="1" si="1116"/>
        <v>#NAME?</v>
      </c>
      <c r="AZ130" s="23" t="e">
        <f ca="1">+'QTR Raw'!T56</f>
        <v>#NAME?</v>
      </c>
      <c r="BA130" s="23" t="e">
        <f t="shared" ca="1" si="1116"/>
        <v>#NAME?</v>
      </c>
      <c r="BB130" s="23" t="e">
        <f ca="1">+'QTR Raw'!V56</f>
        <v>#NAME?</v>
      </c>
      <c r="BC130" s="23" t="e">
        <f t="shared" ca="1" si="1116"/>
        <v>#NAME?</v>
      </c>
      <c r="BD130" s="23" t="e">
        <f ca="1">+'QTR Raw'!X56</f>
        <v>#NAME?</v>
      </c>
      <c r="BE130" s="23" t="e">
        <f t="shared" ca="1" si="1116"/>
        <v>#NAME?</v>
      </c>
      <c r="BF130" s="23" t="e">
        <f ca="1">+'QTR Raw'!Z56</f>
        <v>#NAME?</v>
      </c>
      <c r="BG130" s="23" t="e">
        <f t="shared" ca="1" si="1116"/>
        <v>#NAME?</v>
      </c>
      <c r="BH130" s="23" t="e">
        <f ca="1">+'QTR Raw'!AB56</f>
        <v>#NAME?</v>
      </c>
      <c r="BI130" s="23" t="e">
        <f t="shared" ca="1" si="1116"/>
        <v>#NAME?</v>
      </c>
      <c r="BJ130" s="23" t="e">
        <f ca="1">+'QTR Raw'!AD56</f>
        <v>#NAME?</v>
      </c>
      <c r="BK130" s="23" t="e">
        <f t="shared" ca="1" si="1116"/>
        <v>#NAME?</v>
      </c>
      <c r="BL130" s="23" t="e">
        <f ca="1">+'QTR Raw'!AF56</f>
        <v>#NAME?</v>
      </c>
      <c r="BM130" s="23" t="e">
        <f t="shared" ca="1" si="1116"/>
        <v>#NAME?</v>
      </c>
      <c r="BN130" s="23" t="e">
        <f ca="1">+'QTR Raw'!AH56</f>
        <v>#NAME?</v>
      </c>
      <c r="BO130" s="23" t="e">
        <f t="shared" ca="1" si="1116"/>
        <v>#NAME?</v>
      </c>
      <c r="BP130" s="23" t="e">
        <f ca="1">+'QTR Raw'!AJ56</f>
        <v>#NAME?</v>
      </c>
      <c r="BQ130" s="23" t="e">
        <f t="shared" ca="1" si="1116"/>
        <v>#NAME?</v>
      </c>
      <c r="BR130" s="23" t="e">
        <f ca="1">+'QTR Raw'!AL56</f>
        <v>#NAME?</v>
      </c>
      <c r="BS130" s="23" t="e">
        <f t="shared" ca="1" si="1116"/>
        <v>#NAME?</v>
      </c>
      <c r="BT130" s="23" t="e">
        <f ca="1">+'QTR Raw'!AN56</f>
        <v>#NAME?</v>
      </c>
      <c r="BU130" s="23" t="e">
        <f t="shared" ca="1" si="1116"/>
        <v>#NAME?</v>
      </c>
      <c r="BV130" s="23" t="e">
        <f ca="1">+'QTR Raw'!AP56</f>
        <v>#NAME?</v>
      </c>
      <c r="BW130" s="23" t="e">
        <f t="shared" ca="1" si="1116"/>
        <v>#NAME?</v>
      </c>
      <c r="BX130" s="23" t="e">
        <f ca="1">+'QTR Raw'!AR56</f>
        <v>#NAME?</v>
      </c>
      <c r="BY130" s="23" t="e">
        <f t="shared" ca="1" si="1116"/>
        <v>#NAME?</v>
      </c>
      <c r="BZ130" s="23" t="e">
        <f ca="1">+'QTR Raw'!AT56</f>
        <v>#NAME?</v>
      </c>
      <c r="CA130" s="23" t="e">
        <f t="shared" ca="1" si="1116"/>
        <v>#NAME?</v>
      </c>
      <c r="CB130" s="23" t="e">
        <f ca="1">+'QTR Raw'!AV56</f>
        <v>#NAME?</v>
      </c>
      <c r="CC130" s="23" t="e">
        <f t="shared" ca="1" si="1116"/>
        <v>#NAME?</v>
      </c>
      <c r="CD130" s="23" t="e">
        <f ca="1">+'QTR Raw'!AX56</f>
        <v>#NAME?</v>
      </c>
      <c r="CE130" s="23" t="e">
        <f t="shared" ca="1" si="1116"/>
        <v>#NAME?</v>
      </c>
      <c r="CF130" s="23" t="e">
        <f ca="1">+'QTR Raw'!AZ56</f>
        <v>#NAME?</v>
      </c>
      <c r="CG130" s="23" t="e">
        <f t="shared" ref="CG130:CG131" ca="1" si="1117">+CF130</f>
        <v>#NAME?</v>
      </c>
      <c r="CH130" s="23" t="e">
        <f ca="1">Z130</f>
        <v>#NAME?</v>
      </c>
      <c r="CI130" s="23" t="e">
        <f ca="1">CH130</f>
        <v>#NAME?</v>
      </c>
      <c r="CJ130" s="23" t="e">
        <f ca="1">+'QTR Raw'!BD56</f>
        <v>#NAME?</v>
      </c>
      <c r="CK130" s="23" t="e">
        <f t="shared" ref="CK130:DB130" ca="1" si="1118">CJ130</f>
        <v>#NAME?</v>
      </c>
      <c r="CL130" s="23" t="e">
        <f ca="1">+'QTR Raw'!BF56</f>
        <v>#NAME?</v>
      </c>
      <c r="CM130" s="24" t="e">
        <f t="shared" ca="1" si="1118"/>
        <v>#NAME?</v>
      </c>
      <c r="CN130" s="24" t="e">
        <f t="shared" ca="1" si="1118"/>
        <v>#NAME?</v>
      </c>
      <c r="CO130" s="24" t="e">
        <f t="shared" ca="1" si="1118"/>
        <v>#NAME?</v>
      </c>
      <c r="CP130" s="24" t="e">
        <f t="shared" ca="1" si="1118"/>
        <v>#NAME?</v>
      </c>
      <c r="CQ130" s="24" t="e">
        <f t="shared" ca="1" si="1118"/>
        <v>#NAME?</v>
      </c>
      <c r="CR130" s="24" t="e">
        <f t="shared" ca="1" si="1118"/>
        <v>#NAME?</v>
      </c>
      <c r="CS130" s="24" t="e">
        <f t="shared" ca="1" si="1118"/>
        <v>#NAME?</v>
      </c>
      <c r="CT130" s="24" t="e">
        <f t="shared" ca="1" si="1118"/>
        <v>#NAME?</v>
      </c>
      <c r="CU130" s="24" t="e">
        <f t="shared" ca="1" si="1118"/>
        <v>#NAME?</v>
      </c>
      <c r="CV130" s="24" t="e">
        <f t="shared" ca="1" si="1118"/>
        <v>#NAME?</v>
      </c>
      <c r="CW130" s="24" t="e">
        <f t="shared" ca="1" si="1118"/>
        <v>#NAME?</v>
      </c>
      <c r="CX130" s="24" t="e">
        <f t="shared" ca="1" si="1118"/>
        <v>#NAME?</v>
      </c>
      <c r="CY130" s="24" t="e">
        <f t="shared" ca="1" si="1118"/>
        <v>#NAME?</v>
      </c>
      <c r="CZ130" s="24" t="e">
        <f t="shared" ca="1" si="1118"/>
        <v>#NAME?</v>
      </c>
      <c r="DA130" s="24" t="e">
        <f t="shared" ca="1" si="1118"/>
        <v>#NAME?</v>
      </c>
      <c r="DB130" s="24" t="e">
        <f t="shared" ca="1" si="1118"/>
        <v>#NAME?</v>
      </c>
      <c r="DE130" s="123"/>
      <c r="DF130" s="23">
        <v>494.36</v>
      </c>
    </row>
    <row r="131" spans="1:110" s="23" customFormat="1" outlineLevel="1" x14ac:dyDescent="0.2">
      <c r="A131" s="23" t="s">
        <v>42</v>
      </c>
      <c r="B131" s="23" t="e">
        <f ca="1">'Annual Raw'!C42</f>
        <v>#NAME?</v>
      </c>
      <c r="C131" s="23" t="e">
        <f ca="1">'Annual Raw'!D42</f>
        <v>#NAME?</v>
      </c>
      <c r="D131" s="23" t="e">
        <f ca="1">'Annual Raw'!E42</f>
        <v>#NAME?</v>
      </c>
      <c r="E131" s="23" t="e">
        <f ca="1">'Annual Raw'!F42</f>
        <v>#NAME?</v>
      </c>
      <c r="F131" s="23" t="e">
        <f ca="1">'Annual Raw'!G42</f>
        <v>#NAME?</v>
      </c>
      <c r="G131" s="23" t="e">
        <f ca="1">'Annual Raw'!H42</f>
        <v>#NAME?</v>
      </c>
      <c r="H131" s="23" t="e">
        <f ca="1">'Annual Raw'!I42</f>
        <v>#NAME?</v>
      </c>
      <c r="I131" s="23" t="e">
        <f ca="1">'Annual Raw'!J42</f>
        <v>#NAME?</v>
      </c>
      <c r="J131" s="23" t="e">
        <f ca="1">'Annual Raw'!K42</f>
        <v>#NAME?</v>
      </c>
      <c r="K131" s="23" t="e">
        <f ca="1">'Annual Raw'!L42</f>
        <v>#NAME?</v>
      </c>
      <c r="L131" s="23" t="e">
        <f ca="1">'Annual Raw'!M42</f>
        <v>#NAME?</v>
      </c>
      <c r="M131" s="23" t="e">
        <f ca="1">'Annual Raw'!N42</f>
        <v>#NAME?</v>
      </c>
      <c r="N131" s="23" t="e">
        <f ca="1">'Annual Raw'!O42</f>
        <v>#NAME?</v>
      </c>
      <c r="O131" s="23" t="e">
        <f ca="1">'Annual Raw'!P42</f>
        <v>#NAME?</v>
      </c>
      <c r="P131" s="23" t="e">
        <f ca="1">'Annual Raw'!Q42</f>
        <v>#NAME?</v>
      </c>
      <c r="Q131" s="23" t="e">
        <f ca="1">'Annual Raw'!R42</f>
        <v>#NAME?</v>
      </c>
      <c r="R131" s="23" t="e">
        <f ca="1">'Annual Raw'!S42</f>
        <v>#NAME?</v>
      </c>
      <c r="S131" s="23" t="e">
        <f ca="1">'Annual Raw'!T42</f>
        <v>#NAME?</v>
      </c>
      <c r="T131" s="23" t="e">
        <f ca="1">'Annual Raw'!U42</f>
        <v>#NAME?</v>
      </c>
      <c r="U131" s="23" t="e">
        <f ca="1">'Annual Raw'!V42</f>
        <v>#NAME?</v>
      </c>
      <c r="V131" s="23" t="e">
        <f ca="1">'Annual Raw'!W42</f>
        <v>#NAME?</v>
      </c>
      <c r="W131" s="23" t="e">
        <f ca="1">'Annual Raw'!X42</f>
        <v>#NAME?</v>
      </c>
      <c r="X131" s="23" t="e">
        <f ca="1">'Annual Raw'!Y42</f>
        <v>#NAME?</v>
      </c>
      <c r="Y131" s="23" t="e">
        <f ca="1">'Annual Raw'!Z42</f>
        <v>#NAME?</v>
      </c>
      <c r="Z131" s="23" t="e">
        <f ca="1">'Annual Raw'!AA42</f>
        <v>#NAME?</v>
      </c>
      <c r="AA131" s="23" t="e">
        <f ca="1">'Annual Raw'!AB42</f>
        <v>#NAME?</v>
      </c>
      <c r="AB131" s="24" t="e">
        <f t="shared" ref="AB131:AB132" ca="1" si="1119">+CP131</f>
        <v>#NAME?</v>
      </c>
      <c r="AC131" s="24" t="e">
        <f t="shared" ref="AC131:AC132" ca="1" si="1120">+CT131</f>
        <v>#NAME?</v>
      </c>
      <c r="AD131" s="24" t="e">
        <f t="shared" ref="AD131:AD132" ca="1" si="1121">+CX131</f>
        <v>#NAME?</v>
      </c>
      <c r="AE131" s="24" t="e">
        <f t="shared" ref="AE131:AE132" ca="1" si="1122">+DB131</f>
        <v>#NAME?</v>
      </c>
      <c r="AJ131" s="23" t="e">
        <f ca="1">+'QTR Raw'!D57</f>
        <v>#NAME?</v>
      </c>
      <c r="AK131" s="23" t="e">
        <f t="shared" ref="AK131:CE131" ca="1" si="1123">+AJ131</f>
        <v>#NAME?</v>
      </c>
      <c r="AL131" s="23" t="e">
        <f ca="1">+'QTR Raw'!F57</f>
        <v>#NAME?</v>
      </c>
      <c r="AM131" s="23" t="e">
        <f t="shared" ca="1" si="1123"/>
        <v>#NAME?</v>
      </c>
      <c r="AN131" s="23" t="e">
        <f ca="1">+'QTR Raw'!H57</f>
        <v>#NAME?</v>
      </c>
      <c r="AO131" s="23" t="e">
        <f t="shared" ca="1" si="1123"/>
        <v>#NAME?</v>
      </c>
      <c r="AP131" s="23" t="e">
        <f ca="1">+'QTR Raw'!J57</f>
        <v>#NAME?</v>
      </c>
      <c r="AQ131" s="23" t="e">
        <f t="shared" ca="1" si="1123"/>
        <v>#NAME?</v>
      </c>
      <c r="AR131" s="23" t="e">
        <f ca="1">+'QTR Raw'!L57</f>
        <v>#NAME?</v>
      </c>
      <c r="AS131" s="23" t="e">
        <f t="shared" ca="1" si="1123"/>
        <v>#NAME?</v>
      </c>
      <c r="AT131" s="23" t="e">
        <f ca="1">+'QTR Raw'!N57</f>
        <v>#NAME?</v>
      </c>
      <c r="AU131" s="23" t="e">
        <f t="shared" ca="1" si="1123"/>
        <v>#NAME?</v>
      </c>
      <c r="AV131" s="23" t="e">
        <f ca="1">+'QTR Raw'!P57</f>
        <v>#NAME?</v>
      </c>
      <c r="AW131" s="23" t="e">
        <f t="shared" ca="1" si="1123"/>
        <v>#NAME?</v>
      </c>
      <c r="AX131" s="23" t="e">
        <f ca="1">+'QTR Raw'!R57</f>
        <v>#NAME?</v>
      </c>
      <c r="AY131" s="23" t="e">
        <f t="shared" ca="1" si="1123"/>
        <v>#NAME?</v>
      </c>
      <c r="AZ131" s="23" t="e">
        <f ca="1">+'QTR Raw'!T57</f>
        <v>#NAME?</v>
      </c>
      <c r="BA131" s="23" t="e">
        <f t="shared" ca="1" si="1123"/>
        <v>#NAME?</v>
      </c>
      <c r="BB131" s="23" t="e">
        <f ca="1">+'QTR Raw'!V57</f>
        <v>#NAME?</v>
      </c>
      <c r="BC131" s="23" t="e">
        <f t="shared" ca="1" si="1123"/>
        <v>#NAME?</v>
      </c>
      <c r="BD131" s="23" t="e">
        <f ca="1">+'QTR Raw'!X57</f>
        <v>#NAME?</v>
      </c>
      <c r="BE131" s="23" t="e">
        <f t="shared" ca="1" si="1123"/>
        <v>#NAME?</v>
      </c>
      <c r="BF131" s="23" t="e">
        <f ca="1">+'QTR Raw'!Z57</f>
        <v>#NAME?</v>
      </c>
      <c r="BG131" s="23" t="e">
        <f t="shared" ca="1" si="1123"/>
        <v>#NAME?</v>
      </c>
      <c r="BH131" s="23" t="e">
        <f ca="1">+'QTR Raw'!AB57</f>
        <v>#NAME?</v>
      </c>
      <c r="BI131" s="23" t="e">
        <f t="shared" ca="1" si="1123"/>
        <v>#NAME?</v>
      </c>
      <c r="BJ131" s="23" t="e">
        <f ca="1">+'QTR Raw'!AD57</f>
        <v>#NAME?</v>
      </c>
      <c r="BK131" s="23" t="e">
        <f t="shared" ca="1" si="1123"/>
        <v>#NAME?</v>
      </c>
      <c r="BL131" s="23" t="e">
        <f ca="1">+'QTR Raw'!AF57</f>
        <v>#NAME?</v>
      </c>
      <c r="BM131" s="23" t="e">
        <f t="shared" ca="1" si="1123"/>
        <v>#NAME?</v>
      </c>
      <c r="BN131" s="23" t="e">
        <f ca="1">+'QTR Raw'!AH57</f>
        <v>#NAME?</v>
      </c>
      <c r="BO131" s="23" t="e">
        <f t="shared" ca="1" si="1123"/>
        <v>#NAME?</v>
      </c>
      <c r="BP131" s="23" t="e">
        <f ca="1">+'QTR Raw'!AJ57</f>
        <v>#NAME?</v>
      </c>
      <c r="BQ131" s="23" t="e">
        <f t="shared" ca="1" si="1123"/>
        <v>#NAME?</v>
      </c>
      <c r="BR131" s="23" t="e">
        <f ca="1">+'QTR Raw'!AL57</f>
        <v>#NAME?</v>
      </c>
      <c r="BS131" s="23" t="e">
        <f t="shared" ca="1" si="1123"/>
        <v>#NAME?</v>
      </c>
      <c r="BT131" s="23" t="e">
        <f ca="1">+'QTR Raw'!AN57</f>
        <v>#NAME?</v>
      </c>
      <c r="BU131" s="23" t="e">
        <f t="shared" ca="1" si="1123"/>
        <v>#NAME?</v>
      </c>
      <c r="BV131" s="23" t="e">
        <f ca="1">+'QTR Raw'!AP57</f>
        <v>#NAME?</v>
      </c>
      <c r="BW131" s="23" t="e">
        <f t="shared" ca="1" si="1123"/>
        <v>#NAME?</v>
      </c>
      <c r="BX131" s="23" t="e">
        <f ca="1">+'QTR Raw'!AR57</f>
        <v>#NAME?</v>
      </c>
      <c r="BY131" s="23" t="e">
        <f t="shared" ca="1" si="1123"/>
        <v>#NAME?</v>
      </c>
      <c r="BZ131" s="23" t="e">
        <f ca="1">+'QTR Raw'!AT57</f>
        <v>#NAME?</v>
      </c>
      <c r="CA131" s="23" t="e">
        <f t="shared" ca="1" si="1123"/>
        <v>#NAME?</v>
      </c>
      <c r="CB131" s="23" t="e">
        <f ca="1">+'QTR Raw'!AV57</f>
        <v>#NAME?</v>
      </c>
      <c r="CC131" s="23" t="e">
        <f t="shared" ca="1" si="1123"/>
        <v>#NAME?</v>
      </c>
      <c r="CD131" s="23" t="e">
        <f ca="1">+'QTR Raw'!AX57</f>
        <v>#NAME?</v>
      </c>
      <c r="CE131" s="23" t="e">
        <f t="shared" ca="1" si="1123"/>
        <v>#NAME?</v>
      </c>
      <c r="CF131" s="23" t="e">
        <f ca="1">+'QTR Raw'!AZ57</f>
        <v>#NAME?</v>
      </c>
      <c r="CG131" s="23" t="e">
        <f t="shared" ca="1" si="1117"/>
        <v>#NAME?</v>
      </c>
      <c r="CH131" s="23" t="e">
        <f t="shared" ref="CH131:CH132" ca="1" si="1124">Z131</f>
        <v>#NAME?</v>
      </c>
      <c r="CI131" s="23" t="e">
        <f ca="1">CH131</f>
        <v>#NAME?</v>
      </c>
      <c r="CJ131" s="23" t="e">
        <f ca="1">+'QTR Raw'!BD57</f>
        <v>#NAME?</v>
      </c>
      <c r="CK131" s="23" t="e">
        <f t="shared" ref="CK131:DB131" ca="1" si="1125">CJ131</f>
        <v>#NAME?</v>
      </c>
      <c r="CL131" s="23" t="e">
        <f ca="1">+'QTR Raw'!BF57</f>
        <v>#NAME?</v>
      </c>
      <c r="CM131" s="24" t="e">
        <f t="shared" ca="1" si="1125"/>
        <v>#NAME?</v>
      </c>
      <c r="CN131" s="24" t="e">
        <f t="shared" ca="1" si="1125"/>
        <v>#NAME?</v>
      </c>
      <c r="CO131" s="24" t="e">
        <f t="shared" ca="1" si="1125"/>
        <v>#NAME?</v>
      </c>
      <c r="CP131" s="24" t="e">
        <f t="shared" ca="1" si="1125"/>
        <v>#NAME?</v>
      </c>
      <c r="CQ131" s="24" t="e">
        <f t="shared" ca="1" si="1125"/>
        <v>#NAME?</v>
      </c>
      <c r="CR131" s="24" t="e">
        <f t="shared" ca="1" si="1125"/>
        <v>#NAME?</v>
      </c>
      <c r="CS131" s="24" t="e">
        <f t="shared" ca="1" si="1125"/>
        <v>#NAME?</v>
      </c>
      <c r="CT131" s="24" t="e">
        <f t="shared" ca="1" si="1125"/>
        <v>#NAME?</v>
      </c>
      <c r="CU131" s="24" t="e">
        <f t="shared" ca="1" si="1125"/>
        <v>#NAME?</v>
      </c>
      <c r="CV131" s="24" t="e">
        <f t="shared" ca="1" si="1125"/>
        <v>#NAME?</v>
      </c>
      <c r="CW131" s="24" t="e">
        <f t="shared" ca="1" si="1125"/>
        <v>#NAME?</v>
      </c>
      <c r="CX131" s="24" t="e">
        <f t="shared" ca="1" si="1125"/>
        <v>#NAME?</v>
      </c>
      <c r="CY131" s="24" t="e">
        <f t="shared" ca="1" si="1125"/>
        <v>#NAME?</v>
      </c>
      <c r="CZ131" s="24" t="e">
        <f t="shared" ca="1" si="1125"/>
        <v>#NAME?</v>
      </c>
      <c r="DA131" s="24" t="e">
        <f t="shared" ca="1" si="1125"/>
        <v>#NAME?</v>
      </c>
      <c r="DB131" s="24" t="e">
        <f t="shared" ca="1" si="1125"/>
        <v>#NAME?</v>
      </c>
      <c r="DE131" s="123"/>
      <c r="DF131" s="23">
        <v>0</v>
      </c>
    </row>
    <row r="132" spans="1:110" s="23" customFormat="1" outlineLevel="1" x14ac:dyDescent="0.2">
      <c r="A132" s="23" t="s">
        <v>43</v>
      </c>
      <c r="B132" s="23" t="e">
        <f ca="1">'Annual Raw'!C43</f>
        <v>#NAME?</v>
      </c>
      <c r="C132" s="23" t="e">
        <f ca="1">'Annual Raw'!D43</f>
        <v>#NAME?</v>
      </c>
      <c r="D132" s="23" t="e">
        <f ca="1">'Annual Raw'!E43</f>
        <v>#NAME?</v>
      </c>
      <c r="E132" s="23" t="e">
        <f ca="1">'Annual Raw'!F43</f>
        <v>#NAME?</v>
      </c>
      <c r="F132" s="23" t="e">
        <f ca="1">'Annual Raw'!G43</f>
        <v>#NAME?</v>
      </c>
      <c r="G132" s="23" t="e">
        <f ca="1">'Annual Raw'!H43</f>
        <v>#NAME?</v>
      </c>
      <c r="H132" s="23" t="e">
        <f ca="1">'Annual Raw'!I43</f>
        <v>#NAME?</v>
      </c>
      <c r="I132" s="23" t="e">
        <f ca="1">'Annual Raw'!J43</f>
        <v>#NAME?</v>
      </c>
      <c r="J132" s="23" t="e">
        <f ca="1">'Annual Raw'!K43</f>
        <v>#NAME?</v>
      </c>
      <c r="K132" s="23" t="e">
        <f ca="1">'Annual Raw'!L43</f>
        <v>#NAME?</v>
      </c>
      <c r="L132" s="23" t="e">
        <f ca="1">'Annual Raw'!M43</f>
        <v>#NAME?</v>
      </c>
      <c r="M132" s="23" t="e">
        <f ca="1">'Annual Raw'!N43</f>
        <v>#NAME?</v>
      </c>
      <c r="N132" s="23" t="e">
        <f ca="1">'Annual Raw'!O43</f>
        <v>#NAME?</v>
      </c>
      <c r="O132" s="23" t="e">
        <f ca="1">'Annual Raw'!P43</f>
        <v>#NAME?</v>
      </c>
      <c r="P132" s="23" t="e">
        <f ca="1">'Annual Raw'!Q43</f>
        <v>#NAME?</v>
      </c>
      <c r="Q132" s="23" t="e">
        <f ca="1">'Annual Raw'!R43</f>
        <v>#NAME?</v>
      </c>
      <c r="R132" s="23" t="e">
        <f ca="1">'Annual Raw'!S43</f>
        <v>#NAME?</v>
      </c>
      <c r="S132" s="23" t="e">
        <f ca="1">'Annual Raw'!T43</f>
        <v>#NAME?</v>
      </c>
      <c r="T132" s="23" t="e">
        <f ca="1">'Annual Raw'!U43</f>
        <v>#NAME?</v>
      </c>
      <c r="U132" s="23" t="e">
        <f ca="1">'Annual Raw'!V43</f>
        <v>#NAME?</v>
      </c>
      <c r="V132" s="23" t="e">
        <f ca="1">'Annual Raw'!W43</f>
        <v>#NAME?</v>
      </c>
      <c r="W132" s="23" t="e">
        <f ca="1">'Annual Raw'!X43</f>
        <v>#NAME?</v>
      </c>
      <c r="X132" s="23" t="e">
        <f ca="1">'Annual Raw'!Y43</f>
        <v>#NAME?</v>
      </c>
      <c r="Y132" s="23" t="e">
        <f ca="1">'Annual Raw'!Z43</f>
        <v>#NAME?</v>
      </c>
      <c r="Z132" s="23" t="e">
        <f ca="1">'Annual Raw'!AA43</f>
        <v>#NAME?</v>
      </c>
      <c r="AA132" s="23" t="e">
        <f ca="1">'Annual Raw'!AB43</f>
        <v>#NAME?</v>
      </c>
      <c r="AB132" s="24" t="e">
        <f t="shared" ca="1" si="1119"/>
        <v>#NAME?</v>
      </c>
      <c r="AC132" s="24" t="e">
        <f t="shared" ca="1" si="1120"/>
        <v>#NAME?</v>
      </c>
      <c r="AD132" s="24" t="e">
        <f t="shared" ca="1" si="1121"/>
        <v>#NAME?</v>
      </c>
      <c r="AE132" s="24" t="e">
        <f t="shared" ca="1" si="1122"/>
        <v>#NAME?</v>
      </c>
      <c r="AJ132" s="23" t="e">
        <f ca="1">+'QTR Raw'!D58</f>
        <v>#NAME?</v>
      </c>
      <c r="AK132" s="23" t="e">
        <f ca="1">+AJ132+AK56</f>
        <v>#NAME?</v>
      </c>
      <c r="AL132" s="23" t="e">
        <f ca="1">+'QTR Raw'!F58</f>
        <v>#NAME?</v>
      </c>
      <c r="AM132" s="23" t="e">
        <f ca="1">+AL132+AM56</f>
        <v>#NAME?</v>
      </c>
      <c r="AN132" s="23" t="e">
        <f ca="1">+'QTR Raw'!H58</f>
        <v>#NAME?</v>
      </c>
      <c r="AO132" s="23" t="e">
        <f ca="1">+AN132+AO56</f>
        <v>#NAME?</v>
      </c>
      <c r="AP132" s="23" t="e">
        <f ca="1">+'QTR Raw'!J58</f>
        <v>#NAME?</v>
      </c>
      <c r="AQ132" s="23" t="e">
        <f ca="1">+AP132+AQ56</f>
        <v>#NAME?</v>
      </c>
      <c r="AR132" s="23" t="e">
        <f ca="1">+'QTR Raw'!L58</f>
        <v>#NAME?</v>
      </c>
      <c r="AS132" s="23" t="e">
        <f ca="1">+AR132+AS56</f>
        <v>#NAME?</v>
      </c>
      <c r="AT132" s="23" t="e">
        <f ca="1">+'QTR Raw'!N58</f>
        <v>#NAME?</v>
      </c>
      <c r="AU132" s="23" t="e">
        <f ca="1">+AT132+AU56</f>
        <v>#NAME?</v>
      </c>
      <c r="AV132" s="23" t="e">
        <f ca="1">+'QTR Raw'!P58</f>
        <v>#NAME?</v>
      </c>
      <c r="AW132" s="23" t="e">
        <f ca="1">+AV132+AW56</f>
        <v>#NAME?</v>
      </c>
      <c r="AX132" s="23" t="e">
        <f ca="1">+'QTR Raw'!R58</f>
        <v>#NAME?</v>
      </c>
      <c r="AY132" s="23" t="e">
        <f ca="1">+AX132+AY56</f>
        <v>#NAME?</v>
      </c>
      <c r="AZ132" s="23" t="e">
        <f ca="1">+'QTR Raw'!T58</f>
        <v>#NAME?</v>
      </c>
      <c r="BA132" s="23" t="e">
        <f ca="1">+AZ132+BA56</f>
        <v>#NAME?</v>
      </c>
      <c r="BB132" s="23" t="e">
        <f ca="1">+'QTR Raw'!V58</f>
        <v>#NAME?</v>
      </c>
      <c r="BC132" s="23" t="e">
        <f ca="1">+BB132+BC56</f>
        <v>#NAME?</v>
      </c>
      <c r="BD132" s="23" t="e">
        <f ca="1">+'QTR Raw'!X58</f>
        <v>#NAME?</v>
      </c>
      <c r="BE132" s="23" t="e">
        <f ca="1">+BD132+BE56</f>
        <v>#NAME?</v>
      </c>
      <c r="BF132" s="23" t="e">
        <f ca="1">+'QTR Raw'!Z58</f>
        <v>#NAME?</v>
      </c>
      <c r="BG132" s="23" t="e">
        <f ca="1">+BF132+BG56</f>
        <v>#NAME?</v>
      </c>
      <c r="BH132" s="23" t="e">
        <f ca="1">+'QTR Raw'!AB58</f>
        <v>#NAME?</v>
      </c>
      <c r="BI132" s="23" t="e">
        <f ca="1">+BH132+BI56</f>
        <v>#NAME?</v>
      </c>
      <c r="BJ132" s="23" t="e">
        <f ca="1">+'QTR Raw'!AD58</f>
        <v>#NAME?</v>
      </c>
      <c r="BK132" s="23" t="e">
        <f ca="1">+BJ132+BK56</f>
        <v>#NAME?</v>
      </c>
      <c r="BL132" s="23" t="e">
        <f ca="1">+'QTR Raw'!AF58</f>
        <v>#NAME?</v>
      </c>
      <c r="BM132" s="23" t="e">
        <f ca="1">+BL132+BM56</f>
        <v>#NAME?</v>
      </c>
      <c r="BN132" s="23" t="e">
        <f ca="1">+'QTR Raw'!AH58</f>
        <v>#NAME?</v>
      </c>
      <c r="BO132" s="23" t="e">
        <f ca="1">+BN132+BO56</f>
        <v>#NAME?</v>
      </c>
      <c r="BP132" s="23" t="e">
        <f ca="1">+'QTR Raw'!AJ58</f>
        <v>#NAME?</v>
      </c>
      <c r="BQ132" s="23" t="e">
        <f ca="1">+BP132+BQ56</f>
        <v>#NAME?</v>
      </c>
      <c r="BR132" s="23" t="e">
        <f ca="1">+'QTR Raw'!AL58</f>
        <v>#NAME?</v>
      </c>
      <c r="BS132" s="23" t="e">
        <f ca="1">+BR132+BS56</f>
        <v>#NAME?</v>
      </c>
      <c r="BT132" s="23" t="e">
        <f ca="1">+'QTR Raw'!AN58</f>
        <v>#NAME?</v>
      </c>
      <c r="BU132" s="23" t="e">
        <f ca="1">+BT132+BU56</f>
        <v>#NAME?</v>
      </c>
      <c r="BV132" s="23" t="e">
        <f ca="1">+'QTR Raw'!AP58</f>
        <v>#NAME?</v>
      </c>
      <c r="BW132" s="23" t="e">
        <f ca="1">+BV132+BW56</f>
        <v>#NAME?</v>
      </c>
      <c r="BX132" s="23" t="e">
        <f ca="1">+'QTR Raw'!AR58</f>
        <v>#NAME?</v>
      </c>
      <c r="BY132" s="23" t="e">
        <f ca="1">+BX132+BY56</f>
        <v>#NAME?</v>
      </c>
      <c r="BZ132" s="23" t="e">
        <f ca="1">+'QTR Raw'!AT58</f>
        <v>#NAME?</v>
      </c>
      <c r="CA132" s="23" t="e">
        <f ca="1">+BZ132+CA56</f>
        <v>#NAME?</v>
      </c>
      <c r="CB132" s="23" t="e">
        <f ca="1">+'QTR Raw'!AV58</f>
        <v>#NAME?</v>
      </c>
      <c r="CC132" s="23" t="e">
        <f ca="1">+CB132+CC56</f>
        <v>#NAME?</v>
      </c>
      <c r="CD132" s="23" t="e">
        <f ca="1">+'QTR Raw'!AX58</f>
        <v>#NAME?</v>
      </c>
      <c r="CE132" s="23" t="e">
        <f ca="1">+CD132+CE56</f>
        <v>#NAME?</v>
      </c>
      <c r="CF132" s="23" t="e">
        <f ca="1">+'QTR Raw'!AZ58</f>
        <v>#NAME?</v>
      </c>
      <c r="CG132" s="23" t="e">
        <f ca="1">+CF132+CG56</f>
        <v>#NAME?</v>
      </c>
      <c r="CH132" s="23" t="e">
        <f t="shared" ca="1" si="1124"/>
        <v>#NAME?</v>
      </c>
      <c r="CI132" s="23" t="e">
        <f ca="1">CH132+CI56</f>
        <v>#NAME?</v>
      </c>
      <c r="CJ132" s="23" t="e">
        <f ca="1">+'QTR Raw'!BD58</f>
        <v>#NAME?</v>
      </c>
      <c r="CK132" s="23" t="e">
        <f t="shared" ref="CK132:DB132" ca="1" si="1126">CJ132+CK56</f>
        <v>#NAME?</v>
      </c>
      <c r="CL132" s="23" t="e">
        <f ca="1">+'QTR Raw'!BF58</f>
        <v>#NAME?</v>
      </c>
      <c r="CM132" s="24" t="e">
        <f t="shared" ca="1" si="1126"/>
        <v>#NAME?</v>
      </c>
      <c r="CN132" s="24" t="e">
        <f t="shared" ca="1" si="1126"/>
        <v>#NAME?</v>
      </c>
      <c r="CO132" s="24" t="e">
        <f t="shared" ca="1" si="1126"/>
        <v>#NAME?</v>
      </c>
      <c r="CP132" s="24" t="e">
        <f t="shared" ca="1" si="1126"/>
        <v>#NAME?</v>
      </c>
      <c r="CQ132" s="24" t="e">
        <f t="shared" ca="1" si="1126"/>
        <v>#NAME?</v>
      </c>
      <c r="CR132" s="24" t="e">
        <f t="shared" ca="1" si="1126"/>
        <v>#NAME?</v>
      </c>
      <c r="CS132" s="24" t="e">
        <f t="shared" ca="1" si="1126"/>
        <v>#NAME?</v>
      </c>
      <c r="CT132" s="24" t="e">
        <f t="shared" ca="1" si="1126"/>
        <v>#NAME?</v>
      </c>
      <c r="CU132" s="24" t="e">
        <f t="shared" ca="1" si="1126"/>
        <v>#NAME?</v>
      </c>
      <c r="CV132" s="24" t="e">
        <f t="shared" ca="1" si="1126"/>
        <v>#NAME?</v>
      </c>
      <c r="CW132" s="24" t="e">
        <f t="shared" ca="1" si="1126"/>
        <v>#NAME?</v>
      </c>
      <c r="CX132" s="24" t="e">
        <f t="shared" ca="1" si="1126"/>
        <v>#NAME?</v>
      </c>
      <c r="CY132" s="24" t="e">
        <f t="shared" ca="1" si="1126"/>
        <v>#NAME?</v>
      </c>
      <c r="CZ132" s="24" t="e">
        <f t="shared" ca="1" si="1126"/>
        <v>#NAME?</v>
      </c>
      <c r="DA132" s="24" t="e">
        <f t="shared" ca="1" si="1126"/>
        <v>#NAME?</v>
      </c>
      <c r="DB132" s="24" t="e">
        <f t="shared" ca="1" si="1126"/>
        <v>#NAME?</v>
      </c>
      <c r="DE132" s="123"/>
      <c r="DF132" s="23">
        <v>58852.959999999999</v>
      </c>
    </row>
    <row r="133" spans="1:110" s="22" customFormat="1" x14ac:dyDescent="0.2">
      <c r="A133" s="22" t="s">
        <v>44</v>
      </c>
      <c r="B133" s="22" t="e">
        <f ca="1">B130+B131+B132</f>
        <v>#NAME?</v>
      </c>
      <c r="C133" s="22" t="e">
        <f t="shared" ref="C133:V133" ca="1" si="1127">C130+C131+C132</f>
        <v>#NAME?</v>
      </c>
      <c r="D133" s="22" t="e">
        <f t="shared" ca="1" si="1127"/>
        <v>#NAME?</v>
      </c>
      <c r="E133" s="22" t="e">
        <f t="shared" ca="1" si="1127"/>
        <v>#NAME?</v>
      </c>
      <c r="F133" s="22" t="e">
        <f t="shared" ca="1" si="1127"/>
        <v>#NAME?</v>
      </c>
      <c r="G133" s="22" t="e">
        <f t="shared" ca="1" si="1127"/>
        <v>#NAME?</v>
      </c>
      <c r="H133" s="22" t="e">
        <f t="shared" ca="1" si="1127"/>
        <v>#NAME?</v>
      </c>
      <c r="I133" s="22" t="e">
        <f t="shared" ca="1" si="1127"/>
        <v>#NAME?</v>
      </c>
      <c r="J133" s="22" t="e">
        <f t="shared" ca="1" si="1127"/>
        <v>#NAME?</v>
      </c>
      <c r="K133" s="22" t="e">
        <f t="shared" ca="1" si="1127"/>
        <v>#NAME?</v>
      </c>
      <c r="L133" s="22" t="e">
        <f t="shared" ca="1" si="1127"/>
        <v>#NAME?</v>
      </c>
      <c r="M133" s="22" t="e">
        <f ca="1">M130+M131+M132</f>
        <v>#NAME?</v>
      </c>
      <c r="N133" s="22" t="e">
        <f t="shared" ca="1" si="1127"/>
        <v>#NAME?</v>
      </c>
      <c r="O133" s="22" t="e">
        <f t="shared" ca="1" si="1127"/>
        <v>#NAME?</v>
      </c>
      <c r="P133" s="22" t="e">
        <f t="shared" ca="1" si="1127"/>
        <v>#NAME?</v>
      </c>
      <c r="Q133" s="22" t="e">
        <f t="shared" ca="1" si="1127"/>
        <v>#NAME?</v>
      </c>
      <c r="R133" s="22" t="e">
        <f t="shared" ca="1" si="1127"/>
        <v>#NAME?</v>
      </c>
      <c r="S133" s="22" t="e">
        <f t="shared" ca="1" si="1127"/>
        <v>#NAME?</v>
      </c>
      <c r="T133" s="22" t="e">
        <f t="shared" ca="1" si="1127"/>
        <v>#NAME?</v>
      </c>
      <c r="U133" s="22" t="e">
        <f t="shared" ca="1" si="1127"/>
        <v>#NAME?</v>
      </c>
      <c r="V133" s="22" t="e">
        <f t="shared" ca="1" si="1127"/>
        <v>#NAME?</v>
      </c>
      <c r="W133" s="22" t="e">
        <f t="shared" ref="W133" ca="1" si="1128">W130+W131+W132</f>
        <v>#NAME?</v>
      </c>
      <c r="X133" s="22" t="e">
        <f t="shared" ref="X133:Y133" ca="1" si="1129">X130+X131+X132</f>
        <v>#NAME?</v>
      </c>
      <c r="Y133" s="22" t="e">
        <f t="shared" ca="1" si="1129"/>
        <v>#NAME?</v>
      </c>
      <c r="Z133" s="22" t="e">
        <f t="shared" ref="Z133:AA133" ca="1" si="1130">Z130+Z131+Z132</f>
        <v>#NAME?</v>
      </c>
      <c r="AA133" s="22" t="e">
        <f t="shared" ca="1" si="1130"/>
        <v>#NAME?</v>
      </c>
      <c r="AB133" s="21" t="e">
        <f t="shared" ref="AA133:AD133" ca="1" si="1131">AB130+AB131+AB132</f>
        <v>#NAME?</v>
      </c>
      <c r="AC133" s="21" t="e">
        <f t="shared" ca="1" si="1131"/>
        <v>#NAME?</v>
      </c>
      <c r="AD133" s="21" t="e">
        <f t="shared" ca="1" si="1131"/>
        <v>#NAME?</v>
      </c>
      <c r="AE133" s="21" t="e">
        <f t="shared" ref="AE133" ca="1" si="1132">AE130+AE131+AE132</f>
        <v>#NAME?</v>
      </c>
      <c r="AJ133" s="22" t="e">
        <f t="shared" ref="AJ133" ca="1" si="1133">AJ130+AJ131+AJ132</f>
        <v>#NAME?</v>
      </c>
      <c r="AK133" s="22" t="e">
        <f t="shared" ref="AK133" ca="1" si="1134">AK130+AK131+AK132</f>
        <v>#NAME?</v>
      </c>
      <c r="AL133" s="22" t="e">
        <f t="shared" ref="AL133:AM133" ca="1" si="1135">AL130+AL131+AL132</f>
        <v>#NAME?</v>
      </c>
      <c r="AM133" s="22" t="e">
        <f t="shared" ca="1" si="1135"/>
        <v>#NAME?</v>
      </c>
      <c r="AN133" s="22" t="e">
        <f t="shared" ref="AN133:AO133" ca="1" si="1136">AN130+AN131+AN132</f>
        <v>#NAME?</v>
      </c>
      <c r="AO133" s="22" t="e">
        <f t="shared" ca="1" si="1136"/>
        <v>#NAME?</v>
      </c>
      <c r="AP133" s="22" t="e">
        <f t="shared" ref="AP133:CE133" ca="1" si="1137">AP130+AP131+AP132</f>
        <v>#NAME?</v>
      </c>
      <c r="AQ133" s="22" t="e">
        <f t="shared" ca="1" si="1137"/>
        <v>#NAME?</v>
      </c>
      <c r="AR133" s="22" t="e">
        <f t="shared" ca="1" si="1137"/>
        <v>#NAME?</v>
      </c>
      <c r="AS133" s="22" t="e">
        <f t="shared" ca="1" si="1137"/>
        <v>#NAME?</v>
      </c>
      <c r="AT133" s="22" t="e">
        <f t="shared" ca="1" si="1137"/>
        <v>#NAME?</v>
      </c>
      <c r="AU133" s="22" t="e">
        <f t="shared" ca="1" si="1137"/>
        <v>#NAME?</v>
      </c>
      <c r="AV133" s="22" t="e">
        <f t="shared" ca="1" si="1137"/>
        <v>#NAME?</v>
      </c>
      <c r="AW133" s="22" t="e">
        <f t="shared" ca="1" si="1137"/>
        <v>#NAME?</v>
      </c>
      <c r="AX133" s="22" t="e">
        <f t="shared" ca="1" si="1137"/>
        <v>#NAME?</v>
      </c>
      <c r="AY133" s="22" t="e">
        <f t="shared" ca="1" si="1137"/>
        <v>#NAME?</v>
      </c>
      <c r="AZ133" s="22" t="e">
        <f t="shared" ca="1" si="1137"/>
        <v>#NAME?</v>
      </c>
      <c r="BA133" s="22" t="e">
        <f t="shared" ca="1" si="1137"/>
        <v>#NAME?</v>
      </c>
      <c r="BB133" s="22" t="e">
        <f t="shared" ca="1" si="1137"/>
        <v>#NAME?</v>
      </c>
      <c r="BC133" s="22" t="e">
        <f t="shared" ca="1" si="1137"/>
        <v>#NAME?</v>
      </c>
      <c r="BD133" s="22" t="e">
        <f t="shared" ca="1" si="1137"/>
        <v>#NAME?</v>
      </c>
      <c r="BE133" s="22" t="e">
        <f t="shared" ca="1" si="1137"/>
        <v>#NAME?</v>
      </c>
      <c r="BF133" s="22" t="e">
        <f t="shared" ca="1" si="1137"/>
        <v>#NAME?</v>
      </c>
      <c r="BG133" s="22" t="e">
        <f t="shared" ca="1" si="1137"/>
        <v>#NAME?</v>
      </c>
      <c r="BH133" s="22" t="e">
        <f t="shared" ca="1" si="1137"/>
        <v>#NAME?</v>
      </c>
      <c r="BI133" s="22" t="e">
        <f t="shared" ca="1" si="1137"/>
        <v>#NAME?</v>
      </c>
      <c r="BJ133" s="22" t="e">
        <f t="shared" ca="1" si="1137"/>
        <v>#NAME?</v>
      </c>
      <c r="BK133" s="22" t="e">
        <f t="shared" ca="1" si="1137"/>
        <v>#NAME?</v>
      </c>
      <c r="BL133" s="22" t="e">
        <f t="shared" ca="1" si="1137"/>
        <v>#NAME?</v>
      </c>
      <c r="BM133" s="22" t="e">
        <f t="shared" ca="1" si="1137"/>
        <v>#NAME?</v>
      </c>
      <c r="BN133" s="22" t="e">
        <f t="shared" ca="1" si="1137"/>
        <v>#NAME?</v>
      </c>
      <c r="BO133" s="22" t="e">
        <f t="shared" ca="1" si="1137"/>
        <v>#NAME?</v>
      </c>
      <c r="BP133" s="22" t="e">
        <f t="shared" ca="1" si="1137"/>
        <v>#NAME?</v>
      </c>
      <c r="BQ133" s="22" t="e">
        <f t="shared" ca="1" si="1137"/>
        <v>#NAME?</v>
      </c>
      <c r="BR133" s="22" t="e">
        <f t="shared" ca="1" si="1137"/>
        <v>#NAME?</v>
      </c>
      <c r="BS133" s="22" t="e">
        <f t="shared" ca="1" si="1137"/>
        <v>#NAME?</v>
      </c>
      <c r="BT133" s="22" t="e">
        <f t="shared" ca="1" si="1137"/>
        <v>#NAME?</v>
      </c>
      <c r="BU133" s="22" t="e">
        <f t="shared" ca="1" si="1137"/>
        <v>#NAME?</v>
      </c>
      <c r="BV133" s="22" t="e">
        <f t="shared" ca="1" si="1137"/>
        <v>#NAME?</v>
      </c>
      <c r="BW133" s="22" t="e">
        <f t="shared" ca="1" si="1137"/>
        <v>#NAME?</v>
      </c>
      <c r="BX133" s="22" t="e">
        <f t="shared" ca="1" si="1137"/>
        <v>#NAME?</v>
      </c>
      <c r="BY133" s="22" t="e">
        <f t="shared" ca="1" si="1137"/>
        <v>#NAME?</v>
      </c>
      <c r="BZ133" s="22" t="e">
        <f t="shared" ca="1" si="1137"/>
        <v>#NAME?</v>
      </c>
      <c r="CA133" s="22" t="e">
        <f t="shared" ca="1" si="1137"/>
        <v>#NAME?</v>
      </c>
      <c r="CB133" s="22" t="e">
        <f t="shared" ca="1" si="1137"/>
        <v>#NAME?</v>
      </c>
      <c r="CC133" s="22" t="e">
        <f t="shared" ca="1" si="1137"/>
        <v>#NAME?</v>
      </c>
      <c r="CD133" s="22" t="e">
        <f t="shared" ca="1" si="1137"/>
        <v>#NAME?</v>
      </c>
      <c r="CE133" s="22" t="e">
        <f t="shared" ca="1" si="1137"/>
        <v>#NAME?</v>
      </c>
      <c r="CF133" s="22" t="e">
        <f t="shared" ref="CF133:CG133" ca="1" si="1138">CF130+CF131+CF132</f>
        <v>#NAME?</v>
      </c>
      <c r="CG133" s="22" t="e">
        <f t="shared" ca="1" si="1138"/>
        <v>#NAME?</v>
      </c>
      <c r="CH133" s="22" t="e">
        <f t="shared" ref="CH133:CI133" ca="1" si="1139">CH130+CH131+CH132</f>
        <v>#NAME?</v>
      </c>
      <c r="CI133" s="22" t="e">
        <f t="shared" ca="1" si="1139"/>
        <v>#NAME?</v>
      </c>
      <c r="CJ133" s="22" t="e">
        <f t="shared" ref="CJ133:DB133" ca="1" si="1140">CJ130+CJ131+CJ132</f>
        <v>#NAME?</v>
      </c>
      <c r="CK133" s="22" t="e">
        <f t="shared" ca="1" si="1140"/>
        <v>#NAME?</v>
      </c>
      <c r="CL133" s="22" t="e">
        <f t="shared" ref="CL133" ca="1" si="1141">CL130+CL131+CL132</f>
        <v>#NAME?</v>
      </c>
      <c r="CM133" s="21" t="e">
        <f t="shared" ca="1" si="1140"/>
        <v>#NAME?</v>
      </c>
      <c r="CN133" s="21" t="e">
        <f t="shared" ca="1" si="1140"/>
        <v>#NAME?</v>
      </c>
      <c r="CO133" s="21" t="e">
        <f t="shared" ca="1" si="1140"/>
        <v>#NAME?</v>
      </c>
      <c r="CP133" s="21" t="e">
        <f t="shared" ca="1" si="1140"/>
        <v>#NAME?</v>
      </c>
      <c r="CQ133" s="21" t="e">
        <f t="shared" ca="1" si="1140"/>
        <v>#NAME?</v>
      </c>
      <c r="CR133" s="21" t="e">
        <f t="shared" ca="1" si="1140"/>
        <v>#NAME?</v>
      </c>
      <c r="CS133" s="21" t="e">
        <f t="shared" ca="1" si="1140"/>
        <v>#NAME?</v>
      </c>
      <c r="CT133" s="21" t="e">
        <f t="shared" ca="1" si="1140"/>
        <v>#NAME?</v>
      </c>
      <c r="CU133" s="21" t="e">
        <f t="shared" ca="1" si="1140"/>
        <v>#NAME?</v>
      </c>
      <c r="CV133" s="21" t="e">
        <f t="shared" ca="1" si="1140"/>
        <v>#NAME?</v>
      </c>
      <c r="CW133" s="21" t="e">
        <f t="shared" ca="1" si="1140"/>
        <v>#NAME?</v>
      </c>
      <c r="CX133" s="21" t="e">
        <f t="shared" ca="1" si="1140"/>
        <v>#NAME?</v>
      </c>
      <c r="CY133" s="21" t="e">
        <f t="shared" ca="1" si="1140"/>
        <v>#NAME?</v>
      </c>
      <c r="CZ133" s="21" t="e">
        <f t="shared" ca="1" si="1140"/>
        <v>#NAME?</v>
      </c>
      <c r="DA133" s="21" t="e">
        <f t="shared" ca="1" si="1140"/>
        <v>#NAME?</v>
      </c>
      <c r="DB133" s="21" t="e">
        <f t="shared" ca="1" si="1140"/>
        <v>#NAME?</v>
      </c>
      <c r="DE133" s="126"/>
      <c r="DF133" s="22">
        <v>59347.32</v>
      </c>
    </row>
    <row r="134" spans="1:110" s="22" customFormat="1" x14ac:dyDescent="0.2">
      <c r="AB134" s="21"/>
      <c r="AC134" s="21"/>
      <c r="AD134" s="21"/>
      <c r="AE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E134" s="126"/>
    </row>
    <row r="135" spans="1:110" s="23" customFormat="1" x14ac:dyDescent="0.2">
      <c r="A135" s="23" t="s">
        <v>23</v>
      </c>
      <c r="B135" s="23" t="e">
        <f ca="1">'Annual Raw'!C45</f>
        <v>#NAME?</v>
      </c>
      <c r="C135" s="23" t="e">
        <f ca="1">'Annual Raw'!D45</f>
        <v>#NAME?</v>
      </c>
      <c r="D135" s="23" t="e">
        <f ca="1">'Annual Raw'!E45</f>
        <v>#NAME?</v>
      </c>
      <c r="E135" s="23" t="e">
        <f ca="1">'Annual Raw'!F45</f>
        <v>#NAME?</v>
      </c>
      <c r="F135" s="23" t="e">
        <f ca="1">'Annual Raw'!G45</f>
        <v>#NAME?</v>
      </c>
      <c r="G135" s="23" t="e">
        <f ca="1">'Annual Raw'!H45</f>
        <v>#NAME?</v>
      </c>
      <c r="H135" s="23" t="e">
        <f ca="1">'Annual Raw'!I45</f>
        <v>#NAME?</v>
      </c>
      <c r="I135" s="23" t="e">
        <f ca="1">'Annual Raw'!J45</f>
        <v>#NAME?</v>
      </c>
      <c r="J135" s="23" t="e">
        <f ca="1">'Annual Raw'!K45</f>
        <v>#NAME?</v>
      </c>
      <c r="K135" s="23" t="e">
        <f ca="1">'Annual Raw'!L45</f>
        <v>#NAME?</v>
      </c>
      <c r="L135" s="23" t="e">
        <f ca="1">'Annual Raw'!M45</f>
        <v>#NAME?</v>
      </c>
      <c r="M135" s="23" t="e">
        <f ca="1">'Annual Raw'!N45</f>
        <v>#NAME?</v>
      </c>
      <c r="N135" s="23" t="e">
        <f ca="1">'Annual Raw'!O45</f>
        <v>#NAME?</v>
      </c>
      <c r="O135" s="23" t="e">
        <f ca="1">'Annual Raw'!P45</f>
        <v>#NAME?</v>
      </c>
      <c r="P135" s="23" t="e">
        <f ca="1">'Annual Raw'!Q45</f>
        <v>#NAME?</v>
      </c>
      <c r="Q135" s="23" t="e">
        <f ca="1">'Annual Raw'!R45</f>
        <v>#NAME?</v>
      </c>
      <c r="R135" s="23" t="e">
        <f ca="1">'Annual Raw'!S45</f>
        <v>#NAME?</v>
      </c>
      <c r="S135" s="23" t="e">
        <f ca="1">'Annual Raw'!T45</f>
        <v>#NAME?</v>
      </c>
      <c r="T135" s="23" t="e">
        <f ca="1">'Annual Raw'!U45</f>
        <v>#NAME?</v>
      </c>
      <c r="U135" s="23" t="e">
        <f ca="1">'Annual Raw'!V45</f>
        <v>#NAME?</v>
      </c>
      <c r="V135" s="23" t="e">
        <f ca="1">'Annual Raw'!W45</f>
        <v>#NAME?</v>
      </c>
      <c r="W135" s="23" t="e">
        <f ca="1">'Annual Raw'!X45</f>
        <v>#NAME?</v>
      </c>
      <c r="X135" s="23" t="e">
        <f ca="1">'Annual Raw'!Y45</f>
        <v>#NAME?</v>
      </c>
      <c r="Y135" s="23" t="e">
        <f ca="1">'Annual Raw'!Z45</f>
        <v>#NAME?</v>
      </c>
      <c r="Z135" s="23" t="e">
        <f ca="1">'Annual Raw'!AA45</f>
        <v>#NAME?</v>
      </c>
      <c r="AA135" s="23" t="e">
        <f ca="1">'Annual Raw'!AB45</f>
        <v>#NAME?</v>
      </c>
      <c r="AB135" s="24" t="e">
        <f ca="1">+CP135</f>
        <v>#NAME?</v>
      </c>
      <c r="AC135" s="24" t="e">
        <f ca="1">+CT135</f>
        <v>#NAME?</v>
      </c>
      <c r="AD135" s="24" t="e">
        <f ca="1">+CX135</f>
        <v>#NAME?</v>
      </c>
      <c r="AE135" s="24" t="e">
        <f ca="1">+DB135</f>
        <v>#NAME?</v>
      </c>
      <c r="AJ135" s="23" t="e">
        <f ca="1">+'QTR Raw'!D60</f>
        <v>#NAME?</v>
      </c>
      <c r="AK135" s="23" t="e">
        <f t="shared" ref="AK135:CE135" ca="1" si="1142">+AJ135</f>
        <v>#NAME?</v>
      </c>
      <c r="AL135" s="23" t="e">
        <f ca="1">+'QTR Raw'!F60</f>
        <v>#NAME?</v>
      </c>
      <c r="AM135" s="23" t="e">
        <f t="shared" ca="1" si="1142"/>
        <v>#NAME?</v>
      </c>
      <c r="AN135" s="23" t="e">
        <f ca="1">+'QTR Raw'!H60</f>
        <v>#NAME?</v>
      </c>
      <c r="AO135" s="23" t="e">
        <f t="shared" ca="1" si="1142"/>
        <v>#NAME?</v>
      </c>
      <c r="AP135" s="23" t="e">
        <f ca="1">+'QTR Raw'!J60</f>
        <v>#NAME?</v>
      </c>
      <c r="AQ135" s="23" t="e">
        <f t="shared" ca="1" si="1142"/>
        <v>#NAME?</v>
      </c>
      <c r="AR135" s="23" t="e">
        <f ca="1">+'QTR Raw'!L60</f>
        <v>#NAME?</v>
      </c>
      <c r="AS135" s="23" t="e">
        <f t="shared" ca="1" si="1142"/>
        <v>#NAME?</v>
      </c>
      <c r="AT135" s="23" t="e">
        <f ca="1">+'QTR Raw'!N60</f>
        <v>#NAME?</v>
      </c>
      <c r="AU135" s="23" t="e">
        <f t="shared" ca="1" si="1142"/>
        <v>#NAME?</v>
      </c>
      <c r="AV135" s="23" t="e">
        <f ca="1">+'QTR Raw'!P60</f>
        <v>#NAME?</v>
      </c>
      <c r="AW135" s="23" t="e">
        <f t="shared" ca="1" si="1142"/>
        <v>#NAME?</v>
      </c>
      <c r="AX135" s="23" t="e">
        <f ca="1">+'QTR Raw'!R60</f>
        <v>#NAME?</v>
      </c>
      <c r="AY135" s="23" t="e">
        <f t="shared" ca="1" si="1142"/>
        <v>#NAME?</v>
      </c>
      <c r="AZ135" s="23" t="e">
        <f ca="1">+'QTR Raw'!T60</f>
        <v>#NAME?</v>
      </c>
      <c r="BA135" s="23" t="e">
        <f t="shared" ca="1" si="1142"/>
        <v>#NAME?</v>
      </c>
      <c r="BB135" s="23" t="e">
        <f ca="1">+'QTR Raw'!V60</f>
        <v>#NAME?</v>
      </c>
      <c r="BC135" s="23" t="e">
        <f t="shared" ca="1" si="1142"/>
        <v>#NAME?</v>
      </c>
      <c r="BD135" s="23" t="e">
        <f ca="1">+'QTR Raw'!X60</f>
        <v>#NAME?</v>
      </c>
      <c r="BE135" s="23" t="e">
        <f t="shared" ca="1" si="1142"/>
        <v>#NAME?</v>
      </c>
      <c r="BF135" s="23" t="e">
        <f ca="1">+'QTR Raw'!Z60</f>
        <v>#NAME?</v>
      </c>
      <c r="BG135" s="23" t="e">
        <f t="shared" ca="1" si="1142"/>
        <v>#NAME?</v>
      </c>
      <c r="BH135" s="22" t="e">
        <f ca="1">+'QTR Raw'!AB60</f>
        <v>#NAME?</v>
      </c>
      <c r="BI135" s="23" t="e">
        <f t="shared" ca="1" si="1142"/>
        <v>#NAME?</v>
      </c>
      <c r="BJ135" s="23" t="e">
        <f ca="1">+'QTR Raw'!AD60</f>
        <v>#NAME?</v>
      </c>
      <c r="BK135" s="23" t="e">
        <f t="shared" ca="1" si="1142"/>
        <v>#NAME?</v>
      </c>
      <c r="BL135" s="23" t="e">
        <f ca="1">+'QTR Raw'!AF60</f>
        <v>#NAME?</v>
      </c>
      <c r="BM135" s="23" t="e">
        <f t="shared" ca="1" si="1142"/>
        <v>#NAME?</v>
      </c>
      <c r="BN135" s="23" t="e">
        <f ca="1">+'QTR Raw'!AH60</f>
        <v>#NAME?</v>
      </c>
      <c r="BO135" s="23" t="e">
        <f t="shared" ca="1" si="1142"/>
        <v>#NAME?</v>
      </c>
      <c r="BP135" s="23" t="e">
        <f ca="1">+'QTR Raw'!AJ60</f>
        <v>#NAME?</v>
      </c>
      <c r="BQ135" s="23" t="e">
        <f t="shared" ca="1" si="1142"/>
        <v>#NAME?</v>
      </c>
      <c r="BR135" s="23" t="e">
        <f ca="1">+'QTR Raw'!AL60</f>
        <v>#NAME?</v>
      </c>
      <c r="BS135" s="23" t="e">
        <f t="shared" ca="1" si="1142"/>
        <v>#NAME?</v>
      </c>
      <c r="BT135" s="23" t="e">
        <f ca="1">+'QTR Raw'!AN60</f>
        <v>#NAME?</v>
      </c>
      <c r="BU135" s="23" t="e">
        <f t="shared" ca="1" si="1142"/>
        <v>#NAME?</v>
      </c>
      <c r="BV135" s="23" t="e">
        <f ca="1">+'QTR Raw'!AP60</f>
        <v>#NAME?</v>
      </c>
      <c r="BW135" s="23" t="e">
        <f t="shared" ca="1" si="1142"/>
        <v>#NAME?</v>
      </c>
      <c r="BX135" s="23" t="e">
        <f ca="1">+'QTR Raw'!AR60</f>
        <v>#NAME?</v>
      </c>
      <c r="BY135" s="23" t="e">
        <f t="shared" ca="1" si="1142"/>
        <v>#NAME?</v>
      </c>
      <c r="BZ135" s="23" t="e">
        <f ca="1">+'QTR Raw'!AT60</f>
        <v>#NAME?</v>
      </c>
      <c r="CA135" s="23" t="e">
        <f t="shared" ca="1" si="1142"/>
        <v>#NAME?</v>
      </c>
      <c r="CB135" s="23" t="e">
        <f ca="1">+'QTR Raw'!AV60</f>
        <v>#NAME?</v>
      </c>
      <c r="CC135" s="23" t="e">
        <f t="shared" ca="1" si="1142"/>
        <v>#NAME?</v>
      </c>
      <c r="CD135" s="23" t="e">
        <f ca="1">+'QTR Raw'!AX60</f>
        <v>#NAME?</v>
      </c>
      <c r="CE135" s="23" t="e">
        <f t="shared" ca="1" si="1142"/>
        <v>#NAME?</v>
      </c>
      <c r="CF135" s="23" t="e">
        <f ca="1">+'QTR Raw'!AZ60</f>
        <v>#NAME?</v>
      </c>
      <c r="CG135" s="23" t="e">
        <f t="shared" ref="CG135:CI135" ca="1" si="1143">+CF135</f>
        <v>#NAME?</v>
      </c>
      <c r="CH135" s="23" t="e">
        <f t="shared" ref="CH135:CH140" ca="1" si="1144">Z135</f>
        <v>#NAME?</v>
      </c>
      <c r="CI135" s="23" t="e">
        <f t="shared" ca="1" si="1143"/>
        <v>#NAME?</v>
      </c>
      <c r="CJ135" s="23" t="e">
        <f ca="1">+'QTR Raw'!BD60</f>
        <v>#NAME?</v>
      </c>
      <c r="CK135" s="23" t="e">
        <f t="shared" ref="CK135" ca="1" si="1145">+CJ135</f>
        <v>#NAME?</v>
      </c>
      <c r="CL135" s="23" t="e">
        <f ca="1">+'QTR Raw'!BF60</f>
        <v>#NAME?</v>
      </c>
      <c r="CM135" s="24" t="e">
        <f t="shared" ref="CM135" ca="1" si="1146">+CL135</f>
        <v>#NAME?</v>
      </c>
      <c r="CN135" s="24" t="e">
        <f t="shared" ref="CN135" ca="1" si="1147">+CM135</f>
        <v>#NAME?</v>
      </c>
      <c r="CO135" s="24" t="e">
        <f t="shared" ref="CO135" ca="1" si="1148">+CN135</f>
        <v>#NAME?</v>
      </c>
      <c r="CP135" s="24" t="e">
        <f t="shared" ref="CP135" ca="1" si="1149">+CO135</f>
        <v>#NAME?</v>
      </c>
      <c r="CQ135" s="24" t="e">
        <f t="shared" ref="CQ135" ca="1" si="1150">+CP135</f>
        <v>#NAME?</v>
      </c>
      <c r="CR135" s="24" t="e">
        <f t="shared" ref="CR135" ca="1" si="1151">+CQ135</f>
        <v>#NAME?</v>
      </c>
      <c r="CS135" s="24" t="e">
        <f t="shared" ref="CS135" ca="1" si="1152">+CR135</f>
        <v>#NAME?</v>
      </c>
      <c r="CT135" s="24" t="e">
        <f t="shared" ref="CT135" ca="1" si="1153">+CS135</f>
        <v>#NAME?</v>
      </c>
      <c r="CU135" s="24" t="e">
        <f t="shared" ref="CU135" ca="1" si="1154">+CT135</f>
        <v>#NAME?</v>
      </c>
      <c r="CV135" s="24" t="e">
        <f t="shared" ref="CV135" ca="1" si="1155">+CU135</f>
        <v>#NAME?</v>
      </c>
      <c r="CW135" s="24" t="e">
        <f t="shared" ref="CW135" ca="1" si="1156">+CV135</f>
        <v>#NAME?</v>
      </c>
      <c r="CX135" s="24" t="e">
        <f t="shared" ref="CX135" ca="1" si="1157">+CW135</f>
        <v>#NAME?</v>
      </c>
      <c r="CY135" s="24" t="e">
        <f t="shared" ref="CY135" ca="1" si="1158">+CX135</f>
        <v>#NAME?</v>
      </c>
      <c r="CZ135" s="24" t="e">
        <f t="shared" ref="CZ135" ca="1" si="1159">+CY135</f>
        <v>#NAME?</v>
      </c>
      <c r="DA135" s="24" t="e">
        <f t="shared" ref="DA135" ca="1" si="1160">+CZ135</f>
        <v>#NAME?</v>
      </c>
      <c r="DB135" s="24" t="e">
        <f t="shared" ref="DB135" ca="1" si="1161">+DA135</f>
        <v>#NAME?</v>
      </c>
      <c r="DE135" s="123"/>
      <c r="DF135" s="23">
        <v>12498.92</v>
      </c>
    </row>
    <row r="136" spans="1:110" s="23" customFormat="1" x14ac:dyDescent="0.2">
      <c r="AB136" s="24"/>
      <c r="AC136" s="24"/>
      <c r="AD136" s="24"/>
      <c r="AE136" s="24"/>
      <c r="BH136" s="22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E136" s="123"/>
    </row>
    <row r="137" spans="1:110" s="23" customFormat="1" outlineLevel="1" x14ac:dyDescent="0.2">
      <c r="A137" s="23" t="s">
        <v>45</v>
      </c>
      <c r="B137" s="23" t="e">
        <f ca="1">'Annual Raw'!C47</f>
        <v>#NAME?</v>
      </c>
      <c r="C137" s="23" t="e">
        <f ca="1">'Annual Raw'!D47</f>
        <v>#NAME?</v>
      </c>
      <c r="D137" s="23" t="e">
        <f ca="1">'Annual Raw'!E47</f>
        <v>#NAME?</v>
      </c>
      <c r="E137" s="23" t="e">
        <f ca="1">'Annual Raw'!F47</f>
        <v>#NAME?</v>
      </c>
      <c r="F137" s="23" t="e">
        <f ca="1">'Annual Raw'!G47</f>
        <v>#NAME?</v>
      </c>
      <c r="G137" s="23" t="e">
        <f ca="1">'Annual Raw'!H47</f>
        <v>#NAME?</v>
      </c>
      <c r="H137" s="23" t="e">
        <f ca="1">'Annual Raw'!I47</f>
        <v>#NAME?</v>
      </c>
      <c r="I137" s="23" t="e">
        <f ca="1">'Annual Raw'!J47</f>
        <v>#NAME?</v>
      </c>
      <c r="J137" s="23" t="e">
        <f ca="1">'Annual Raw'!K47</f>
        <v>#NAME?</v>
      </c>
      <c r="K137" s="23" t="e">
        <f ca="1">'Annual Raw'!L47</f>
        <v>#NAME?</v>
      </c>
      <c r="L137" s="23" t="e">
        <f ca="1">'Annual Raw'!M47</f>
        <v>#NAME?</v>
      </c>
      <c r="M137" s="23" t="e">
        <f ca="1">'Annual Raw'!N47</f>
        <v>#NAME?</v>
      </c>
      <c r="N137" s="23" t="e">
        <f ca="1">'Annual Raw'!O47</f>
        <v>#NAME?</v>
      </c>
      <c r="O137" s="23" t="e">
        <f ca="1">'Annual Raw'!P47</f>
        <v>#NAME?</v>
      </c>
      <c r="P137" s="23" t="e">
        <f ca="1">'Annual Raw'!Q47</f>
        <v>#NAME?</v>
      </c>
      <c r="Q137" s="23" t="e">
        <f ca="1">'Annual Raw'!R47</f>
        <v>#NAME?</v>
      </c>
      <c r="R137" s="23" t="e">
        <f ca="1">'Annual Raw'!S47</f>
        <v>#NAME?</v>
      </c>
      <c r="S137" s="23" t="e">
        <f ca="1">'Annual Raw'!T47</f>
        <v>#NAME?</v>
      </c>
      <c r="T137" s="23" t="e">
        <f ca="1">'Annual Raw'!U47</f>
        <v>#NAME?</v>
      </c>
      <c r="U137" s="23" t="e">
        <f ca="1">'Annual Raw'!V47</f>
        <v>#NAME?</v>
      </c>
      <c r="V137" s="23" t="e">
        <f ca="1">'Annual Raw'!W47</f>
        <v>#NAME?</v>
      </c>
      <c r="W137" s="23" t="e">
        <f ca="1">'Annual Raw'!X47</f>
        <v>#NAME?</v>
      </c>
      <c r="X137" s="23" t="e">
        <f ca="1">'Annual Raw'!Y47</f>
        <v>#NAME?</v>
      </c>
      <c r="Y137" s="23" t="e">
        <f ca="1">'Annual Raw'!Z47</f>
        <v>#NAME?</v>
      </c>
      <c r="Z137" s="23" t="e">
        <f ca="1">'Annual Raw'!AA47</f>
        <v>#NAME?</v>
      </c>
      <c r="AA137" s="23" t="e">
        <f ca="1">'Annual Raw'!AB47</f>
        <v>#NAME?</v>
      </c>
      <c r="AB137" s="24" t="e">
        <f t="shared" ref="AB137:AB140" ca="1" si="1162">+CP137</f>
        <v>#NAME?</v>
      </c>
      <c r="AC137" s="24" t="e">
        <f t="shared" ref="AC137:AC140" ca="1" si="1163">+CT137</f>
        <v>#NAME?</v>
      </c>
      <c r="AD137" s="24" t="e">
        <f t="shared" ref="AD137:AD140" ca="1" si="1164">+CX137</f>
        <v>#NAME?</v>
      </c>
      <c r="AE137" s="24" t="e">
        <f t="shared" ref="AE137:AE140" ca="1" si="1165">+DB137</f>
        <v>#NAME?</v>
      </c>
      <c r="AJ137" s="23" t="e">
        <f ca="1">+'QTR Raw'!D62</f>
        <v>#NAME?</v>
      </c>
      <c r="AK137" s="23" t="e">
        <f t="shared" ref="AK137:CC140" ca="1" si="1166">+AJ137</f>
        <v>#NAME?</v>
      </c>
      <c r="AL137" s="23" t="e">
        <f ca="1">+'QTR Raw'!F62</f>
        <v>#NAME?</v>
      </c>
      <c r="AM137" s="23" t="e">
        <f t="shared" ca="1" si="1166"/>
        <v>#NAME?</v>
      </c>
      <c r="AN137" s="23" t="e">
        <f ca="1">+'QTR Raw'!H62</f>
        <v>#NAME?</v>
      </c>
      <c r="AO137" s="23" t="e">
        <f t="shared" ca="1" si="1166"/>
        <v>#NAME?</v>
      </c>
      <c r="AP137" s="23" t="e">
        <f ca="1">+'QTR Raw'!J62</f>
        <v>#NAME?</v>
      </c>
      <c r="AQ137" s="23" t="e">
        <f t="shared" ca="1" si="1166"/>
        <v>#NAME?</v>
      </c>
      <c r="AR137" s="23" t="e">
        <f ca="1">+'QTR Raw'!L62</f>
        <v>#NAME?</v>
      </c>
      <c r="AS137" s="23" t="e">
        <f t="shared" ca="1" si="1166"/>
        <v>#NAME?</v>
      </c>
      <c r="AT137" s="23" t="e">
        <f ca="1">+'QTR Raw'!N62</f>
        <v>#NAME?</v>
      </c>
      <c r="AU137" s="23" t="e">
        <f t="shared" ca="1" si="1166"/>
        <v>#NAME?</v>
      </c>
      <c r="AV137" s="23" t="e">
        <f ca="1">+'QTR Raw'!P62</f>
        <v>#NAME?</v>
      </c>
      <c r="AW137" s="23" t="e">
        <f t="shared" ca="1" si="1166"/>
        <v>#NAME?</v>
      </c>
      <c r="AX137" s="23" t="e">
        <f ca="1">+'QTR Raw'!R62</f>
        <v>#NAME?</v>
      </c>
      <c r="AY137" s="23" t="e">
        <f t="shared" ca="1" si="1166"/>
        <v>#NAME?</v>
      </c>
      <c r="AZ137" s="23" t="e">
        <f ca="1">+'QTR Raw'!T62</f>
        <v>#NAME?</v>
      </c>
      <c r="BA137" s="23" t="e">
        <f t="shared" ca="1" si="1166"/>
        <v>#NAME?</v>
      </c>
      <c r="BB137" s="23" t="e">
        <f ca="1">+'QTR Raw'!V62</f>
        <v>#NAME?</v>
      </c>
      <c r="BC137" s="23" t="e">
        <f t="shared" ca="1" si="1166"/>
        <v>#NAME?</v>
      </c>
      <c r="BD137" s="23" t="e">
        <f ca="1">+'QTR Raw'!X62</f>
        <v>#NAME?</v>
      </c>
      <c r="BE137" s="23" t="e">
        <f t="shared" ca="1" si="1166"/>
        <v>#NAME?</v>
      </c>
      <c r="BF137" s="23" t="e">
        <f ca="1">+'QTR Raw'!Z62</f>
        <v>#NAME?</v>
      </c>
      <c r="BG137" s="23" t="e">
        <f t="shared" ca="1" si="1166"/>
        <v>#NAME?</v>
      </c>
      <c r="BH137" s="22" t="e">
        <f ca="1">+'QTR Raw'!AB62</f>
        <v>#NAME?</v>
      </c>
      <c r="BI137" s="23" t="e">
        <f t="shared" ca="1" si="1166"/>
        <v>#NAME?</v>
      </c>
      <c r="BJ137" s="23" t="e">
        <f ca="1">+'QTR Raw'!AD62</f>
        <v>#NAME?</v>
      </c>
      <c r="BK137" s="23" t="e">
        <f t="shared" ca="1" si="1166"/>
        <v>#NAME?</v>
      </c>
      <c r="BL137" s="23" t="e">
        <f ca="1">+'QTR Raw'!AF62</f>
        <v>#NAME?</v>
      </c>
      <c r="BM137" s="23" t="e">
        <f t="shared" ca="1" si="1166"/>
        <v>#NAME?</v>
      </c>
      <c r="BN137" s="23" t="e">
        <f ca="1">+'QTR Raw'!AH62</f>
        <v>#NAME?</v>
      </c>
      <c r="BO137" s="23" t="e">
        <f t="shared" ca="1" si="1166"/>
        <v>#NAME?</v>
      </c>
      <c r="BP137" s="23" t="e">
        <f ca="1">+'QTR Raw'!AJ62</f>
        <v>#NAME?</v>
      </c>
      <c r="BQ137" s="23" t="e">
        <f t="shared" ca="1" si="1166"/>
        <v>#NAME?</v>
      </c>
      <c r="BR137" s="23" t="e">
        <f ca="1">+'QTR Raw'!AL62</f>
        <v>#NAME?</v>
      </c>
      <c r="BS137" s="23" t="e">
        <f t="shared" ca="1" si="1166"/>
        <v>#NAME?</v>
      </c>
      <c r="BT137" s="23" t="e">
        <f ca="1">+'QTR Raw'!AN62</f>
        <v>#NAME?</v>
      </c>
      <c r="BU137" s="23" t="e">
        <f t="shared" ca="1" si="1166"/>
        <v>#NAME?</v>
      </c>
      <c r="BV137" s="23" t="e">
        <f ca="1">+'QTR Raw'!AP62</f>
        <v>#NAME?</v>
      </c>
      <c r="BW137" s="23" t="e">
        <f t="shared" ca="1" si="1166"/>
        <v>#NAME?</v>
      </c>
      <c r="BX137" s="23" t="e">
        <f ca="1">+'QTR Raw'!AR62</f>
        <v>#NAME?</v>
      </c>
      <c r="BY137" s="23" t="e">
        <f t="shared" ca="1" si="1166"/>
        <v>#NAME?</v>
      </c>
      <c r="BZ137" s="23" t="e">
        <f ca="1">+'QTR Raw'!AT62</f>
        <v>#NAME?</v>
      </c>
      <c r="CA137" s="23" t="e">
        <f t="shared" ca="1" si="1166"/>
        <v>#NAME?</v>
      </c>
      <c r="CB137" s="23" t="e">
        <f ca="1">+'QTR Raw'!AV62</f>
        <v>#NAME?</v>
      </c>
      <c r="CC137" s="23" t="e">
        <f t="shared" ca="1" si="1166"/>
        <v>#NAME?</v>
      </c>
      <c r="CD137" s="23" t="e">
        <f ca="1">+'QTR Raw'!AX62</f>
        <v>#NAME?</v>
      </c>
      <c r="CE137" s="23" t="e">
        <f t="shared" ref="CE137:CE140" ca="1" si="1167">+CD137</f>
        <v>#NAME?</v>
      </c>
      <c r="CF137" s="23" t="e">
        <f ca="1">+'QTR Raw'!AZ62</f>
        <v>#NAME?</v>
      </c>
      <c r="CG137" s="23" t="e">
        <f t="shared" ref="CG137:CI140" ca="1" si="1168">+CF137</f>
        <v>#NAME?</v>
      </c>
      <c r="CH137" s="23" t="e">
        <f t="shared" ca="1" si="1144"/>
        <v>#NAME?</v>
      </c>
      <c r="CI137" s="23" t="e">
        <f t="shared" ca="1" si="1168"/>
        <v>#NAME?</v>
      </c>
      <c r="CJ137" s="23" t="e">
        <f ca="1">+'QTR Raw'!BD62</f>
        <v>#NAME?</v>
      </c>
      <c r="CK137" s="23" t="e">
        <f t="shared" ref="CK137:CK140" ca="1" si="1169">+CJ137</f>
        <v>#NAME?</v>
      </c>
      <c r="CL137" s="23" t="e">
        <f ca="1">+'QTR Raw'!BF62</f>
        <v>#NAME?</v>
      </c>
      <c r="CM137" s="24" t="e">
        <f t="shared" ref="CM137:CM140" ca="1" si="1170">+CL137</f>
        <v>#NAME?</v>
      </c>
      <c r="CN137" s="24" t="e">
        <f t="shared" ref="CN137:CN140" ca="1" si="1171">+CM137</f>
        <v>#NAME?</v>
      </c>
      <c r="CO137" s="24" t="e">
        <f t="shared" ref="CO137:CO140" ca="1" si="1172">+CN137</f>
        <v>#NAME?</v>
      </c>
      <c r="CP137" s="24" t="e">
        <f t="shared" ref="CP137:CP140" ca="1" si="1173">+CO137</f>
        <v>#NAME?</v>
      </c>
      <c r="CQ137" s="24" t="e">
        <f t="shared" ref="CQ137:CQ140" ca="1" si="1174">+CP137</f>
        <v>#NAME?</v>
      </c>
      <c r="CR137" s="24" t="e">
        <f t="shared" ref="CR137:CR140" ca="1" si="1175">+CQ137</f>
        <v>#NAME?</v>
      </c>
      <c r="CS137" s="24" t="e">
        <f t="shared" ref="CS137:CS140" ca="1" si="1176">+CR137</f>
        <v>#NAME?</v>
      </c>
      <c r="CT137" s="24" t="e">
        <f t="shared" ref="CT137:CT140" ca="1" si="1177">+CS137</f>
        <v>#NAME?</v>
      </c>
      <c r="CU137" s="24" t="e">
        <f t="shared" ref="CU137:CU140" ca="1" si="1178">+CT137</f>
        <v>#NAME?</v>
      </c>
      <c r="CV137" s="24" t="e">
        <f t="shared" ref="CV137:CV140" ca="1" si="1179">+CU137</f>
        <v>#NAME?</v>
      </c>
      <c r="CW137" s="24" t="e">
        <f t="shared" ref="CW137:CW140" ca="1" si="1180">+CV137</f>
        <v>#NAME?</v>
      </c>
      <c r="CX137" s="24" t="e">
        <f t="shared" ref="CX137:CX140" ca="1" si="1181">+CW137</f>
        <v>#NAME?</v>
      </c>
      <c r="CY137" s="24" t="e">
        <f t="shared" ref="CY137:CY140" ca="1" si="1182">+CX137</f>
        <v>#NAME?</v>
      </c>
      <c r="CZ137" s="24" t="e">
        <f t="shared" ref="CZ137:CZ140" ca="1" si="1183">+CY137</f>
        <v>#NAME?</v>
      </c>
      <c r="DA137" s="24" t="e">
        <f t="shared" ref="DA137:DA140" ca="1" si="1184">+CZ137</f>
        <v>#NAME?</v>
      </c>
      <c r="DB137" s="24" t="e">
        <f t="shared" ref="DB137:DB140" ca="1" si="1185">+DA137</f>
        <v>#NAME?</v>
      </c>
      <c r="DE137" s="123"/>
      <c r="DF137" s="23">
        <v>0</v>
      </c>
    </row>
    <row r="138" spans="1:110" s="23" customFormat="1" outlineLevel="1" x14ac:dyDescent="0.2">
      <c r="A138" s="23" t="s">
        <v>46</v>
      </c>
      <c r="B138" s="23" t="e">
        <f ca="1">'Annual Raw'!C48</f>
        <v>#NAME?</v>
      </c>
      <c r="C138" s="23" t="e">
        <f ca="1">'Annual Raw'!D48</f>
        <v>#NAME?</v>
      </c>
      <c r="D138" s="23" t="e">
        <f ca="1">'Annual Raw'!E48</f>
        <v>#NAME?</v>
      </c>
      <c r="E138" s="23" t="e">
        <f ca="1">'Annual Raw'!F48</f>
        <v>#NAME?</v>
      </c>
      <c r="F138" s="23" t="e">
        <f ca="1">'Annual Raw'!G48</f>
        <v>#NAME?</v>
      </c>
      <c r="G138" s="23" t="e">
        <f ca="1">'Annual Raw'!H48</f>
        <v>#NAME?</v>
      </c>
      <c r="H138" s="23" t="e">
        <f ca="1">'Annual Raw'!I48</f>
        <v>#NAME?</v>
      </c>
      <c r="I138" s="23" t="e">
        <f ca="1">'Annual Raw'!J48</f>
        <v>#NAME?</v>
      </c>
      <c r="J138" s="23" t="e">
        <f ca="1">'Annual Raw'!K48</f>
        <v>#NAME?</v>
      </c>
      <c r="K138" s="23" t="e">
        <f ca="1">'Annual Raw'!L48</f>
        <v>#NAME?</v>
      </c>
      <c r="L138" s="23" t="e">
        <f ca="1">'Annual Raw'!M48</f>
        <v>#NAME?</v>
      </c>
      <c r="M138" s="23" t="e">
        <f ca="1">'Annual Raw'!N48</f>
        <v>#NAME?</v>
      </c>
      <c r="N138" s="23" t="e">
        <f ca="1">'Annual Raw'!O48</f>
        <v>#NAME?</v>
      </c>
      <c r="O138" s="23" t="e">
        <f ca="1">'Annual Raw'!P48</f>
        <v>#NAME?</v>
      </c>
      <c r="P138" s="23" t="e">
        <f ca="1">'Annual Raw'!Q48</f>
        <v>#NAME?</v>
      </c>
      <c r="Q138" s="23" t="e">
        <f ca="1">'Annual Raw'!R48</f>
        <v>#NAME?</v>
      </c>
      <c r="R138" s="23" t="e">
        <f ca="1">'Annual Raw'!S48</f>
        <v>#NAME?</v>
      </c>
      <c r="S138" s="23" t="e">
        <f ca="1">'Annual Raw'!T48</f>
        <v>#NAME?</v>
      </c>
      <c r="T138" s="23" t="e">
        <f ca="1">'Annual Raw'!U48</f>
        <v>#NAME?</v>
      </c>
      <c r="U138" s="23" t="e">
        <f ca="1">'Annual Raw'!V48</f>
        <v>#NAME?</v>
      </c>
      <c r="V138" s="23" t="e">
        <f ca="1">'Annual Raw'!W48</f>
        <v>#NAME?</v>
      </c>
      <c r="W138" s="23" t="e">
        <f ca="1">'Annual Raw'!X48</f>
        <v>#NAME?</v>
      </c>
      <c r="X138" s="23" t="e">
        <f ca="1">'Annual Raw'!Y48</f>
        <v>#NAME?</v>
      </c>
      <c r="Y138" s="23" t="e">
        <f ca="1">'Annual Raw'!Z48</f>
        <v>#NAME?</v>
      </c>
      <c r="Z138" s="23" t="e">
        <f ca="1">'Annual Raw'!AA48</f>
        <v>#NAME?</v>
      </c>
      <c r="AA138" s="23" t="e">
        <f ca="1">'Annual Raw'!AB48</f>
        <v>#NAME?</v>
      </c>
      <c r="AB138" s="24" t="e">
        <f t="shared" ca="1" si="1162"/>
        <v>#NAME?</v>
      </c>
      <c r="AC138" s="24" t="e">
        <f t="shared" ca="1" si="1163"/>
        <v>#NAME?</v>
      </c>
      <c r="AD138" s="24" t="e">
        <f t="shared" ca="1" si="1164"/>
        <v>#NAME?</v>
      </c>
      <c r="AE138" s="24" t="e">
        <f t="shared" ca="1" si="1165"/>
        <v>#NAME?</v>
      </c>
      <c r="AJ138" s="23" t="e">
        <f ca="1">+'QTR Raw'!D63</f>
        <v>#NAME?</v>
      </c>
      <c r="AK138" s="23" t="e">
        <f t="shared" ca="1" si="1166"/>
        <v>#NAME?</v>
      </c>
      <c r="AL138" s="23" t="e">
        <f ca="1">+'QTR Raw'!F63</f>
        <v>#NAME?</v>
      </c>
      <c r="AM138" s="23" t="e">
        <f t="shared" ca="1" si="1166"/>
        <v>#NAME?</v>
      </c>
      <c r="AN138" s="23" t="e">
        <f ca="1">+'QTR Raw'!H63</f>
        <v>#NAME?</v>
      </c>
      <c r="AO138" s="23" t="e">
        <f t="shared" ca="1" si="1166"/>
        <v>#NAME?</v>
      </c>
      <c r="AP138" s="23" t="e">
        <f ca="1">+'QTR Raw'!J63</f>
        <v>#NAME?</v>
      </c>
      <c r="AQ138" s="23" t="e">
        <f t="shared" ca="1" si="1166"/>
        <v>#NAME?</v>
      </c>
      <c r="AR138" s="23" t="e">
        <f ca="1">+'QTR Raw'!L63</f>
        <v>#NAME?</v>
      </c>
      <c r="AS138" s="23" t="e">
        <f t="shared" ca="1" si="1166"/>
        <v>#NAME?</v>
      </c>
      <c r="AT138" s="23" t="e">
        <f ca="1">+'QTR Raw'!N63</f>
        <v>#NAME?</v>
      </c>
      <c r="AU138" s="23" t="e">
        <f t="shared" ca="1" si="1166"/>
        <v>#NAME?</v>
      </c>
      <c r="AV138" s="23" t="e">
        <f ca="1">+'QTR Raw'!P63</f>
        <v>#NAME?</v>
      </c>
      <c r="AW138" s="23" t="e">
        <f t="shared" ca="1" si="1166"/>
        <v>#NAME?</v>
      </c>
      <c r="AX138" s="23" t="e">
        <f ca="1">+'QTR Raw'!R63</f>
        <v>#NAME?</v>
      </c>
      <c r="AY138" s="23" t="e">
        <f t="shared" ca="1" si="1166"/>
        <v>#NAME?</v>
      </c>
      <c r="AZ138" s="23" t="e">
        <f ca="1">+'QTR Raw'!T63</f>
        <v>#NAME?</v>
      </c>
      <c r="BA138" s="23" t="e">
        <f t="shared" ca="1" si="1166"/>
        <v>#NAME?</v>
      </c>
      <c r="BB138" s="23" t="e">
        <f ca="1">+'QTR Raw'!V63</f>
        <v>#NAME?</v>
      </c>
      <c r="BC138" s="23" t="e">
        <f t="shared" ca="1" si="1166"/>
        <v>#NAME?</v>
      </c>
      <c r="BD138" s="23" t="e">
        <f ca="1">+'QTR Raw'!X63</f>
        <v>#NAME?</v>
      </c>
      <c r="BE138" s="23" t="e">
        <f t="shared" ca="1" si="1166"/>
        <v>#NAME?</v>
      </c>
      <c r="BF138" s="23" t="e">
        <f ca="1">+'QTR Raw'!Z63</f>
        <v>#NAME?</v>
      </c>
      <c r="BG138" s="23" t="e">
        <f t="shared" ca="1" si="1166"/>
        <v>#NAME?</v>
      </c>
      <c r="BH138" s="23" t="e">
        <f ca="1">+'QTR Raw'!AB63</f>
        <v>#NAME?</v>
      </c>
      <c r="BI138" s="23" t="e">
        <f t="shared" ca="1" si="1166"/>
        <v>#NAME?</v>
      </c>
      <c r="BJ138" s="23" t="e">
        <f ca="1">+'QTR Raw'!AD63</f>
        <v>#NAME?</v>
      </c>
      <c r="BK138" s="23" t="e">
        <f t="shared" ca="1" si="1166"/>
        <v>#NAME?</v>
      </c>
      <c r="BL138" s="23" t="e">
        <f ca="1">+'QTR Raw'!AF63</f>
        <v>#NAME?</v>
      </c>
      <c r="BM138" s="23" t="e">
        <f t="shared" ca="1" si="1166"/>
        <v>#NAME?</v>
      </c>
      <c r="BN138" s="23" t="e">
        <f ca="1">+'QTR Raw'!AH63</f>
        <v>#NAME?</v>
      </c>
      <c r="BO138" s="23" t="e">
        <f t="shared" ca="1" si="1166"/>
        <v>#NAME?</v>
      </c>
      <c r="BP138" s="23" t="e">
        <f ca="1">+'QTR Raw'!AJ63</f>
        <v>#NAME?</v>
      </c>
      <c r="BQ138" s="23" t="e">
        <f t="shared" ca="1" si="1166"/>
        <v>#NAME?</v>
      </c>
      <c r="BR138" s="23" t="e">
        <f ca="1">+'QTR Raw'!AL63</f>
        <v>#NAME?</v>
      </c>
      <c r="BS138" s="23" t="e">
        <f t="shared" ca="1" si="1166"/>
        <v>#NAME?</v>
      </c>
      <c r="BT138" s="23" t="e">
        <f ca="1">+'QTR Raw'!AN63</f>
        <v>#NAME?</v>
      </c>
      <c r="BU138" s="23" t="e">
        <f t="shared" ca="1" si="1166"/>
        <v>#NAME?</v>
      </c>
      <c r="BV138" s="23" t="e">
        <f ca="1">+'QTR Raw'!AP63</f>
        <v>#NAME?</v>
      </c>
      <c r="BW138" s="23" t="e">
        <f t="shared" ca="1" si="1166"/>
        <v>#NAME?</v>
      </c>
      <c r="BX138" s="23" t="e">
        <f ca="1">+'QTR Raw'!AR63</f>
        <v>#NAME?</v>
      </c>
      <c r="BY138" s="23" t="e">
        <f t="shared" ca="1" si="1166"/>
        <v>#NAME?</v>
      </c>
      <c r="BZ138" s="23" t="e">
        <f ca="1">+'QTR Raw'!AT63</f>
        <v>#NAME?</v>
      </c>
      <c r="CA138" s="23" t="e">
        <f t="shared" ca="1" si="1166"/>
        <v>#NAME?</v>
      </c>
      <c r="CB138" s="23" t="e">
        <f ca="1">+'QTR Raw'!AV63</f>
        <v>#NAME?</v>
      </c>
      <c r="CC138" s="23" t="e">
        <f t="shared" ca="1" si="1166"/>
        <v>#NAME?</v>
      </c>
      <c r="CD138" s="23" t="e">
        <f ca="1">+'QTR Raw'!AX63</f>
        <v>#NAME?</v>
      </c>
      <c r="CE138" s="23" t="e">
        <f t="shared" ca="1" si="1167"/>
        <v>#NAME?</v>
      </c>
      <c r="CF138" s="23" t="e">
        <f ca="1">+'QTR Raw'!AZ63</f>
        <v>#NAME?</v>
      </c>
      <c r="CG138" s="23" t="e">
        <f t="shared" ca="1" si="1168"/>
        <v>#NAME?</v>
      </c>
      <c r="CH138" s="23" t="e">
        <f t="shared" ca="1" si="1144"/>
        <v>#NAME?</v>
      </c>
      <c r="CI138" s="23" t="e">
        <f t="shared" ca="1" si="1168"/>
        <v>#NAME?</v>
      </c>
      <c r="CJ138" s="23" t="e">
        <f ca="1">+'QTR Raw'!BD63</f>
        <v>#NAME?</v>
      </c>
      <c r="CK138" s="23" t="e">
        <f t="shared" ca="1" si="1169"/>
        <v>#NAME?</v>
      </c>
      <c r="CL138" s="23" t="e">
        <f ca="1">+'QTR Raw'!BF63</f>
        <v>#NAME?</v>
      </c>
      <c r="CM138" s="24" t="e">
        <f t="shared" ca="1" si="1170"/>
        <v>#NAME?</v>
      </c>
      <c r="CN138" s="24" t="e">
        <f t="shared" ca="1" si="1171"/>
        <v>#NAME?</v>
      </c>
      <c r="CO138" s="24" t="e">
        <f t="shared" ca="1" si="1172"/>
        <v>#NAME?</v>
      </c>
      <c r="CP138" s="24" t="e">
        <f t="shared" ca="1" si="1173"/>
        <v>#NAME?</v>
      </c>
      <c r="CQ138" s="24" t="e">
        <f t="shared" ca="1" si="1174"/>
        <v>#NAME?</v>
      </c>
      <c r="CR138" s="24" t="e">
        <f t="shared" ca="1" si="1175"/>
        <v>#NAME?</v>
      </c>
      <c r="CS138" s="24" t="e">
        <f t="shared" ca="1" si="1176"/>
        <v>#NAME?</v>
      </c>
      <c r="CT138" s="24" t="e">
        <f t="shared" ca="1" si="1177"/>
        <v>#NAME?</v>
      </c>
      <c r="CU138" s="24" t="e">
        <f t="shared" ca="1" si="1178"/>
        <v>#NAME?</v>
      </c>
      <c r="CV138" s="24" t="e">
        <f t="shared" ca="1" si="1179"/>
        <v>#NAME?</v>
      </c>
      <c r="CW138" s="24" t="e">
        <f t="shared" ca="1" si="1180"/>
        <v>#NAME?</v>
      </c>
      <c r="CX138" s="24" t="e">
        <f t="shared" ca="1" si="1181"/>
        <v>#NAME?</v>
      </c>
      <c r="CY138" s="24" t="e">
        <f t="shared" ca="1" si="1182"/>
        <v>#NAME?</v>
      </c>
      <c r="CZ138" s="24" t="e">
        <f t="shared" ca="1" si="1183"/>
        <v>#NAME?</v>
      </c>
      <c r="DA138" s="24" t="e">
        <f t="shared" ca="1" si="1184"/>
        <v>#NAME?</v>
      </c>
      <c r="DB138" s="24" t="e">
        <f t="shared" ca="1" si="1185"/>
        <v>#NAME?</v>
      </c>
      <c r="DE138" s="123"/>
      <c r="DF138" s="23">
        <v>44.79</v>
      </c>
    </row>
    <row r="139" spans="1:110" s="23" customFormat="1" outlineLevel="1" x14ac:dyDescent="0.2">
      <c r="A139" s="23" t="s">
        <v>47</v>
      </c>
      <c r="B139" s="23" t="e">
        <f ca="1">'Annual Raw'!C87+'Annual Raw'!C88+'Annual Raw'!C89+'Annual Raw'!C90</f>
        <v>#NAME?</v>
      </c>
      <c r="C139" s="23" t="e">
        <f ca="1">'Annual Raw'!D87+'Annual Raw'!D88+'Annual Raw'!D89+'Annual Raw'!D90</f>
        <v>#NAME?</v>
      </c>
      <c r="D139" s="23" t="e">
        <f ca="1">'Annual Raw'!E87+'Annual Raw'!E88+'Annual Raw'!E89+'Annual Raw'!E90</f>
        <v>#NAME?</v>
      </c>
      <c r="E139" s="23" t="e">
        <f ca="1">'Annual Raw'!F87+'Annual Raw'!F88+'Annual Raw'!F89+'Annual Raw'!F90</f>
        <v>#NAME?</v>
      </c>
      <c r="F139" s="23" t="e">
        <f ca="1">'Annual Raw'!G87+'Annual Raw'!G88+'Annual Raw'!G89+'Annual Raw'!G90</f>
        <v>#NAME?</v>
      </c>
      <c r="G139" s="23" t="e">
        <f ca="1">'Annual Raw'!H87+'Annual Raw'!H88+'Annual Raw'!H89+'Annual Raw'!H90</f>
        <v>#NAME?</v>
      </c>
      <c r="H139" s="23" t="e">
        <f ca="1">'Annual Raw'!I87+'Annual Raw'!I88+'Annual Raw'!I89+'Annual Raw'!I90</f>
        <v>#NAME?</v>
      </c>
      <c r="I139" s="23" t="e">
        <f ca="1">'Annual Raw'!J87+'Annual Raw'!J88+'Annual Raw'!J89+'Annual Raw'!J90</f>
        <v>#NAME?</v>
      </c>
      <c r="J139" s="23" t="e">
        <f ca="1">'Annual Raw'!K87+'Annual Raw'!K88+'Annual Raw'!K89+'Annual Raw'!K90</f>
        <v>#NAME?</v>
      </c>
      <c r="K139" s="23" t="e">
        <f ca="1">'Annual Raw'!L87+'Annual Raw'!L88+'Annual Raw'!L89+'Annual Raw'!L90</f>
        <v>#NAME?</v>
      </c>
      <c r="L139" s="23" t="e">
        <f ca="1">'Annual Raw'!M87+'Annual Raw'!M88+'Annual Raw'!M89+'Annual Raw'!M90</f>
        <v>#NAME?</v>
      </c>
      <c r="M139" s="23" t="e">
        <f ca="1">'Annual Raw'!N87+'Annual Raw'!N88+'Annual Raw'!N89+'Annual Raw'!N90</f>
        <v>#NAME?</v>
      </c>
      <c r="N139" s="23" t="e">
        <f ca="1">'Annual Raw'!O87+'Annual Raw'!O88+'Annual Raw'!O89+'Annual Raw'!O90</f>
        <v>#NAME?</v>
      </c>
      <c r="O139" s="23" t="e">
        <f ca="1">'Annual Raw'!P87+'Annual Raw'!P88+'Annual Raw'!P89+'Annual Raw'!P90</f>
        <v>#NAME?</v>
      </c>
      <c r="P139" s="23" t="e">
        <f ca="1">'Annual Raw'!Q87+'Annual Raw'!Q88+'Annual Raw'!Q89+'Annual Raw'!Q90</f>
        <v>#NAME?</v>
      </c>
      <c r="Q139" s="23" t="e">
        <f ca="1">'Annual Raw'!R87+'Annual Raw'!R88+'Annual Raw'!R89+'Annual Raw'!R90</f>
        <v>#NAME?</v>
      </c>
      <c r="R139" s="23" t="e">
        <f ca="1">'Annual Raw'!S87+'Annual Raw'!S88+'Annual Raw'!S89+'Annual Raw'!S90</f>
        <v>#NAME?</v>
      </c>
      <c r="S139" s="23" t="e">
        <f ca="1">'Annual Raw'!T87+'Annual Raw'!T88+'Annual Raw'!T89+'Annual Raw'!T90</f>
        <v>#NAME?</v>
      </c>
      <c r="T139" s="23" t="e">
        <f ca="1">'Annual Raw'!U87+'Annual Raw'!U88+'Annual Raw'!U89+'Annual Raw'!U90</f>
        <v>#NAME?</v>
      </c>
      <c r="U139" s="23" t="e">
        <f ca="1">'Annual Raw'!V87+'Annual Raw'!V88+'Annual Raw'!V89+'Annual Raw'!V90</f>
        <v>#NAME?</v>
      </c>
      <c r="V139" s="23" t="e">
        <f ca="1">'Annual Raw'!W87+'Annual Raw'!W88+'Annual Raw'!W89+'Annual Raw'!W90</f>
        <v>#NAME?</v>
      </c>
      <c r="W139" s="23" t="e">
        <f ca="1">'Annual Raw'!X87+'Annual Raw'!X88+'Annual Raw'!X89+'Annual Raw'!X90</f>
        <v>#NAME?</v>
      </c>
      <c r="X139" s="23" t="e">
        <f ca="1">'Annual Raw'!Y87+'Annual Raw'!Y88+'Annual Raw'!Y89+'Annual Raw'!Y90</f>
        <v>#NAME?</v>
      </c>
      <c r="Y139" s="23" t="e">
        <f ca="1">'Annual Raw'!Z87+'Annual Raw'!Z88+'Annual Raw'!Z89+'Annual Raw'!Z90</f>
        <v>#NAME?</v>
      </c>
      <c r="Z139" s="23" t="e">
        <f ca="1">'Annual Raw'!AA87+'Annual Raw'!AA88+'Annual Raw'!AA89+'Annual Raw'!AA90</f>
        <v>#NAME?</v>
      </c>
      <c r="AA139" s="23" t="e">
        <f ca="1">'Annual Raw'!AB87+'Annual Raw'!AB88+'Annual Raw'!AB89+'Annual Raw'!AB90</f>
        <v>#NAME?</v>
      </c>
      <c r="AB139" s="24" t="e">
        <f t="shared" ca="1" si="1162"/>
        <v>#NAME?</v>
      </c>
      <c r="AC139" s="24" t="e">
        <f t="shared" ca="1" si="1163"/>
        <v>#NAME?</v>
      </c>
      <c r="AD139" s="24" t="e">
        <f t="shared" ca="1" si="1164"/>
        <v>#NAME?</v>
      </c>
      <c r="AE139" s="24" t="e">
        <f t="shared" ca="1" si="1165"/>
        <v>#NAME?</v>
      </c>
      <c r="AJ139" s="23" t="e">
        <f ca="1">+'QTR Raw'!D90</f>
        <v>#NAME?</v>
      </c>
      <c r="AK139" s="23" t="e">
        <f t="shared" ca="1" si="1166"/>
        <v>#NAME?</v>
      </c>
      <c r="AL139" s="23" t="e">
        <f ca="1">+'QTR Raw'!F90</f>
        <v>#NAME?</v>
      </c>
      <c r="AM139" s="23" t="e">
        <f t="shared" ca="1" si="1166"/>
        <v>#NAME?</v>
      </c>
      <c r="AN139" s="23" t="e">
        <f ca="1">+'QTR Raw'!H90</f>
        <v>#NAME?</v>
      </c>
      <c r="AO139" s="23" t="e">
        <f t="shared" ca="1" si="1166"/>
        <v>#NAME?</v>
      </c>
      <c r="AP139" s="23" t="e">
        <f ca="1">+'QTR Raw'!J90</f>
        <v>#NAME?</v>
      </c>
      <c r="AQ139" s="23" t="e">
        <f t="shared" ca="1" si="1166"/>
        <v>#NAME?</v>
      </c>
      <c r="AR139" s="23" t="e">
        <f ca="1">+'QTR Raw'!L90</f>
        <v>#NAME?</v>
      </c>
      <c r="AS139" s="23" t="e">
        <f t="shared" ca="1" si="1166"/>
        <v>#NAME?</v>
      </c>
      <c r="AT139" s="23" t="e">
        <f ca="1">+'QTR Raw'!N90</f>
        <v>#NAME?</v>
      </c>
      <c r="AU139" s="23" t="e">
        <f t="shared" ca="1" si="1166"/>
        <v>#NAME?</v>
      </c>
      <c r="AV139" s="23" t="e">
        <f ca="1">+'QTR Raw'!P90</f>
        <v>#NAME?</v>
      </c>
      <c r="AW139" s="23" t="e">
        <f t="shared" ca="1" si="1166"/>
        <v>#NAME?</v>
      </c>
      <c r="AX139" s="23" t="e">
        <f ca="1">+'QTR Raw'!R90</f>
        <v>#NAME?</v>
      </c>
      <c r="AY139" s="23" t="e">
        <f t="shared" ca="1" si="1166"/>
        <v>#NAME?</v>
      </c>
      <c r="AZ139" s="23" t="e">
        <f ca="1">+'QTR Raw'!T90</f>
        <v>#NAME?</v>
      </c>
      <c r="BA139" s="23" t="e">
        <f t="shared" ca="1" si="1166"/>
        <v>#NAME?</v>
      </c>
      <c r="BB139" s="23" t="e">
        <f ca="1">+'QTR Raw'!V90</f>
        <v>#NAME?</v>
      </c>
      <c r="BC139" s="23" t="e">
        <f t="shared" ca="1" si="1166"/>
        <v>#NAME?</v>
      </c>
      <c r="BD139" s="23" t="e">
        <f ca="1">+'QTR Raw'!X90</f>
        <v>#NAME?</v>
      </c>
      <c r="BE139" s="23" t="e">
        <f t="shared" ca="1" si="1166"/>
        <v>#NAME?</v>
      </c>
      <c r="BF139" s="23" t="e">
        <f ca="1">+'QTR Raw'!Z90</f>
        <v>#NAME?</v>
      </c>
      <c r="BG139" s="23" t="e">
        <f t="shared" ca="1" si="1166"/>
        <v>#NAME?</v>
      </c>
      <c r="BH139" s="22" t="e">
        <f ca="1">+'QTR Raw'!AB90</f>
        <v>#NAME?</v>
      </c>
      <c r="BI139" s="23" t="e">
        <f t="shared" ca="1" si="1166"/>
        <v>#NAME?</v>
      </c>
      <c r="BJ139" s="23" t="e">
        <f ca="1">+'QTR Raw'!AD90</f>
        <v>#NAME?</v>
      </c>
      <c r="BK139" s="23" t="e">
        <f t="shared" ca="1" si="1166"/>
        <v>#NAME?</v>
      </c>
      <c r="BL139" s="23" t="e">
        <f ca="1">+'QTR Raw'!AF90</f>
        <v>#NAME?</v>
      </c>
      <c r="BM139" s="23" t="e">
        <f t="shared" ca="1" si="1166"/>
        <v>#NAME?</v>
      </c>
      <c r="BN139" s="23" t="e">
        <f ca="1">+'QTR Raw'!AH90</f>
        <v>#NAME?</v>
      </c>
      <c r="BO139" s="23" t="e">
        <f t="shared" ca="1" si="1166"/>
        <v>#NAME?</v>
      </c>
      <c r="BP139" s="23" t="e">
        <f ca="1">+'QTR Raw'!AJ90</f>
        <v>#NAME?</v>
      </c>
      <c r="BQ139" s="23" t="e">
        <f t="shared" ca="1" si="1166"/>
        <v>#NAME?</v>
      </c>
      <c r="BR139" s="23" t="e">
        <f ca="1">+'QTR Raw'!AL90</f>
        <v>#NAME?</v>
      </c>
      <c r="BS139" s="23" t="e">
        <f t="shared" ca="1" si="1166"/>
        <v>#NAME?</v>
      </c>
      <c r="BT139" s="23" t="e">
        <f ca="1">+'QTR Raw'!AN90</f>
        <v>#NAME?</v>
      </c>
      <c r="BU139" s="23" t="e">
        <f t="shared" ca="1" si="1166"/>
        <v>#NAME?</v>
      </c>
      <c r="BV139" s="23" t="e">
        <f ca="1">+'QTR Raw'!AP90</f>
        <v>#NAME?</v>
      </c>
      <c r="BW139" s="23" t="e">
        <f t="shared" ca="1" si="1166"/>
        <v>#NAME?</v>
      </c>
      <c r="BX139" s="23" t="e">
        <f ca="1">+'QTR Raw'!AR90</f>
        <v>#NAME?</v>
      </c>
      <c r="BY139" s="23" t="e">
        <f t="shared" ca="1" si="1166"/>
        <v>#NAME?</v>
      </c>
      <c r="BZ139" s="23" t="e">
        <f ca="1">+'QTR Raw'!AT90</f>
        <v>#NAME?</v>
      </c>
      <c r="CA139" s="23" t="e">
        <f t="shared" ca="1" si="1166"/>
        <v>#NAME?</v>
      </c>
      <c r="CB139" s="23" t="e">
        <f ca="1">+'QTR Raw'!AV90</f>
        <v>#NAME?</v>
      </c>
      <c r="CC139" s="23" t="e">
        <f t="shared" ca="1" si="1166"/>
        <v>#NAME?</v>
      </c>
      <c r="CD139" s="23" t="e">
        <f ca="1">+'QTR Raw'!AX90</f>
        <v>#NAME?</v>
      </c>
      <c r="CE139" s="23" t="e">
        <f t="shared" ca="1" si="1167"/>
        <v>#NAME?</v>
      </c>
      <c r="CF139" s="23" t="e">
        <f ca="1">+'QTR Raw'!AZ90</f>
        <v>#NAME?</v>
      </c>
      <c r="CG139" s="23" t="e">
        <f t="shared" ca="1" si="1168"/>
        <v>#NAME?</v>
      </c>
      <c r="CH139" s="23" t="e">
        <f ca="1">+Z139</f>
        <v>#NAME?</v>
      </c>
      <c r="CI139" s="23" t="e">
        <f t="shared" ca="1" si="1168"/>
        <v>#NAME?</v>
      </c>
      <c r="CJ139" s="23" t="e">
        <f ca="1">+'QTR Raw'!BD90</f>
        <v>#NAME?</v>
      </c>
      <c r="CK139" s="23" t="e">
        <f t="shared" ca="1" si="1169"/>
        <v>#NAME?</v>
      </c>
      <c r="CL139" s="23" t="e">
        <f ca="1">+'QTR Raw'!BF90</f>
        <v>#NAME?</v>
      </c>
      <c r="CM139" s="24" t="e">
        <f t="shared" ca="1" si="1170"/>
        <v>#NAME?</v>
      </c>
      <c r="CN139" s="24" t="e">
        <f t="shared" ca="1" si="1171"/>
        <v>#NAME?</v>
      </c>
      <c r="CO139" s="24" t="e">
        <f t="shared" ca="1" si="1172"/>
        <v>#NAME?</v>
      </c>
      <c r="CP139" s="24" t="e">
        <f t="shared" ca="1" si="1173"/>
        <v>#NAME?</v>
      </c>
      <c r="CQ139" s="24" t="e">
        <f t="shared" ca="1" si="1174"/>
        <v>#NAME?</v>
      </c>
      <c r="CR139" s="24" t="e">
        <f t="shared" ca="1" si="1175"/>
        <v>#NAME?</v>
      </c>
      <c r="CS139" s="24" t="e">
        <f t="shared" ca="1" si="1176"/>
        <v>#NAME?</v>
      </c>
      <c r="CT139" s="24" t="e">
        <f t="shared" ca="1" si="1177"/>
        <v>#NAME?</v>
      </c>
      <c r="CU139" s="24" t="e">
        <f t="shared" ca="1" si="1178"/>
        <v>#NAME?</v>
      </c>
      <c r="CV139" s="24" t="e">
        <f t="shared" ca="1" si="1179"/>
        <v>#NAME?</v>
      </c>
      <c r="CW139" s="24" t="e">
        <f t="shared" ca="1" si="1180"/>
        <v>#NAME?</v>
      </c>
      <c r="CX139" s="24" t="e">
        <f t="shared" ca="1" si="1181"/>
        <v>#NAME?</v>
      </c>
      <c r="CY139" s="24" t="e">
        <f t="shared" ca="1" si="1182"/>
        <v>#NAME?</v>
      </c>
      <c r="CZ139" s="24" t="e">
        <f t="shared" ca="1" si="1183"/>
        <v>#NAME?</v>
      </c>
      <c r="DA139" s="24" t="e">
        <f t="shared" ca="1" si="1184"/>
        <v>#NAME?</v>
      </c>
      <c r="DB139" s="24" t="e">
        <f t="shared" ca="1" si="1185"/>
        <v>#NAME?</v>
      </c>
      <c r="DE139" s="123"/>
      <c r="DF139" s="23">
        <v>0</v>
      </c>
    </row>
    <row r="140" spans="1:110" s="23" customFormat="1" outlineLevel="1" x14ac:dyDescent="0.2">
      <c r="A140" s="23" t="s">
        <v>48</v>
      </c>
      <c r="B140" s="23" t="e">
        <f ca="1">'Annual Raw'!C56</f>
        <v>#NAME?</v>
      </c>
      <c r="C140" s="23" t="e">
        <f ca="1">'Annual Raw'!D56</f>
        <v>#NAME?</v>
      </c>
      <c r="D140" s="23" t="e">
        <f ca="1">'Annual Raw'!E56</f>
        <v>#NAME?</v>
      </c>
      <c r="E140" s="23" t="e">
        <f ca="1">'Annual Raw'!F56</f>
        <v>#NAME?</v>
      </c>
      <c r="F140" s="23" t="e">
        <f ca="1">'Annual Raw'!G56</f>
        <v>#NAME?</v>
      </c>
      <c r="G140" s="23" t="e">
        <f ca="1">'Annual Raw'!H56</f>
        <v>#NAME?</v>
      </c>
      <c r="H140" s="23" t="e">
        <f ca="1">'Annual Raw'!I56</f>
        <v>#NAME?</v>
      </c>
      <c r="I140" s="23" t="e">
        <f ca="1">'Annual Raw'!J56</f>
        <v>#NAME?</v>
      </c>
      <c r="J140" s="23" t="e">
        <f ca="1">'Annual Raw'!K56</f>
        <v>#NAME?</v>
      </c>
      <c r="K140" s="23" t="e">
        <f ca="1">'Annual Raw'!L56</f>
        <v>#NAME?</v>
      </c>
      <c r="L140" s="23" t="e">
        <f ca="1">'Annual Raw'!M56</f>
        <v>#NAME?</v>
      </c>
      <c r="M140" s="23" t="e">
        <f ca="1">'Annual Raw'!N56</f>
        <v>#NAME?</v>
      </c>
      <c r="N140" s="23" t="e">
        <f ca="1">'Annual Raw'!O56</f>
        <v>#NAME?</v>
      </c>
      <c r="O140" s="23" t="e">
        <f ca="1">'Annual Raw'!P56</f>
        <v>#NAME?</v>
      </c>
      <c r="P140" s="23" t="e">
        <f ca="1">'Annual Raw'!Q56</f>
        <v>#NAME?</v>
      </c>
      <c r="Q140" s="23" t="e">
        <f ca="1">'Annual Raw'!R56</f>
        <v>#NAME?</v>
      </c>
      <c r="R140" s="23" t="e">
        <f ca="1">'Annual Raw'!S56</f>
        <v>#NAME?</v>
      </c>
      <c r="S140" s="23" t="e">
        <f ca="1">'Annual Raw'!T56</f>
        <v>#NAME?</v>
      </c>
      <c r="T140" s="23" t="e">
        <f ca="1">'Annual Raw'!U56</f>
        <v>#NAME?</v>
      </c>
      <c r="U140" s="23" t="e">
        <f ca="1">'Annual Raw'!V56</f>
        <v>#NAME?</v>
      </c>
      <c r="V140" s="23" t="e">
        <f ca="1">'Annual Raw'!W56</f>
        <v>#NAME?</v>
      </c>
      <c r="W140" s="23" t="e">
        <f ca="1">'Annual Raw'!X56</f>
        <v>#NAME?</v>
      </c>
      <c r="X140" s="23" t="e">
        <f ca="1">'Annual Raw'!Y56</f>
        <v>#NAME?</v>
      </c>
      <c r="Y140" s="23" t="e">
        <f ca="1">'Annual Raw'!Z56</f>
        <v>#NAME?</v>
      </c>
      <c r="Z140" s="23" t="e">
        <f ca="1">'Annual Raw'!AA56</f>
        <v>#NAME?</v>
      </c>
      <c r="AA140" s="23" t="e">
        <f ca="1">'Annual Raw'!AB56</f>
        <v>#NAME?</v>
      </c>
      <c r="AB140" s="24" t="e">
        <f t="shared" ca="1" si="1162"/>
        <v>#NAME?</v>
      </c>
      <c r="AC140" s="24" t="e">
        <f t="shared" ca="1" si="1163"/>
        <v>#NAME?</v>
      </c>
      <c r="AD140" s="24" t="e">
        <f t="shared" ca="1" si="1164"/>
        <v>#NAME?</v>
      </c>
      <c r="AE140" s="24" t="e">
        <f t="shared" ca="1" si="1165"/>
        <v>#NAME?</v>
      </c>
      <c r="AJ140" s="23" t="e">
        <f ca="1">+'QTR Raw'!D88</f>
        <v>#NAME?</v>
      </c>
      <c r="AK140" s="23" t="e">
        <f t="shared" ca="1" si="1166"/>
        <v>#NAME?</v>
      </c>
      <c r="AL140" s="23" t="e">
        <f ca="1">+'QTR Raw'!F88</f>
        <v>#NAME?</v>
      </c>
      <c r="AM140" s="23" t="e">
        <f t="shared" ca="1" si="1166"/>
        <v>#NAME?</v>
      </c>
      <c r="AN140" s="23" t="e">
        <f ca="1">+'QTR Raw'!H88</f>
        <v>#NAME?</v>
      </c>
      <c r="AO140" s="23" t="e">
        <f t="shared" ca="1" si="1166"/>
        <v>#NAME?</v>
      </c>
      <c r="AP140" s="23" t="e">
        <f ca="1">+'QTR Raw'!J88</f>
        <v>#NAME?</v>
      </c>
      <c r="AQ140" s="23" t="e">
        <f t="shared" ca="1" si="1166"/>
        <v>#NAME?</v>
      </c>
      <c r="AR140" s="23" t="e">
        <f ca="1">+'QTR Raw'!L88</f>
        <v>#NAME?</v>
      </c>
      <c r="AS140" s="23" t="e">
        <f t="shared" ca="1" si="1166"/>
        <v>#NAME?</v>
      </c>
      <c r="AT140" s="23" t="e">
        <f ca="1">+'QTR Raw'!N88</f>
        <v>#NAME?</v>
      </c>
      <c r="AU140" s="23" t="e">
        <f t="shared" ca="1" si="1166"/>
        <v>#NAME?</v>
      </c>
      <c r="AV140" s="23" t="e">
        <f ca="1">+'QTR Raw'!P88</f>
        <v>#NAME?</v>
      </c>
      <c r="AW140" s="23" t="e">
        <f t="shared" ca="1" si="1166"/>
        <v>#NAME?</v>
      </c>
      <c r="AX140" s="23" t="e">
        <f ca="1">+'QTR Raw'!R88</f>
        <v>#NAME?</v>
      </c>
      <c r="AY140" s="23" t="e">
        <f t="shared" ca="1" si="1166"/>
        <v>#NAME?</v>
      </c>
      <c r="AZ140" s="23" t="e">
        <f ca="1">+'QTR Raw'!T88</f>
        <v>#NAME?</v>
      </c>
      <c r="BA140" s="23" t="e">
        <f t="shared" ca="1" si="1166"/>
        <v>#NAME?</v>
      </c>
      <c r="BB140" s="23" t="e">
        <f ca="1">+'QTR Raw'!V88</f>
        <v>#NAME?</v>
      </c>
      <c r="BC140" s="23" t="e">
        <f t="shared" ca="1" si="1166"/>
        <v>#NAME?</v>
      </c>
      <c r="BD140" s="23" t="e">
        <f ca="1">+'QTR Raw'!X88</f>
        <v>#NAME?</v>
      </c>
      <c r="BE140" s="23" t="e">
        <f t="shared" ca="1" si="1166"/>
        <v>#NAME?</v>
      </c>
      <c r="BF140" s="23" t="e">
        <f ca="1">+'QTR Raw'!Z88</f>
        <v>#NAME?</v>
      </c>
      <c r="BG140" s="23" t="e">
        <f t="shared" ca="1" si="1166"/>
        <v>#NAME?</v>
      </c>
      <c r="BH140" s="23" t="e">
        <f ca="1">+'QTR Raw'!AB88</f>
        <v>#NAME?</v>
      </c>
      <c r="BI140" s="23" t="e">
        <f t="shared" ca="1" si="1166"/>
        <v>#NAME?</v>
      </c>
      <c r="BJ140" s="23" t="e">
        <f ca="1">+'QTR Raw'!AD88</f>
        <v>#NAME?</v>
      </c>
      <c r="BK140" s="23" t="e">
        <f t="shared" ca="1" si="1166"/>
        <v>#NAME?</v>
      </c>
      <c r="BL140" s="23" t="e">
        <f ca="1">+'QTR Raw'!AF88</f>
        <v>#NAME?</v>
      </c>
      <c r="BM140" s="23" t="e">
        <f t="shared" ca="1" si="1166"/>
        <v>#NAME?</v>
      </c>
      <c r="BN140" s="23" t="e">
        <f ca="1">+'QTR Raw'!AH88</f>
        <v>#NAME?</v>
      </c>
      <c r="BO140" s="23" t="e">
        <f t="shared" ca="1" si="1166"/>
        <v>#NAME?</v>
      </c>
      <c r="BP140" s="23" t="e">
        <f ca="1">+'QTR Raw'!AJ88</f>
        <v>#NAME?</v>
      </c>
      <c r="BQ140" s="23" t="e">
        <f t="shared" ca="1" si="1166"/>
        <v>#NAME?</v>
      </c>
      <c r="BR140" s="23" t="e">
        <f ca="1">+'QTR Raw'!AL88</f>
        <v>#NAME?</v>
      </c>
      <c r="BS140" s="23" t="e">
        <f t="shared" ca="1" si="1166"/>
        <v>#NAME?</v>
      </c>
      <c r="BT140" s="23" t="e">
        <f ca="1">+'QTR Raw'!AN88</f>
        <v>#NAME?</v>
      </c>
      <c r="BU140" s="23" t="e">
        <f t="shared" ca="1" si="1166"/>
        <v>#NAME?</v>
      </c>
      <c r="BV140" s="23" t="e">
        <f ca="1">+'QTR Raw'!AP88</f>
        <v>#NAME?</v>
      </c>
      <c r="BW140" s="23" t="e">
        <f t="shared" ca="1" si="1166"/>
        <v>#NAME?</v>
      </c>
      <c r="BX140" s="23" t="e">
        <f ca="1">+'QTR Raw'!AR88</f>
        <v>#NAME?</v>
      </c>
      <c r="BY140" s="23" t="e">
        <f t="shared" ca="1" si="1166"/>
        <v>#NAME?</v>
      </c>
      <c r="BZ140" s="23" t="e">
        <f ca="1">+'QTR Raw'!AT88</f>
        <v>#NAME?</v>
      </c>
      <c r="CA140" s="23" t="e">
        <f t="shared" ca="1" si="1166"/>
        <v>#NAME?</v>
      </c>
      <c r="CB140" s="23" t="e">
        <f ca="1">+'QTR Raw'!AV88</f>
        <v>#NAME?</v>
      </c>
      <c r="CC140" s="23" t="e">
        <f t="shared" ca="1" si="1166"/>
        <v>#NAME?</v>
      </c>
      <c r="CD140" s="23" t="e">
        <f ca="1">+'QTR Raw'!AX88</f>
        <v>#NAME?</v>
      </c>
      <c r="CE140" s="23" t="e">
        <f t="shared" ca="1" si="1167"/>
        <v>#NAME?</v>
      </c>
      <c r="CF140" s="23" t="e">
        <f ca="1">+'QTR Raw'!AZ88</f>
        <v>#NAME?</v>
      </c>
      <c r="CG140" s="23" t="e">
        <f t="shared" ca="1" si="1168"/>
        <v>#NAME?</v>
      </c>
      <c r="CH140" s="23" t="e">
        <f t="shared" ca="1" si="1144"/>
        <v>#NAME?</v>
      </c>
      <c r="CI140" s="23" t="e">
        <f t="shared" ca="1" si="1168"/>
        <v>#NAME?</v>
      </c>
      <c r="CJ140" s="23" t="e">
        <f ca="1">+'QTR Raw'!BD88</f>
        <v>#NAME?</v>
      </c>
      <c r="CK140" s="23" t="e">
        <f t="shared" ca="1" si="1169"/>
        <v>#NAME?</v>
      </c>
      <c r="CL140" s="23" t="e">
        <f ca="1">+'QTR Raw'!BF88</f>
        <v>#NAME?</v>
      </c>
      <c r="CM140" s="24" t="e">
        <f t="shared" ca="1" si="1170"/>
        <v>#NAME?</v>
      </c>
      <c r="CN140" s="24" t="e">
        <f t="shared" ca="1" si="1171"/>
        <v>#NAME?</v>
      </c>
      <c r="CO140" s="24" t="e">
        <f t="shared" ca="1" si="1172"/>
        <v>#NAME?</v>
      </c>
      <c r="CP140" s="24" t="e">
        <f t="shared" ca="1" si="1173"/>
        <v>#NAME?</v>
      </c>
      <c r="CQ140" s="24" t="e">
        <f t="shared" ca="1" si="1174"/>
        <v>#NAME?</v>
      </c>
      <c r="CR140" s="24" t="e">
        <f t="shared" ca="1" si="1175"/>
        <v>#NAME?</v>
      </c>
      <c r="CS140" s="24" t="e">
        <f t="shared" ca="1" si="1176"/>
        <v>#NAME?</v>
      </c>
      <c r="CT140" s="24" t="e">
        <f t="shared" ca="1" si="1177"/>
        <v>#NAME?</v>
      </c>
      <c r="CU140" s="24" t="e">
        <f t="shared" ca="1" si="1178"/>
        <v>#NAME?</v>
      </c>
      <c r="CV140" s="24" t="e">
        <f t="shared" ca="1" si="1179"/>
        <v>#NAME?</v>
      </c>
      <c r="CW140" s="24" t="e">
        <f t="shared" ca="1" si="1180"/>
        <v>#NAME?</v>
      </c>
      <c r="CX140" s="24" t="e">
        <f t="shared" ca="1" si="1181"/>
        <v>#NAME?</v>
      </c>
      <c r="CY140" s="24" t="e">
        <f t="shared" ca="1" si="1182"/>
        <v>#NAME?</v>
      </c>
      <c r="CZ140" s="24" t="e">
        <f t="shared" ca="1" si="1183"/>
        <v>#NAME?</v>
      </c>
      <c r="DA140" s="24" t="e">
        <f t="shared" ca="1" si="1184"/>
        <v>#NAME?</v>
      </c>
      <c r="DB140" s="24" t="e">
        <f t="shared" ca="1" si="1185"/>
        <v>#NAME?</v>
      </c>
      <c r="DE140" s="123"/>
      <c r="DF140" s="23">
        <v>7.99</v>
      </c>
    </row>
    <row r="141" spans="1:110" s="22" customFormat="1" x14ac:dyDescent="0.2">
      <c r="A141" s="22" t="s">
        <v>49</v>
      </c>
      <c r="B141" s="22" t="e">
        <f ca="1">SUM(B137:B140)</f>
        <v>#NAME?</v>
      </c>
      <c r="C141" s="22" t="e">
        <f t="shared" ref="C141:V141" ca="1" si="1186">SUM(C137:C140)</f>
        <v>#NAME?</v>
      </c>
      <c r="D141" s="22" t="e">
        <f t="shared" ca="1" si="1186"/>
        <v>#NAME?</v>
      </c>
      <c r="E141" s="22" t="e">
        <f t="shared" ca="1" si="1186"/>
        <v>#NAME?</v>
      </c>
      <c r="F141" s="22" t="e">
        <f t="shared" ca="1" si="1186"/>
        <v>#NAME?</v>
      </c>
      <c r="G141" s="22" t="e">
        <f t="shared" ca="1" si="1186"/>
        <v>#NAME?</v>
      </c>
      <c r="H141" s="22" t="e">
        <f t="shared" ca="1" si="1186"/>
        <v>#NAME?</v>
      </c>
      <c r="I141" s="22" t="e">
        <f t="shared" ca="1" si="1186"/>
        <v>#NAME?</v>
      </c>
      <c r="J141" s="22" t="e">
        <f t="shared" ca="1" si="1186"/>
        <v>#NAME?</v>
      </c>
      <c r="K141" s="22" t="e">
        <f t="shared" ca="1" si="1186"/>
        <v>#NAME?</v>
      </c>
      <c r="L141" s="22" t="e">
        <f t="shared" ca="1" si="1186"/>
        <v>#NAME?</v>
      </c>
      <c r="M141" s="22" t="e">
        <f t="shared" ca="1" si="1186"/>
        <v>#NAME?</v>
      </c>
      <c r="N141" s="22" t="e">
        <f t="shared" ca="1" si="1186"/>
        <v>#NAME?</v>
      </c>
      <c r="O141" s="22" t="e">
        <f t="shared" ca="1" si="1186"/>
        <v>#NAME?</v>
      </c>
      <c r="P141" s="22" t="e">
        <f t="shared" ca="1" si="1186"/>
        <v>#NAME?</v>
      </c>
      <c r="Q141" s="22" t="e">
        <f t="shared" ca="1" si="1186"/>
        <v>#NAME?</v>
      </c>
      <c r="R141" s="22" t="e">
        <f t="shared" ca="1" si="1186"/>
        <v>#NAME?</v>
      </c>
      <c r="S141" s="22" t="e">
        <f t="shared" ca="1" si="1186"/>
        <v>#NAME?</v>
      </c>
      <c r="T141" s="22" t="e">
        <f t="shared" ca="1" si="1186"/>
        <v>#NAME?</v>
      </c>
      <c r="U141" s="22" t="e">
        <f t="shared" ca="1" si="1186"/>
        <v>#NAME?</v>
      </c>
      <c r="V141" s="22" t="e">
        <f t="shared" ca="1" si="1186"/>
        <v>#NAME?</v>
      </c>
      <c r="W141" s="22" t="e">
        <f t="shared" ref="W141" ca="1" si="1187">SUM(W137:W140)</f>
        <v>#NAME?</v>
      </c>
      <c r="X141" s="22" t="e">
        <f t="shared" ref="X141:Y141" ca="1" si="1188">SUM(X137:X140)</f>
        <v>#NAME?</v>
      </c>
      <c r="Y141" s="22" t="e">
        <f t="shared" ca="1" si="1188"/>
        <v>#NAME?</v>
      </c>
      <c r="Z141" s="22" t="e">
        <f t="shared" ref="Z141:AA141" ca="1" si="1189">SUM(Z137:Z140)</f>
        <v>#NAME?</v>
      </c>
      <c r="AA141" s="22" t="e">
        <f t="shared" ca="1" si="1189"/>
        <v>#NAME?</v>
      </c>
      <c r="AB141" s="21" t="e">
        <f t="shared" ref="AA141:AD141" ca="1" si="1190">SUM(AB137:AB140)</f>
        <v>#NAME?</v>
      </c>
      <c r="AC141" s="21" t="e">
        <f t="shared" ca="1" si="1190"/>
        <v>#NAME?</v>
      </c>
      <c r="AD141" s="21" t="e">
        <f t="shared" ca="1" si="1190"/>
        <v>#NAME?</v>
      </c>
      <c r="AE141" s="21" t="e">
        <f t="shared" ref="AE141" ca="1" si="1191">SUM(AE137:AE140)</f>
        <v>#NAME?</v>
      </c>
      <c r="AJ141" s="22" t="e">
        <f t="shared" ref="AJ141" ca="1" si="1192">SUM(AJ137:AJ140)</f>
        <v>#NAME?</v>
      </c>
      <c r="AK141" s="22" t="e">
        <f t="shared" ref="AK141" ca="1" si="1193">SUM(AK137:AK140)</f>
        <v>#NAME?</v>
      </c>
      <c r="AL141" s="22" t="e">
        <f t="shared" ref="AL141:AM141" ca="1" si="1194">SUM(AL137:AL140)</f>
        <v>#NAME?</v>
      </c>
      <c r="AM141" s="22" t="e">
        <f t="shared" ca="1" si="1194"/>
        <v>#NAME?</v>
      </c>
      <c r="AN141" s="22" t="e">
        <f t="shared" ref="AN141:AO141" ca="1" si="1195">SUM(AN137:AN140)</f>
        <v>#NAME?</v>
      </c>
      <c r="AO141" s="22" t="e">
        <f t="shared" ca="1" si="1195"/>
        <v>#NAME?</v>
      </c>
      <c r="AP141" s="22" t="e">
        <f t="shared" ref="AP141:CE141" ca="1" si="1196">SUM(AP137:AP140)</f>
        <v>#NAME?</v>
      </c>
      <c r="AQ141" s="22" t="e">
        <f t="shared" ca="1" si="1196"/>
        <v>#NAME?</v>
      </c>
      <c r="AR141" s="22" t="e">
        <f t="shared" ca="1" si="1196"/>
        <v>#NAME?</v>
      </c>
      <c r="AS141" s="22" t="e">
        <f t="shared" ca="1" si="1196"/>
        <v>#NAME?</v>
      </c>
      <c r="AT141" s="22" t="e">
        <f t="shared" ca="1" si="1196"/>
        <v>#NAME?</v>
      </c>
      <c r="AU141" s="22" t="e">
        <f t="shared" ca="1" si="1196"/>
        <v>#NAME?</v>
      </c>
      <c r="AV141" s="22" t="e">
        <f t="shared" ca="1" si="1196"/>
        <v>#NAME?</v>
      </c>
      <c r="AW141" s="22" t="e">
        <f t="shared" ca="1" si="1196"/>
        <v>#NAME?</v>
      </c>
      <c r="AX141" s="22" t="e">
        <f t="shared" ca="1" si="1196"/>
        <v>#NAME?</v>
      </c>
      <c r="AY141" s="22" t="e">
        <f t="shared" ca="1" si="1196"/>
        <v>#NAME?</v>
      </c>
      <c r="AZ141" s="22" t="e">
        <f t="shared" ca="1" si="1196"/>
        <v>#NAME?</v>
      </c>
      <c r="BA141" s="22" t="e">
        <f t="shared" ca="1" si="1196"/>
        <v>#NAME?</v>
      </c>
      <c r="BB141" s="22" t="e">
        <f t="shared" ca="1" si="1196"/>
        <v>#NAME?</v>
      </c>
      <c r="BC141" s="22" t="e">
        <f t="shared" ca="1" si="1196"/>
        <v>#NAME?</v>
      </c>
      <c r="BD141" s="22" t="e">
        <f t="shared" ca="1" si="1196"/>
        <v>#NAME?</v>
      </c>
      <c r="BE141" s="22" t="e">
        <f t="shared" ca="1" si="1196"/>
        <v>#NAME?</v>
      </c>
      <c r="BF141" s="22" t="e">
        <f t="shared" ca="1" si="1196"/>
        <v>#NAME?</v>
      </c>
      <c r="BG141" s="22" t="e">
        <f t="shared" ca="1" si="1196"/>
        <v>#NAME?</v>
      </c>
      <c r="BH141" s="22" t="e">
        <f t="shared" ref="BH141" ca="1" si="1197">SUM(BH137:BH140)</f>
        <v>#NAME?</v>
      </c>
      <c r="BI141" s="22" t="e">
        <f t="shared" ca="1" si="1196"/>
        <v>#NAME?</v>
      </c>
      <c r="BJ141" s="22" t="e">
        <f t="shared" ca="1" si="1196"/>
        <v>#NAME?</v>
      </c>
      <c r="BK141" s="22" t="e">
        <f t="shared" ca="1" si="1196"/>
        <v>#NAME?</v>
      </c>
      <c r="BL141" s="22" t="e">
        <f t="shared" ca="1" si="1196"/>
        <v>#NAME?</v>
      </c>
      <c r="BM141" s="22" t="e">
        <f t="shared" ca="1" si="1196"/>
        <v>#NAME?</v>
      </c>
      <c r="BN141" s="22" t="e">
        <f t="shared" ca="1" si="1196"/>
        <v>#NAME?</v>
      </c>
      <c r="BO141" s="22" t="e">
        <f t="shared" ca="1" si="1196"/>
        <v>#NAME?</v>
      </c>
      <c r="BP141" s="22" t="e">
        <f t="shared" ca="1" si="1196"/>
        <v>#NAME?</v>
      </c>
      <c r="BQ141" s="22" t="e">
        <f t="shared" ca="1" si="1196"/>
        <v>#NAME?</v>
      </c>
      <c r="BR141" s="22" t="e">
        <f t="shared" ca="1" si="1196"/>
        <v>#NAME?</v>
      </c>
      <c r="BS141" s="22" t="e">
        <f t="shared" ca="1" si="1196"/>
        <v>#NAME?</v>
      </c>
      <c r="BT141" s="22" t="e">
        <f t="shared" ca="1" si="1196"/>
        <v>#NAME?</v>
      </c>
      <c r="BU141" s="22" t="e">
        <f t="shared" ca="1" si="1196"/>
        <v>#NAME?</v>
      </c>
      <c r="BV141" s="22" t="e">
        <f t="shared" ca="1" si="1196"/>
        <v>#NAME?</v>
      </c>
      <c r="BW141" s="22" t="e">
        <f t="shared" ca="1" si="1196"/>
        <v>#NAME?</v>
      </c>
      <c r="BX141" s="22" t="e">
        <f t="shared" ca="1" si="1196"/>
        <v>#NAME?</v>
      </c>
      <c r="BY141" s="22" t="e">
        <f t="shared" ca="1" si="1196"/>
        <v>#NAME?</v>
      </c>
      <c r="BZ141" s="22" t="e">
        <f t="shared" ca="1" si="1196"/>
        <v>#NAME?</v>
      </c>
      <c r="CA141" s="22" t="e">
        <f t="shared" ca="1" si="1196"/>
        <v>#NAME?</v>
      </c>
      <c r="CB141" s="22" t="e">
        <f t="shared" ca="1" si="1196"/>
        <v>#NAME?</v>
      </c>
      <c r="CC141" s="22" t="e">
        <f t="shared" ca="1" si="1196"/>
        <v>#NAME?</v>
      </c>
      <c r="CD141" s="22" t="e">
        <f t="shared" ca="1" si="1196"/>
        <v>#NAME?</v>
      </c>
      <c r="CE141" s="22" t="e">
        <f t="shared" ca="1" si="1196"/>
        <v>#NAME?</v>
      </c>
      <c r="CF141" s="22" t="e">
        <f t="shared" ref="CF141:CG141" ca="1" si="1198">SUM(CF137:CF140)</f>
        <v>#NAME?</v>
      </c>
      <c r="CG141" s="22" t="e">
        <f t="shared" ca="1" si="1198"/>
        <v>#NAME?</v>
      </c>
      <c r="CH141" s="22" t="e">
        <f t="shared" ref="CH141:CI141" ca="1" si="1199">SUM(CH137:CH140)</f>
        <v>#NAME?</v>
      </c>
      <c r="CI141" s="22" t="e">
        <f t="shared" ca="1" si="1199"/>
        <v>#NAME?</v>
      </c>
      <c r="CJ141" s="22" t="e">
        <f t="shared" ref="CJ141:DB141" ca="1" si="1200">SUM(CJ137:CJ140)</f>
        <v>#NAME?</v>
      </c>
      <c r="CK141" s="22" t="e">
        <f t="shared" ca="1" si="1200"/>
        <v>#NAME?</v>
      </c>
      <c r="CL141" s="22" t="e">
        <f t="shared" ref="CL141" ca="1" si="1201">SUM(CL137:CL140)</f>
        <v>#NAME?</v>
      </c>
      <c r="CM141" s="21" t="e">
        <f t="shared" ca="1" si="1200"/>
        <v>#NAME?</v>
      </c>
      <c r="CN141" s="21" t="e">
        <f t="shared" ca="1" si="1200"/>
        <v>#NAME?</v>
      </c>
      <c r="CO141" s="21" t="e">
        <f t="shared" ca="1" si="1200"/>
        <v>#NAME?</v>
      </c>
      <c r="CP141" s="21" t="e">
        <f t="shared" ca="1" si="1200"/>
        <v>#NAME?</v>
      </c>
      <c r="CQ141" s="21" t="e">
        <f t="shared" ca="1" si="1200"/>
        <v>#NAME?</v>
      </c>
      <c r="CR141" s="21" t="e">
        <f t="shared" ca="1" si="1200"/>
        <v>#NAME?</v>
      </c>
      <c r="CS141" s="21" t="e">
        <f t="shared" ca="1" si="1200"/>
        <v>#NAME?</v>
      </c>
      <c r="CT141" s="21" t="e">
        <f t="shared" ca="1" si="1200"/>
        <v>#NAME?</v>
      </c>
      <c r="CU141" s="21" t="e">
        <f t="shared" ca="1" si="1200"/>
        <v>#NAME?</v>
      </c>
      <c r="CV141" s="21" t="e">
        <f t="shared" ca="1" si="1200"/>
        <v>#NAME?</v>
      </c>
      <c r="CW141" s="21" t="e">
        <f t="shared" ca="1" si="1200"/>
        <v>#NAME?</v>
      </c>
      <c r="CX141" s="21" t="e">
        <f t="shared" ca="1" si="1200"/>
        <v>#NAME?</v>
      </c>
      <c r="CY141" s="21" t="e">
        <f t="shared" ca="1" si="1200"/>
        <v>#NAME?</v>
      </c>
      <c r="CZ141" s="21" t="e">
        <f t="shared" ca="1" si="1200"/>
        <v>#NAME?</v>
      </c>
      <c r="DA141" s="21" t="e">
        <f t="shared" ca="1" si="1200"/>
        <v>#NAME?</v>
      </c>
      <c r="DB141" s="21" t="e">
        <f t="shared" ca="1" si="1200"/>
        <v>#NAME?</v>
      </c>
      <c r="DE141" s="126"/>
      <c r="DF141" s="22">
        <v>52.78</v>
      </c>
    </row>
    <row r="142" spans="1:110" s="26" customFormat="1" x14ac:dyDescent="0.2">
      <c r="A142" s="26" t="s">
        <v>437</v>
      </c>
      <c r="B142" s="26" t="e">
        <f ca="1">B141+B133+B135</f>
        <v>#NAME?</v>
      </c>
      <c r="C142" s="26" t="e">
        <f t="shared" ref="C142:V142" ca="1" si="1202">C141+C133+C135</f>
        <v>#NAME?</v>
      </c>
      <c r="D142" s="26" t="e">
        <f ca="1">D141+D133+D135</f>
        <v>#NAME?</v>
      </c>
      <c r="E142" s="26" t="e">
        <f t="shared" ca="1" si="1202"/>
        <v>#NAME?</v>
      </c>
      <c r="F142" s="26" t="e">
        <f t="shared" ca="1" si="1202"/>
        <v>#NAME?</v>
      </c>
      <c r="G142" s="26" t="e">
        <f t="shared" ca="1" si="1202"/>
        <v>#NAME?</v>
      </c>
      <c r="H142" s="26" t="e">
        <f t="shared" ca="1" si="1202"/>
        <v>#NAME?</v>
      </c>
      <c r="I142" s="26" t="e">
        <f t="shared" ca="1" si="1202"/>
        <v>#NAME?</v>
      </c>
      <c r="J142" s="26" t="e">
        <f t="shared" ca="1" si="1202"/>
        <v>#NAME?</v>
      </c>
      <c r="K142" s="26" t="e">
        <f t="shared" ca="1" si="1202"/>
        <v>#NAME?</v>
      </c>
      <c r="L142" s="26" t="e">
        <f t="shared" ca="1" si="1202"/>
        <v>#NAME?</v>
      </c>
      <c r="M142" s="26" t="e">
        <f t="shared" ca="1" si="1202"/>
        <v>#NAME?</v>
      </c>
      <c r="N142" s="26" t="e">
        <f t="shared" ca="1" si="1202"/>
        <v>#NAME?</v>
      </c>
      <c r="O142" s="26" t="e">
        <f t="shared" ca="1" si="1202"/>
        <v>#NAME?</v>
      </c>
      <c r="P142" s="26" t="e">
        <f t="shared" ca="1" si="1202"/>
        <v>#NAME?</v>
      </c>
      <c r="Q142" s="26" t="e">
        <f t="shared" ca="1" si="1202"/>
        <v>#NAME?</v>
      </c>
      <c r="R142" s="26" t="e">
        <f t="shared" ca="1" si="1202"/>
        <v>#NAME?</v>
      </c>
      <c r="S142" s="26" t="e">
        <f t="shared" ca="1" si="1202"/>
        <v>#NAME?</v>
      </c>
      <c r="T142" s="26" t="e">
        <f t="shared" ca="1" si="1202"/>
        <v>#NAME?</v>
      </c>
      <c r="U142" s="26" t="e">
        <f t="shared" ca="1" si="1202"/>
        <v>#NAME?</v>
      </c>
      <c r="V142" s="26" t="e">
        <f t="shared" ca="1" si="1202"/>
        <v>#NAME?</v>
      </c>
      <c r="W142" s="26" t="e">
        <f t="shared" ref="W142" ca="1" si="1203">W141+W133+W135</f>
        <v>#NAME?</v>
      </c>
      <c r="X142" s="26" t="e">
        <f t="shared" ref="X142:Y142" ca="1" si="1204">X141+X133+X135</f>
        <v>#NAME?</v>
      </c>
      <c r="Y142" s="26" t="e">
        <f t="shared" ca="1" si="1204"/>
        <v>#NAME?</v>
      </c>
      <c r="Z142" s="26" t="e">
        <f t="shared" ref="Z142:AA142" ca="1" si="1205">Z141+Z133+Z135</f>
        <v>#NAME?</v>
      </c>
      <c r="AA142" s="26" t="e">
        <f t="shared" ca="1" si="1205"/>
        <v>#NAME?</v>
      </c>
      <c r="AB142" s="27" t="e">
        <f t="shared" ref="AA142:AD142" ca="1" si="1206">AB141+AB133+AB135</f>
        <v>#NAME?</v>
      </c>
      <c r="AC142" s="27" t="e">
        <f t="shared" ca="1" si="1206"/>
        <v>#NAME?</v>
      </c>
      <c r="AD142" s="27" t="e">
        <f t="shared" ca="1" si="1206"/>
        <v>#NAME?</v>
      </c>
      <c r="AE142" s="27" t="e">
        <f t="shared" ref="AE142" ca="1" si="1207">AE141+AE133+AE135</f>
        <v>#NAME?</v>
      </c>
      <c r="AJ142" s="26" t="e">
        <f t="shared" ref="AJ142" ca="1" si="1208">AJ141+AJ133+AJ135</f>
        <v>#NAME?</v>
      </c>
      <c r="AK142" s="26" t="e">
        <f t="shared" ref="AK142" ca="1" si="1209">AK141+AK133+AK135</f>
        <v>#NAME?</v>
      </c>
      <c r="AL142" s="26" t="e">
        <f t="shared" ref="AL142" ca="1" si="1210">AL141+AL133+AL135</f>
        <v>#NAME?</v>
      </c>
      <c r="AM142" s="26" t="e">
        <f t="shared" ref="AM142:AO142" ca="1" si="1211">AM141+AM133+AM135</f>
        <v>#NAME?</v>
      </c>
      <c r="AN142" s="26" t="e">
        <f t="shared" ca="1" si="1211"/>
        <v>#NAME?</v>
      </c>
      <c r="AO142" s="26" t="e">
        <f t="shared" ca="1" si="1211"/>
        <v>#NAME?</v>
      </c>
      <c r="AP142" s="26" t="e">
        <f t="shared" ref="AP142:CE142" ca="1" si="1212">AP141+AP133+AP135</f>
        <v>#NAME?</v>
      </c>
      <c r="AQ142" s="26" t="e">
        <f t="shared" ca="1" si="1212"/>
        <v>#NAME?</v>
      </c>
      <c r="AR142" s="26" t="e">
        <f t="shared" ca="1" si="1212"/>
        <v>#NAME?</v>
      </c>
      <c r="AS142" s="26" t="e">
        <f t="shared" ca="1" si="1212"/>
        <v>#NAME?</v>
      </c>
      <c r="AT142" s="26" t="e">
        <f t="shared" ca="1" si="1212"/>
        <v>#NAME?</v>
      </c>
      <c r="AU142" s="26" t="e">
        <f t="shared" ca="1" si="1212"/>
        <v>#NAME?</v>
      </c>
      <c r="AV142" s="26" t="e">
        <f t="shared" ca="1" si="1212"/>
        <v>#NAME?</v>
      </c>
      <c r="AW142" s="26" t="e">
        <f t="shared" ca="1" si="1212"/>
        <v>#NAME?</v>
      </c>
      <c r="AX142" s="26" t="e">
        <f t="shared" ca="1" si="1212"/>
        <v>#NAME?</v>
      </c>
      <c r="AY142" s="26" t="e">
        <f t="shared" ca="1" si="1212"/>
        <v>#NAME?</v>
      </c>
      <c r="AZ142" s="26" t="e">
        <f t="shared" ca="1" si="1212"/>
        <v>#NAME?</v>
      </c>
      <c r="BA142" s="26" t="e">
        <f t="shared" ca="1" si="1212"/>
        <v>#NAME?</v>
      </c>
      <c r="BB142" s="26" t="e">
        <f t="shared" ca="1" si="1212"/>
        <v>#NAME?</v>
      </c>
      <c r="BC142" s="26" t="e">
        <f t="shared" ca="1" si="1212"/>
        <v>#NAME?</v>
      </c>
      <c r="BD142" s="26" t="e">
        <f t="shared" ca="1" si="1212"/>
        <v>#NAME?</v>
      </c>
      <c r="BE142" s="26" t="e">
        <f t="shared" ca="1" si="1212"/>
        <v>#NAME?</v>
      </c>
      <c r="BF142" s="26" t="e">
        <f t="shared" ca="1" si="1212"/>
        <v>#NAME?</v>
      </c>
      <c r="BG142" s="26" t="e">
        <f t="shared" ca="1" si="1212"/>
        <v>#NAME?</v>
      </c>
      <c r="BH142" s="26" t="e">
        <f t="shared" ref="BH142" ca="1" si="1213">BH141+BH133+BH135</f>
        <v>#NAME?</v>
      </c>
      <c r="BI142" s="26" t="e">
        <f t="shared" ca="1" si="1212"/>
        <v>#NAME?</v>
      </c>
      <c r="BJ142" s="26" t="e">
        <f t="shared" ca="1" si="1212"/>
        <v>#NAME?</v>
      </c>
      <c r="BK142" s="26" t="e">
        <f t="shared" ca="1" si="1212"/>
        <v>#NAME?</v>
      </c>
      <c r="BL142" s="26" t="e">
        <f t="shared" ca="1" si="1212"/>
        <v>#NAME?</v>
      </c>
      <c r="BM142" s="26" t="e">
        <f t="shared" ca="1" si="1212"/>
        <v>#NAME?</v>
      </c>
      <c r="BN142" s="26" t="e">
        <f t="shared" ca="1" si="1212"/>
        <v>#NAME?</v>
      </c>
      <c r="BO142" s="26" t="e">
        <f t="shared" ca="1" si="1212"/>
        <v>#NAME?</v>
      </c>
      <c r="BP142" s="26" t="e">
        <f t="shared" ca="1" si="1212"/>
        <v>#NAME?</v>
      </c>
      <c r="BQ142" s="26" t="e">
        <f t="shared" ca="1" si="1212"/>
        <v>#NAME?</v>
      </c>
      <c r="BR142" s="26" t="e">
        <f t="shared" ca="1" si="1212"/>
        <v>#NAME?</v>
      </c>
      <c r="BS142" s="26" t="e">
        <f t="shared" ca="1" si="1212"/>
        <v>#NAME?</v>
      </c>
      <c r="BT142" s="26" t="e">
        <f t="shared" ca="1" si="1212"/>
        <v>#NAME?</v>
      </c>
      <c r="BU142" s="26" t="e">
        <f t="shared" ca="1" si="1212"/>
        <v>#NAME?</v>
      </c>
      <c r="BV142" s="26" t="e">
        <f t="shared" ca="1" si="1212"/>
        <v>#NAME?</v>
      </c>
      <c r="BW142" s="26" t="e">
        <f t="shared" ca="1" si="1212"/>
        <v>#NAME?</v>
      </c>
      <c r="BX142" s="26" t="e">
        <f t="shared" ca="1" si="1212"/>
        <v>#NAME?</v>
      </c>
      <c r="BY142" s="26" t="e">
        <f t="shared" ca="1" si="1212"/>
        <v>#NAME?</v>
      </c>
      <c r="BZ142" s="26" t="e">
        <f t="shared" ca="1" si="1212"/>
        <v>#NAME?</v>
      </c>
      <c r="CA142" s="26" t="e">
        <f t="shared" ca="1" si="1212"/>
        <v>#NAME?</v>
      </c>
      <c r="CB142" s="26" t="e">
        <f t="shared" ca="1" si="1212"/>
        <v>#NAME?</v>
      </c>
      <c r="CC142" s="26" t="e">
        <f t="shared" ca="1" si="1212"/>
        <v>#NAME?</v>
      </c>
      <c r="CD142" s="26" t="e">
        <f t="shared" ca="1" si="1212"/>
        <v>#NAME?</v>
      </c>
      <c r="CE142" s="26" t="e">
        <f t="shared" ca="1" si="1212"/>
        <v>#NAME?</v>
      </c>
      <c r="CF142" s="26" t="e">
        <f t="shared" ref="CF142:CG142" ca="1" si="1214">CF141+CF133+CF135</f>
        <v>#NAME?</v>
      </c>
      <c r="CG142" s="26" t="e">
        <f t="shared" ca="1" si="1214"/>
        <v>#NAME?</v>
      </c>
      <c r="CH142" s="26" t="e">
        <f t="shared" ref="CH142:CI142" ca="1" si="1215">CH141+CH133+CH135</f>
        <v>#NAME?</v>
      </c>
      <c r="CI142" s="26" t="e">
        <f t="shared" ca="1" si="1215"/>
        <v>#NAME?</v>
      </c>
      <c r="CJ142" s="26" t="e">
        <f t="shared" ref="CJ142:DB142" ca="1" si="1216">CJ141+CJ133+CJ135</f>
        <v>#NAME?</v>
      </c>
      <c r="CK142" s="26" t="e">
        <f t="shared" ca="1" si="1216"/>
        <v>#NAME?</v>
      </c>
      <c r="CL142" s="26" t="e">
        <f t="shared" ref="CL142" ca="1" si="1217">CL141+CL133+CL135</f>
        <v>#NAME?</v>
      </c>
      <c r="CM142" s="27" t="e">
        <f t="shared" ca="1" si="1216"/>
        <v>#NAME?</v>
      </c>
      <c r="CN142" s="27" t="e">
        <f t="shared" ca="1" si="1216"/>
        <v>#NAME?</v>
      </c>
      <c r="CO142" s="27" t="e">
        <f t="shared" ca="1" si="1216"/>
        <v>#NAME?</v>
      </c>
      <c r="CP142" s="27" t="e">
        <f t="shared" ca="1" si="1216"/>
        <v>#NAME?</v>
      </c>
      <c r="CQ142" s="27" t="e">
        <f t="shared" ca="1" si="1216"/>
        <v>#NAME?</v>
      </c>
      <c r="CR142" s="27" t="e">
        <f t="shared" ca="1" si="1216"/>
        <v>#NAME?</v>
      </c>
      <c r="CS142" s="27" t="e">
        <f t="shared" ca="1" si="1216"/>
        <v>#NAME?</v>
      </c>
      <c r="CT142" s="27" t="e">
        <f t="shared" ca="1" si="1216"/>
        <v>#NAME?</v>
      </c>
      <c r="CU142" s="27" t="e">
        <f t="shared" ca="1" si="1216"/>
        <v>#NAME?</v>
      </c>
      <c r="CV142" s="27" t="e">
        <f t="shared" ca="1" si="1216"/>
        <v>#NAME?</v>
      </c>
      <c r="CW142" s="27" t="e">
        <f t="shared" ca="1" si="1216"/>
        <v>#NAME?</v>
      </c>
      <c r="CX142" s="27" t="e">
        <f t="shared" ca="1" si="1216"/>
        <v>#NAME?</v>
      </c>
      <c r="CY142" s="27" t="e">
        <f t="shared" ca="1" si="1216"/>
        <v>#NAME?</v>
      </c>
      <c r="CZ142" s="27" t="e">
        <f t="shared" ca="1" si="1216"/>
        <v>#NAME?</v>
      </c>
      <c r="DA142" s="27" t="e">
        <f t="shared" ca="1" si="1216"/>
        <v>#NAME?</v>
      </c>
      <c r="DB142" s="27" t="e">
        <f t="shared" ca="1" si="1216"/>
        <v>#NAME?</v>
      </c>
      <c r="DE142" s="121"/>
      <c r="DF142" s="26">
        <v>71899.02</v>
      </c>
    </row>
    <row r="143" spans="1:110" s="23" customFormat="1" x14ac:dyDescent="0.2">
      <c r="AB143" s="24"/>
      <c r="AC143" s="24"/>
      <c r="AD143" s="24"/>
      <c r="AE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</row>
    <row r="144" spans="1:110" s="23" customFormat="1" outlineLevel="1" x14ac:dyDescent="0.2">
      <c r="A144" s="23" t="s">
        <v>50</v>
      </c>
      <c r="B144" s="23" t="e">
        <f ca="1">'Annual Raw'!C62</f>
        <v>#NAME?</v>
      </c>
      <c r="C144" s="23" t="e">
        <f ca="1">'Annual Raw'!D62</f>
        <v>#NAME?</v>
      </c>
      <c r="D144" s="23" t="e">
        <f ca="1">'Annual Raw'!E62</f>
        <v>#NAME?</v>
      </c>
      <c r="E144" s="23" t="e">
        <f ca="1">'Annual Raw'!F62-E148</f>
        <v>#NAME?</v>
      </c>
      <c r="F144" s="23" t="e">
        <f ca="1">'Annual Raw'!G62-F148</f>
        <v>#NAME?</v>
      </c>
      <c r="G144" s="23" t="e">
        <f ca="1">'Annual Raw'!H62-G148</f>
        <v>#NAME?</v>
      </c>
      <c r="H144" s="23" t="e">
        <f ca="1">'Annual Raw'!I62-H148</f>
        <v>#NAME?</v>
      </c>
      <c r="I144" s="23" t="e">
        <f ca="1">'Annual Raw'!J62-I148</f>
        <v>#NAME?</v>
      </c>
      <c r="J144" s="23" t="e">
        <f ca="1">'Annual Raw'!K62-J148</f>
        <v>#NAME?</v>
      </c>
      <c r="K144" s="23" t="e">
        <f ca="1">'Annual Raw'!L62-K148</f>
        <v>#NAME?</v>
      </c>
      <c r="L144" s="23" t="e">
        <f ca="1">'Annual Raw'!M62-L148</f>
        <v>#NAME?</v>
      </c>
      <c r="M144" s="23" t="e">
        <f ca="1">'Annual Raw'!N62-M148</f>
        <v>#NAME?</v>
      </c>
      <c r="N144" s="23" t="e">
        <f ca="1">'Annual Raw'!O62-N148</f>
        <v>#NAME?</v>
      </c>
      <c r="O144" s="23" t="e">
        <f ca="1">'Annual Raw'!P62-O148</f>
        <v>#NAME?</v>
      </c>
      <c r="P144" s="23" t="e">
        <f ca="1">'Annual Raw'!Q62-P148</f>
        <v>#NAME?</v>
      </c>
      <c r="Q144" s="23" t="e">
        <f ca="1">'Annual Raw'!R62-Q148</f>
        <v>#NAME?</v>
      </c>
      <c r="R144" s="23" t="e">
        <f ca="1">'Annual Raw'!S62-R148</f>
        <v>#NAME?</v>
      </c>
      <c r="S144" s="23" t="e">
        <f ca="1">'Annual Raw'!T62-S148</f>
        <v>#NAME?</v>
      </c>
      <c r="T144" s="23" t="e">
        <f ca="1">'Annual Raw'!U62-T148</f>
        <v>#NAME?</v>
      </c>
      <c r="U144" s="23" t="e">
        <f ca="1">'Annual Raw'!V62-U148</f>
        <v>#NAME?</v>
      </c>
      <c r="V144" s="23" t="e">
        <f ca="1">'Annual Raw'!W62-V148</f>
        <v>#NAME?</v>
      </c>
      <c r="W144" s="23" t="e">
        <f ca="1">'Annual Raw'!X62-W148</f>
        <v>#NAME?</v>
      </c>
      <c r="X144" s="23" t="e">
        <f ca="1">'Annual Raw'!Y62-X148</f>
        <v>#NAME?</v>
      </c>
      <c r="Y144" s="23" t="e">
        <f ca="1">'Annual Raw'!Z62-Y148</f>
        <v>#NAME?</v>
      </c>
      <c r="Z144" s="23" t="e">
        <f ca="1">'Annual Raw'!AA62-Z148</f>
        <v>#NAME?</v>
      </c>
      <c r="AA144" s="23" t="e">
        <f ca="1">'Annual Raw'!AB62-AA148</f>
        <v>#NAME?</v>
      </c>
      <c r="AB144" s="24" t="e">
        <f t="shared" ref="AB144:AB150" ca="1" si="1218">+CP144</f>
        <v>#NAME?</v>
      </c>
      <c r="AC144" s="24" t="e">
        <f t="shared" ref="AC144:AC150" ca="1" si="1219">+CT144</f>
        <v>#NAME?</v>
      </c>
      <c r="AD144" s="24" t="e">
        <f t="shared" ref="AD144:AD150" ca="1" si="1220">+CX144</f>
        <v>#NAME?</v>
      </c>
      <c r="AE144" s="24" t="e">
        <f t="shared" ref="AE144:AE150" ca="1" si="1221">+DB144</f>
        <v>#NAME?</v>
      </c>
      <c r="AJ144" s="23" t="e">
        <f ca="1">+'QTR Raw'!D68</f>
        <v>#NAME?</v>
      </c>
      <c r="AL144" s="23" t="e">
        <f ca="1">+'QTR Raw'!F68</f>
        <v>#NAME?</v>
      </c>
      <c r="AN144" s="23" t="e">
        <f ca="1">+'QTR Raw'!H68</f>
        <v>#NAME?</v>
      </c>
      <c r="AP144" s="23" t="e">
        <f ca="1">+'QTR Raw'!J68</f>
        <v>#NAME?</v>
      </c>
      <c r="AR144" s="23" t="e">
        <f ca="1">+'QTR Raw'!L68</f>
        <v>#NAME?</v>
      </c>
      <c r="AT144" s="23" t="e">
        <f ca="1">+'QTR Raw'!N68</f>
        <v>#NAME?</v>
      </c>
      <c r="AV144" s="23" t="e">
        <f ca="1">+'QTR Raw'!P68</f>
        <v>#NAME?</v>
      </c>
      <c r="AX144" s="23" t="e">
        <f ca="1">+'QTR Raw'!R68</f>
        <v>#NAME?</v>
      </c>
      <c r="AZ144" s="23" t="e">
        <f ca="1">+'QTR Raw'!T68</f>
        <v>#NAME?</v>
      </c>
      <c r="BB144" s="23" t="e">
        <f ca="1">+'QTR Raw'!V68</f>
        <v>#NAME?</v>
      </c>
      <c r="BD144" s="23" t="e">
        <f ca="1">+'QTR Raw'!X68</f>
        <v>#NAME?</v>
      </c>
      <c r="BF144" s="23" t="e">
        <f ca="1">+'QTR Raw'!Z68</f>
        <v>#NAME?</v>
      </c>
      <c r="BH144" s="23" t="e">
        <f ca="1">+'QTR Raw'!AB68</f>
        <v>#NAME?</v>
      </c>
      <c r="BJ144" s="23" t="e">
        <f ca="1">+'QTR Raw'!AD68</f>
        <v>#NAME?</v>
      </c>
      <c r="BL144" s="23" t="e">
        <f ca="1">+'QTR Raw'!AF68</f>
        <v>#NAME?</v>
      </c>
      <c r="BN144" s="23" t="e">
        <f ca="1">+'QTR Raw'!AH68</f>
        <v>#NAME?</v>
      </c>
      <c r="BP144" s="23" t="e">
        <f ca="1">+'QTR Raw'!AJ68</f>
        <v>#NAME?</v>
      </c>
      <c r="BR144" s="23" t="e">
        <f ca="1">+'QTR Raw'!AL68</f>
        <v>#NAME?</v>
      </c>
      <c r="BT144" s="23" t="e">
        <f ca="1">+'QTR Raw'!AN68</f>
        <v>#NAME?</v>
      </c>
      <c r="BV144" s="23" t="e">
        <f ca="1">+'QTR Raw'!AP68</f>
        <v>#NAME?</v>
      </c>
      <c r="BX144" s="23" t="e">
        <f ca="1">+'QTR Raw'!AR68</f>
        <v>#NAME?</v>
      </c>
      <c r="BZ144" s="23" t="e">
        <f ca="1">+'QTR Raw'!AT68</f>
        <v>#NAME?</v>
      </c>
      <c r="CB144" s="23" t="e">
        <f ca="1">+'QTR Raw'!AV68</f>
        <v>#NAME?</v>
      </c>
      <c r="CD144" s="23" t="e">
        <f ca="1">+'QTR Raw'!AX68</f>
        <v>#NAME?</v>
      </c>
      <c r="CF144" s="23" t="e">
        <f ca="1">+'QTR Raw'!AZ68</f>
        <v>#NAME?</v>
      </c>
      <c r="CH144" s="23" t="e">
        <f t="shared" ref="CH144:CH150" ca="1" si="1222">Z144</f>
        <v>#NAME?</v>
      </c>
      <c r="CI144" s="23" t="e">
        <f ca="1">CH144</f>
        <v>#NAME?</v>
      </c>
      <c r="CJ144" s="23" t="e">
        <f ca="1">+CJ145+CJ147</f>
        <v>#NAME?</v>
      </c>
      <c r="CK144" s="23" t="e">
        <f ca="1">+CJ144+3000</f>
        <v>#NAME?</v>
      </c>
      <c r="CL144" s="23" t="e">
        <f ca="1">+CL145+CL147</f>
        <v>#NAME?</v>
      </c>
      <c r="CM144" s="24" t="e">
        <f t="shared" ref="CM144:DB144" ca="1" si="1223">+CL144+1000</f>
        <v>#NAME?</v>
      </c>
      <c r="CN144" s="24" t="e">
        <f t="shared" ca="1" si="1223"/>
        <v>#NAME?</v>
      </c>
      <c r="CO144" s="24" t="e">
        <f t="shared" ca="1" si="1223"/>
        <v>#NAME?</v>
      </c>
      <c r="CP144" s="24" t="e">
        <f t="shared" ca="1" si="1223"/>
        <v>#NAME?</v>
      </c>
      <c r="CQ144" s="24" t="e">
        <f t="shared" ca="1" si="1223"/>
        <v>#NAME?</v>
      </c>
      <c r="CR144" s="24" t="e">
        <f t="shared" ca="1" si="1223"/>
        <v>#NAME?</v>
      </c>
      <c r="CS144" s="24" t="e">
        <f t="shared" ca="1" si="1223"/>
        <v>#NAME?</v>
      </c>
      <c r="CT144" s="24" t="e">
        <f t="shared" ca="1" si="1223"/>
        <v>#NAME?</v>
      </c>
      <c r="CU144" s="24" t="e">
        <f t="shared" ca="1" si="1223"/>
        <v>#NAME?</v>
      </c>
      <c r="CV144" s="24" t="e">
        <f t="shared" ca="1" si="1223"/>
        <v>#NAME?</v>
      </c>
      <c r="CW144" s="24" t="e">
        <f t="shared" ca="1" si="1223"/>
        <v>#NAME?</v>
      </c>
      <c r="CX144" s="24" t="e">
        <f t="shared" ca="1" si="1223"/>
        <v>#NAME?</v>
      </c>
      <c r="CY144" s="24" t="e">
        <f t="shared" ca="1" si="1223"/>
        <v>#NAME?</v>
      </c>
      <c r="CZ144" s="24" t="e">
        <f t="shared" ca="1" si="1223"/>
        <v>#NAME?</v>
      </c>
      <c r="DA144" s="24" t="e">
        <f t="shared" ca="1" si="1223"/>
        <v>#NAME?</v>
      </c>
      <c r="DB144" s="24" t="e">
        <f t="shared" ca="1" si="1223"/>
        <v>#NAME?</v>
      </c>
      <c r="DE144" s="123"/>
      <c r="DF144" s="23">
        <v>59452.479999999996</v>
      </c>
    </row>
    <row r="145" spans="1:110" s="23" customFormat="1" outlineLevel="1" x14ac:dyDescent="0.2">
      <c r="A145" s="23" t="s">
        <v>51</v>
      </c>
      <c r="B145" s="23" t="e">
        <f ca="1">'Annual Raw'!C63</f>
        <v>#NAME?</v>
      </c>
      <c r="C145" s="23" t="e">
        <f ca="1">'Annual Raw'!D63</f>
        <v>#NAME?</v>
      </c>
      <c r="D145" s="23" t="e">
        <f ca="1">'Annual Raw'!E63</f>
        <v>#NAME?</v>
      </c>
      <c r="E145" s="23" t="e">
        <f ca="1">'Annual Raw'!F63</f>
        <v>#NAME?</v>
      </c>
      <c r="F145" s="23" t="e">
        <f ca="1">'Annual Raw'!G63</f>
        <v>#NAME?</v>
      </c>
      <c r="G145" s="23" t="e">
        <f ca="1">'Annual Raw'!H63</f>
        <v>#NAME?</v>
      </c>
      <c r="H145" s="23" t="e">
        <f ca="1">'Annual Raw'!I63</f>
        <v>#NAME?</v>
      </c>
      <c r="I145" s="23" t="e">
        <f ca="1">'Annual Raw'!J63</f>
        <v>#NAME?</v>
      </c>
      <c r="J145" s="23" t="e">
        <f ca="1">'Annual Raw'!K63</f>
        <v>#NAME?</v>
      </c>
      <c r="K145" s="23" t="e">
        <f ca="1">'Annual Raw'!L63</f>
        <v>#NAME?</v>
      </c>
      <c r="L145" s="23" t="e">
        <f ca="1">'Annual Raw'!M63</f>
        <v>#NAME?</v>
      </c>
      <c r="M145" s="23" t="e">
        <f ca="1">'Annual Raw'!N63</f>
        <v>#NAME?</v>
      </c>
      <c r="N145" s="23" t="e">
        <f ca="1">'Annual Raw'!O63</f>
        <v>#NAME?</v>
      </c>
      <c r="O145" s="23" t="e">
        <f ca="1">'Annual Raw'!P63</f>
        <v>#NAME?</v>
      </c>
      <c r="P145" s="23" t="e">
        <f ca="1">'Annual Raw'!Q63</f>
        <v>#NAME?</v>
      </c>
      <c r="Q145" s="23" t="e">
        <f ca="1">'Annual Raw'!R63</f>
        <v>#NAME?</v>
      </c>
      <c r="R145" s="23" t="e">
        <f ca="1">'Annual Raw'!S63</f>
        <v>#NAME?</v>
      </c>
      <c r="S145" s="23" t="e">
        <f ca="1">'Annual Raw'!T63</f>
        <v>#NAME?</v>
      </c>
      <c r="T145" s="23" t="e">
        <f ca="1">'Annual Raw'!U63</f>
        <v>#NAME?</v>
      </c>
      <c r="U145" s="23" t="e">
        <f ca="1">'Annual Raw'!V63</f>
        <v>#NAME?</v>
      </c>
      <c r="V145" s="23" t="e">
        <f ca="1">'Annual Raw'!W63</f>
        <v>#NAME?</v>
      </c>
      <c r="W145" s="23" t="e">
        <f ca="1">'Annual Raw'!X63</f>
        <v>#NAME?</v>
      </c>
      <c r="X145" s="23" t="e">
        <f ca="1">'Annual Raw'!Y63</f>
        <v>#NAME?</v>
      </c>
      <c r="Y145" s="23" t="e">
        <f ca="1">'Annual Raw'!Z63</f>
        <v>#NAME?</v>
      </c>
      <c r="Z145" s="23" t="e">
        <f ca="1">'Annual Raw'!AA63</f>
        <v>#NAME?</v>
      </c>
      <c r="AA145" s="23" t="e">
        <f ca="1">'Annual Raw'!AB63</f>
        <v>#NAME?</v>
      </c>
      <c r="AB145" s="24" t="e">
        <f t="shared" ca="1" si="1218"/>
        <v>#NAME?</v>
      </c>
      <c r="AC145" s="24" t="e">
        <f t="shared" ca="1" si="1219"/>
        <v>#NAME?</v>
      </c>
      <c r="AD145" s="24" t="e">
        <f t="shared" ca="1" si="1220"/>
        <v>#NAME?</v>
      </c>
      <c r="AE145" s="24" t="e">
        <f t="shared" ca="1" si="1221"/>
        <v>#NAME?</v>
      </c>
      <c r="AJ145" s="23" t="e">
        <f ca="1">+'QTR Raw'!D69</f>
        <v>#NAME?</v>
      </c>
      <c r="AL145" s="23" t="e">
        <f ca="1">+'QTR Raw'!F69</f>
        <v>#NAME?</v>
      </c>
      <c r="AN145" s="23" t="e">
        <f ca="1">+'QTR Raw'!H69</f>
        <v>#NAME?</v>
      </c>
      <c r="AP145" s="23" t="e">
        <f ca="1">+'QTR Raw'!J69</f>
        <v>#NAME?</v>
      </c>
      <c r="AR145" s="23" t="e">
        <f ca="1">+'QTR Raw'!L69</f>
        <v>#NAME?</v>
      </c>
      <c r="AT145" s="23" t="e">
        <f ca="1">+'QTR Raw'!N69</f>
        <v>#NAME?</v>
      </c>
      <c r="AV145" s="23" t="e">
        <f ca="1">+'QTR Raw'!P69</f>
        <v>#NAME?</v>
      </c>
      <c r="AX145" s="23" t="e">
        <f ca="1">+'QTR Raw'!R69</f>
        <v>#NAME?</v>
      </c>
      <c r="AZ145" s="23" t="e">
        <f ca="1">+'QTR Raw'!T69</f>
        <v>#NAME?</v>
      </c>
      <c r="BB145" s="23" t="e">
        <f ca="1">+'QTR Raw'!V69</f>
        <v>#NAME?</v>
      </c>
      <c r="BD145" s="23" t="e">
        <f ca="1">+'QTR Raw'!X69</f>
        <v>#NAME?</v>
      </c>
      <c r="BF145" s="23" t="e">
        <f ca="1">+'QTR Raw'!Z69</f>
        <v>#NAME?</v>
      </c>
      <c r="BH145" s="23" t="e">
        <f ca="1">+'QTR Raw'!AB69</f>
        <v>#NAME?</v>
      </c>
      <c r="BJ145" s="23" t="e">
        <f ca="1">+'QTR Raw'!AD69</f>
        <v>#NAME?</v>
      </c>
      <c r="BL145" s="23" t="e">
        <f ca="1">+'QTR Raw'!AF69</f>
        <v>#NAME?</v>
      </c>
      <c r="BN145" s="23" t="e">
        <f ca="1">+'QTR Raw'!AH69</f>
        <v>#NAME?</v>
      </c>
      <c r="BP145" s="23" t="e">
        <f ca="1">+'QTR Raw'!AJ69</f>
        <v>#NAME?</v>
      </c>
      <c r="BR145" s="23" t="e">
        <f ca="1">+'QTR Raw'!AL69</f>
        <v>#NAME?</v>
      </c>
      <c r="BT145" s="23" t="e">
        <f ca="1">+'QTR Raw'!AN69</f>
        <v>#NAME?</v>
      </c>
      <c r="BV145" s="23" t="e">
        <f ca="1">+'QTR Raw'!AP69</f>
        <v>#NAME?</v>
      </c>
      <c r="BX145" s="23" t="e">
        <f ca="1">+'QTR Raw'!AR69</f>
        <v>#NAME?</v>
      </c>
      <c r="BZ145" s="23" t="e">
        <f ca="1">+'QTR Raw'!AT69</f>
        <v>#NAME?</v>
      </c>
      <c r="CB145" s="23" t="e">
        <f ca="1">+'QTR Raw'!AV69</f>
        <v>#NAME?</v>
      </c>
      <c r="CD145" s="23" t="e">
        <f ca="1">+'QTR Raw'!AX69</f>
        <v>#NAME?</v>
      </c>
      <c r="CF145" s="23" t="e">
        <f ca="1">+'QTR Raw'!AZ69</f>
        <v>#NAME?</v>
      </c>
      <c r="CH145" s="23" t="e">
        <f t="shared" ca="1" si="1222"/>
        <v>#NAME?</v>
      </c>
      <c r="CI145" s="23" t="e">
        <f t="shared" ref="CI145:DB145" ca="1" si="1224">CH145+CI40</f>
        <v>#NAME?</v>
      </c>
      <c r="CJ145" s="23" t="e">
        <f t="shared" ca="1" si="1224"/>
        <v>#NAME?</v>
      </c>
      <c r="CK145" s="23" t="e">
        <f t="shared" ca="1" si="1224"/>
        <v>#NAME?</v>
      </c>
      <c r="CL145" s="23" t="e">
        <f t="shared" ca="1" si="1224"/>
        <v>#NAME?</v>
      </c>
      <c r="CM145" s="24" t="e">
        <f t="shared" ca="1" si="1224"/>
        <v>#NAME?</v>
      </c>
      <c r="CN145" s="24" t="e">
        <f t="shared" ca="1" si="1224"/>
        <v>#NAME?</v>
      </c>
      <c r="CO145" s="24" t="e">
        <f t="shared" ca="1" si="1224"/>
        <v>#NAME?</v>
      </c>
      <c r="CP145" s="24" t="e">
        <f t="shared" ca="1" si="1224"/>
        <v>#NAME?</v>
      </c>
      <c r="CQ145" s="24" t="e">
        <f t="shared" ca="1" si="1224"/>
        <v>#NAME?</v>
      </c>
      <c r="CR145" s="24" t="e">
        <f t="shared" ca="1" si="1224"/>
        <v>#NAME?</v>
      </c>
      <c r="CS145" s="24" t="e">
        <f t="shared" ca="1" si="1224"/>
        <v>#NAME?</v>
      </c>
      <c r="CT145" s="24" t="e">
        <f t="shared" ca="1" si="1224"/>
        <v>#NAME?</v>
      </c>
      <c r="CU145" s="24" t="e">
        <f t="shared" ca="1" si="1224"/>
        <v>#NAME?</v>
      </c>
      <c r="CV145" s="24" t="e">
        <f t="shared" ca="1" si="1224"/>
        <v>#NAME?</v>
      </c>
      <c r="CW145" s="24" t="e">
        <f t="shared" ca="1" si="1224"/>
        <v>#NAME?</v>
      </c>
      <c r="CX145" s="24" t="e">
        <f t="shared" ca="1" si="1224"/>
        <v>#NAME?</v>
      </c>
      <c r="CY145" s="24" t="e">
        <f t="shared" ca="1" si="1224"/>
        <v>#NAME?</v>
      </c>
      <c r="CZ145" s="24" t="e">
        <f t="shared" ca="1" si="1224"/>
        <v>#NAME?</v>
      </c>
      <c r="DA145" s="24" t="e">
        <f t="shared" ca="1" si="1224"/>
        <v>#NAME?</v>
      </c>
      <c r="DB145" s="24" t="e">
        <f t="shared" ca="1" si="1224"/>
        <v>#NAME?</v>
      </c>
      <c r="DE145" s="123"/>
      <c r="DF145" s="23">
        <v>16181.939999999999</v>
      </c>
    </row>
    <row r="146" spans="1:110" s="23" customFormat="1" outlineLevel="1" x14ac:dyDescent="0.2">
      <c r="A146" s="23" t="s">
        <v>52</v>
      </c>
      <c r="B146" s="23" t="e">
        <f ca="1">'Annual Raw'!C64</f>
        <v>#NAME?</v>
      </c>
      <c r="C146" s="23" t="e">
        <f ca="1">'Annual Raw'!D64</f>
        <v>#NAME?</v>
      </c>
      <c r="D146" s="23" t="e">
        <f ca="1">'Annual Raw'!E64</f>
        <v>#NAME?</v>
      </c>
      <c r="E146" s="23" t="e">
        <f ca="1">'Annual Raw'!F64</f>
        <v>#NAME?</v>
      </c>
      <c r="F146" s="23" t="e">
        <f ca="1">'Annual Raw'!G64</f>
        <v>#NAME?</v>
      </c>
      <c r="G146" s="23" t="e">
        <f ca="1">'Annual Raw'!H64</f>
        <v>#NAME?</v>
      </c>
      <c r="H146" s="23" t="e">
        <f ca="1">'Annual Raw'!I64</f>
        <v>#NAME?</v>
      </c>
      <c r="I146" s="23" t="e">
        <f ca="1">'Annual Raw'!J64</f>
        <v>#NAME?</v>
      </c>
      <c r="J146" s="23" t="e">
        <f ca="1">'Annual Raw'!K64</f>
        <v>#NAME?</v>
      </c>
      <c r="K146" s="23" t="e">
        <f ca="1">'Annual Raw'!L64</f>
        <v>#NAME?</v>
      </c>
      <c r="L146" s="23" t="e">
        <f ca="1">'Annual Raw'!M64</f>
        <v>#NAME?</v>
      </c>
      <c r="M146" s="23" t="e">
        <f ca="1">'Annual Raw'!N64</f>
        <v>#NAME?</v>
      </c>
      <c r="N146" s="23" t="e">
        <f ca="1">'Annual Raw'!O64</f>
        <v>#NAME?</v>
      </c>
      <c r="O146" s="23" t="e">
        <f ca="1">'Annual Raw'!P64</f>
        <v>#NAME?</v>
      </c>
      <c r="P146" s="23" t="e">
        <f ca="1">'Annual Raw'!Q64</f>
        <v>#NAME?</v>
      </c>
      <c r="Q146" s="23" t="e">
        <f ca="1">'Annual Raw'!R64</f>
        <v>#NAME?</v>
      </c>
      <c r="R146" s="23" t="e">
        <f ca="1">'Annual Raw'!S64</f>
        <v>#NAME?</v>
      </c>
      <c r="S146" s="23" t="e">
        <f ca="1">'Annual Raw'!T64</f>
        <v>#NAME?</v>
      </c>
      <c r="T146" s="23" t="e">
        <f ca="1">'Annual Raw'!U64</f>
        <v>#NAME?</v>
      </c>
      <c r="U146" s="23" t="e">
        <f ca="1">'Annual Raw'!V64</f>
        <v>#NAME?</v>
      </c>
      <c r="V146" s="23" t="e">
        <f ca="1">'Annual Raw'!W64</f>
        <v>#NAME?</v>
      </c>
      <c r="W146" s="23" t="e">
        <f ca="1">'Annual Raw'!X64</f>
        <v>#NAME?</v>
      </c>
      <c r="X146" s="23" t="e">
        <f ca="1">'Annual Raw'!Y64</f>
        <v>#NAME?</v>
      </c>
      <c r="Y146" s="23" t="e">
        <f ca="1">'Annual Raw'!Z64</f>
        <v>#NAME?</v>
      </c>
      <c r="Z146" s="23" t="e">
        <f ca="1">'Annual Raw'!AA64</f>
        <v>#NAME?</v>
      </c>
      <c r="AA146" s="23" t="e">
        <f ca="1">'Annual Raw'!AB64</f>
        <v>#NAME?</v>
      </c>
      <c r="AB146" s="24" t="e">
        <f t="shared" ca="1" si="1218"/>
        <v>#NAME?</v>
      </c>
      <c r="AC146" s="24" t="e">
        <f t="shared" ca="1" si="1219"/>
        <v>#NAME?</v>
      </c>
      <c r="AD146" s="24" t="e">
        <f t="shared" ca="1" si="1220"/>
        <v>#NAME?</v>
      </c>
      <c r="AE146" s="24" t="e">
        <f t="shared" ca="1" si="1221"/>
        <v>#NAME?</v>
      </c>
      <c r="AJ146" s="23" t="e">
        <f ca="1">+'QTR Raw'!D70</f>
        <v>#NAME?</v>
      </c>
      <c r="AL146" s="23" t="e">
        <f ca="1">+'QTR Raw'!F70</f>
        <v>#NAME?</v>
      </c>
      <c r="AN146" s="23" t="e">
        <f ca="1">+'QTR Raw'!H70</f>
        <v>#NAME?</v>
      </c>
      <c r="AP146" s="23" t="e">
        <f ca="1">+'QTR Raw'!J70</f>
        <v>#NAME?</v>
      </c>
      <c r="AR146" s="23" t="e">
        <f ca="1">+'QTR Raw'!L70</f>
        <v>#NAME?</v>
      </c>
      <c r="AT146" s="23" t="e">
        <f ca="1">+'QTR Raw'!N70</f>
        <v>#NAME?</v>
      </c>
      <c r="AV146" s="23" t="e">
        <f ca="1">+'QTR Raw'!P70</f>
        <v>#NAME?</v>
      </c>
      <c r="AX146" s="23" t="e">
        <f ca="1">+'QTR Raw'!R70</f>
        <v>#NAME?</v>
      </c>
      <c r="AZ146" s="23" t="e">
        <f ca="1">+'QTR Raw'!T70</f>
        <v>#NAME?</v>
      </c>
      <c r="BB146" s="23" t="e">
        <f ca="1">+'QTR Raw'!V70</f>
        <v>#NAME?</v>
      </c>
      <c r="BD146" s="23" t="e">
        <f ca="1">+'QTR Raw'!X70</f>
        <v>#NAME?</v>
      </c>
      <c r="BF146" s="23" t="e">
        <f ca="1">+'QTR Raw'!Z70</f>
        <v>#NAME?</v>
      </c>
      <c r="BH146" s="23" t="e">
        <f ca="1">+'QTR Raw'!AB70</f>
        <v>#NAME?</v>
      </c>
      <c r="BJ146" s="23" t="e">
        <f ca="1">+'QTR Raw'!AD70</f>
        <v>#NAME?</v>
      </c>
      <c r="BL146" s="23" t="e">
        <f ca="1">+'QTR Raw'!AF70</f>
        <v>#NAME?</v>
      </c>
      <c r="BN146" s="23" t="e">
        <f ca="1">+'QTR Raw'!AH70</f>
        <v>#NAME?</v>
      </c>
      <c r="BP146" s="23" t="e">
        <f ca="1">+'QTR Raw'!AJ70</f>
        <v>#NAME?</v>
      </c>
      <c r="BR146" s="23" t="e">
        <f ca="1">+'QTR Raw'!AL70</f>
        <v>#NAME?</v>
      </c>
      <c r="BT146" s="23" t="e">
        <f ca="1">+'QTR Raw'!AN70</f>
        <v>#NAME?</v>
      </c>
      <c r="BV146" s="23" t="e">
        <f ca="1">+'QTR Raw'!AP70</f>
        <v>#NAME?</v>
      </c>
      <c r="BX146" s="23" t="e">
        <f ca="1">+'QTR Raw'!AR70</f>
        <v>#NAME?</v>
      </c>
      <c r="BZ146" s="23" t="e">
        <f ca="1">+'QTR Raw'!AT70</f>
        <v>#NAME?</v>
      </c>
      <c r="CB146" s="23" t="e">
        <f ca="1">+'QTR Raw'!AV70</f>
        <v>#NAME?</v>
      </c>
      <c r="CD146" s="23" t="e">
        <f ca="1">+'QTR Raw'!AX70</f>
        <v>#NAME?</v>
      </c>
      <c r="CF146" s="23" t="e">
        <f ca="1">+'QTR Raw'!AZ70</f>
        <v>#NAME?</v>
      </c>
      <c r="CH146" s="23" t="e">
        <f t="shared" ca="1" si="1222"/>
        <v>#NAME?</v>
      </c>
      <c r="CI146" s="23" t="e">
        <f ca="1">CH146</f>
        <v>#NAME?</v>
      </c>
      <c r="CJ146" s="23" t="e">
        <f ca="1">+'QTR Raw'!BD70</f>
        <v>#NAME?</v>
      </c>
      <c r="CK146" s="23" t="e">
        <f t="shared" ref="CK146:DB146" ca="1" si="1225">CJ146</f>
        <v>#NAME?</v>
      </c>
      <c r="CL146" s="23" t="e">
        <f ca="1">+'QTR Raw'!BF70</f>
        <v>#NAME?</v>
      </c>
      <c r="CM146" s="24" t="e">
        <f t="shared" ca="1" si="1225"/>
        <v>#NAME?</v>
      </c>
      <c r="CN146" s="24" t="e">
        <f t="shared" ca="1" si="1225"/>
        <v>#NAME?</v>
      </c>
      <c r="CO146" s="24" t="e">
        <f t="shared" ca="1" si="1225"/>
        <v>#NAME?</v>
      </c>
      <c r="CP146" s="24" t="e">
        <f t="shared" ca="1" si="1225"/>
        <v>#NAME?</v>
      </c>
      <c r="CQ146" s="24" t="e">
        <f t="shared" ca="1" si="1225"/>
        <v>#NAME?</v>
      </c>
      <c r="CR146" s="24" t="e">
        <f t="shared" ca="1" si="1225"/>
        <v>#NAME?</v>
      </c>
      <c r="CS146" s="24" t="e">
        <f t="shared" ca="1" si="1225"/>
        <v>#NAME?</v>
      </c>
      <c r="CT146" s="24" t="e">
        <f t="shared" ca="1" si="1225"/>
        <v>#NAME?</v>
      </c>
      <c r="CU146" s="24" t="e">
        <f t="shared" ca="1" si="1225"/>
        <v>#NAME?</v>
      </c>
      <c r="CV146" s="24" t="e">
        <f t="shared" ca="1" si="1225"/>
        <v>#NAME?</v>
      </c>
      <c r="CW146" s="24" t="e">
        <f t="shared" ca="1" si="1225"/>
        <v>#NAME?</v>
      </c>
      <c r="CX146" s="24" t="e">
        <f t="shared" ca="1" si="1225"/>
        <v>#NAME?</v>
      </c>
      <c r="CY146" s="24" t="e">
        <f t="shared" ca="1" si="1225"/>
        <v>#NAME?</v>
      </c>
      <c r="CZ146" s="24" t="e">
        <f t="shared" ca="1" si="1225"/>
        <v>#NAME?</v>
      </c>
      <c r="DA146" s="24" t="e">
        <f t="shared" ca="1" si="1225"/>
        <v>#NAME?</v>
      </c>
      <c r="DB146" s="24" t="e">
        <f t="shared" ca="1" si="1225"/>
        <v>#NAME?</v>
      </c>
      <c r="DE146" s="123"/>
      <c r="DF146" s="23">
        <v>0</v>
      </c>
    </row>
    <row r="147" spans="1:110" s="22" customFormat="1" outlineLevel="1" x14ac:dyDescent="0.2">
      <c r="A147" s="22" t="s">
        <v>53</v>
      </c>
      <c r="B147" s="22" t="e">
        <f ca="1">+B144-B145-B146</f>
        <v>#NAME?</v>
      </c>
      <c r="C147" s="22" t="e">
        <f t="shared" ref="C147:W147" ca="1" si="1226">+C144-C145-C146</f>
        <v>#NAME?</v>
      </c>
      <c r="D147" s="22" t="e">
        <f t="shared" ca="1" si="1226"/>
        <v>#NAME?</v>
      </c>
      <c r="E147" s="22" t="e">
        <f t="shared" ca="1" si="1226"/>
        <v>#NAME?</v>
      </c>
      <c r="F147" s="22" t="e">
        <f t="shared" ca="1" si="1226"/>
        <v>#NAME?</v>
      </c>
      <c r="G147" s="22" t="e">
        <f t="shared" ca="1" si="1226"/>
        <v>#NAME?</v>
      </c>
      <c r="H147" s="22" t="e">
        <f t="shared" ca="1" si="1226"/>
        <v>#NAME?</v>
      </c>
      <c r="I147" s="22" t="e">
        <f t="shared" ca="1" si="1226"/>
        <v>#NAME?</v>
      </c>
      <c r="J147" s="22" t="e">
        <f t="shared" ca="1" si="1226"/>
        <v>#NAME?</v>
      </c>
      <c r="K147" s="22" t="e">
        <f t="shared" ca="1" si="1226"/>
        <v>#NAME?</v>
      </c>
      <c r="L147" s="22" t="e">
        <f t="shared" ca="1" si="1226"/>
        <v>#NAME?</v>
      </c>
      <c r="M147" s="22" t="e">
        <f t="shared" ca="1" si="1226"/>
        <v>#NAME?</v>
      </c>
      <c r="N147" s="22" t="e">
        <f t="shared" ca="1" si="1226"/>
        <v>#NAME?</v>
      </c>
      <c r="O147" s="22" t="e">
        <f t="shared" ca="1" si="1226"/>
        <v>#NAME?</v>
      </c>
      <c r="P147" s="22" t="e">
        <f t="shared" ca="1" si="1226"/>
        <v>#NAME?</v>
      </c>
      <c r="Q147" s="22" t="e">
        <f t="shared" ca="1" si="1226"/>
        <v>#NAME?</v>
      </c>
      <c r="R147" s="22" t="e">
        <f t="shared" ca="1" si="1226"/>
        <v>#NAME?</v>
      </c>
      <c r="S147" s="22" t="e">
        <f t="shared" ca="1" si="1226"/>
        <v>#NAME?</v>
      </c>
      <c r="T147" s="22" t="e">
        <f t="shared" ca="1" si="1226"/>
        <v>#NAME?</v>
      </c>
      <c r="U147" s="22" t="e">
        <f t="shared" ca="1" si="1226"/>
        <v>#NAME?</v>
      </c>
      <c r="V147" s="22" t="e">
        <f t="shared" ca="1" si="1226"/>
        <v>#NAME?</v>
      </c>
      <c r="W147" s="22" t="e">
        <f t="shared" ca="1" si="1226"/>
        <v>#NAME?</v>
      </c>
      <c r="X147" s="22" t="e">
        <f t="shared" ref="X147:Y147" ca="1" si="1227">+X144-X145-X146</f>
        <v>#NAME?</v>
      </c>
      <c r="Y147" s="22" t="e">
        <f t="shared" ca="1" si="1227"/>
        <v>#NAME?</v>
      </c>
      <c r="Z147" s="22" t="e">
        <f t="shared" ref="Z147:AE147" ca="1" si="1228">+Z144-Z145-Z146</f>
        <v>#NAME?</v>
      </c>
      <c r="AA147" s="22" t="e">
        <f t="shared" ref="AA147" ca="1" si="1229">+AA144-AA145-AA146</f>
        <v>#NAME?</v>
      </c>
      <c r="AB147" s="21" t="e">
        <f t="shared" ca="1" si="1228"/>
        <v>#NAME?</v>
      </c>
      <c r="AC147" s="21" t="e">
        <f t="shared" ca="1" si="1228"/>
        <v>#NAME?</v>
      </c>
      <c r="AD147" s="21" t="e">
        <f t="shared" ca="1" si="1228"/>
        <v>#NAME?</v>
      </c>
      <c r="AE147" s="21" t="e">
        <f t="shared" ca="1" si="1228"/>
        <v>#NAME?</v>
      </c>
      <c r="AJ147" s="22" t="e">
        <f t="shared" ref="AJ147:AL147" ca="1" si="1230">+AJ144-AJ145-AJ146</f>
        <v>#NAME?</v>
      </c>
      <c r="AK147" s="22" t="e">
        <f t="shared" ref="AK147:CE147" ca="1" si="1231">+AJ147</f>
        <v>#NAME?</v>
      </c>
      <c r="AL147" s="22" t="e">
        <f t="shared" ca="1" si="1230"/>
        <v>#NAME?</v>
      </c>
      <c r="AM147" s="22" t="e">
        <f t="shared" ca="1" si="1231"/>
        <v>#NAME?</v>
      </c>
      <c r="AN147" s="22" t="e">
        <f t="shared" ref="AN147" ca="1" si="1232">+AN144-AN145-AN146</f>
        <v>#NAME?</v>
      </c>
      <c r="AO147" s="22" t="e">
        <f t="shared" ca="1" si="1231"/>
        <v>#NAME?</v>
      </c>
      <c r="AP147" s="22" t="e">
        <f t="shared" ref="AP147:CD147" ca="1" si="1233">+AP144-AP145-AP146</f>
        <v>#NAME?</v>
      </c>
      <c r="AQ147" s="22" t="e">
        <f t="shared" ca="1" si="1231"/>
        <v>#NAME?</v>
      </c>
      <c r="AR147" s="22" t="e">
        <f t="shared" ca="1" si="1233"/>
        <v>#NAME?</v>
      </c>
      <c r="AS147" s="22" t="e">
        <f t="shared" ca="1" si="1231"/>
        <v>#NAME?</v>
      </c>
      <c r="AT147" s="22" t="e">
        <f t="shared" ca="1" si="1233"/>
        <v>#NAME?</v>
      </c>
      <c r="AU147" s="22" t="e">
        <f t="shared" ca="1" si="1231"/>
        <v>#NAME?</v>
      </c>
      <c r="AV147" s="22" t="e">
        <f t="shared" ca="1" si="1233"/>
        <v>#NAME?</v>
      </c>
      <c r="AW147" s="22" t="e">
        <f t="shared" ca="1" si="1231"/>
        <v>#NAME?</v>
      </c>
      <c r="AX147" s="22" t="e">
        <f t="shared" ca="1" si="1233"/>
        <v>#NAME?</v>
      </c>
      <c r="AY147" s="22" t="e">
        <f t="shared" ca="1" si="1231"/>
        <v>#NAME?</v>
      </c>
      <c r="AZ147" s="22" t="e">
        <f t="shared" ca="1" si="1233"/>
        <v>#NAME?</v>
      </c>
      <c r="BA147" s="22" t="e">
        <f t="shared" ca="1" si="1231"/>
        <v>#NAME?</v>
      </c>
      <c r="BB147" s="22" t="e">
        <f t="shared" ca="1" si="1233"/>
        <v>#NAME?</v>
      </c>
      <c r="BC147" s="22" t="e">
        <f t="shared" ca="1" si="1231"/>
        <v>#NAME?</v>
      </c>
      <c r="BD147" s="22" t="e">
        <f t="shared" ca="1" si="1233"/>
        <v>#NAME?</v>
      </c>
      <c r="BE147" s="22" t="e">
        <f t="shared" ca="1" si="1231"/>
        <v>#NAME?</v>
      </c>
      <c r="BF147" s="22" t="e">
        <f t="shared" ca="1" si="1233"/>
        <v>#NAME?</v>
      </c>
      <c r="BG147" s="22" t="e">
        <f t="shared" ca="1" si="1231"/>
        <v>#NAME?</v>
      </c>
      <c r="BH147" s="22" t="e">
        <f t="shared" ca="1" si="1233"/>
        <v>#NAME?</v>
      </c>
      <c r="BI147" s="22" t="e">
        <f t="shared" ca="1" si="1231"/>
        <v>#NAME?</v>
      </c>
      <c r="BJ147" s="22" t="e">
        <f t="shared" ca="1" si="1233"/>
        <v>#NAME?</v>
      </c>
      <c r="BK147" s="22" t="e">
        <f t="shared" ca="1" si="1231"/>
        <v>#NAME?</v>
      </c>
      <c r="BL147" s="22" t="e">
        <f t="shared" ca="1" si="1233"/>
        <v>#NAME?</v>
      </c>
      <c r="BM147" s="22" t="e">
        <f t="shared" ca="1" si="1231"/>
        <v>#NAME?</v>
      </c>
      <c r="BN147" s="22" t="e">
        <f t="shared" ca="1" si="1233"/>
        <v>#NAME?</v>
      </c>
      <c r="BO147" s="22" t="e">
        <f t="shared" ca="1" si="1231"/>
        <v>#NAME?</v>
      </c>
      <c r="BP147" s="22" t="e">
        <f t="shared" ca="1" si="1233"/>
        <v>#NAME?</v>
      </c>
      <c r="BQ147" s="22" t="e">
        <f t="shared" ca="1" si="1231"/>
        <v>#NAME?</v>
      </c>
      <c r="BR147" s="22" t="e">
        <f t="shared" ca="1" si="1233"/>
        <v>#NAME?</v>
      </c>
      <c r="BS147" s="22" t="e">
        <f t="shared" ca="1" si="1231"/>
        <v>#NAME?</v>
      </c>
      <c r="BT147" s="22" t="e">
        <f t="shared" ca="1" si="1233"/>
        <v>#NAME?</v>
      </c>
      <c r="BU147" s="22" t="e">
        <f t="shared" ca="1" si="1231"/>
        <v>#NAME?</v>
      </c>
      <c r="BV147" s="22" t="e">
        <f t="shared" ca="1" si="1233"/>
        <v>#NAME?</v>
      </c>
      <c r="BW147" s="22" t="e">
        <f t="shared" ca="1" si="1231"/>
        <v>#NAME?</v>
      </c>
      <c r="BX147" s="22" t="e">
        <f t="shared" ca="1" si="1233"/>
        <v>#NAME?</v>
      </c>
      <c r="BY147" s="22" t="e">
        <f t="shared" ca="1" si="1231"/>
        <v>#NAME?</v>
      </c>
      <c r="BZ147" s="22" t="e">
        <f t="shared" ca="1" si="1233"/>
        <v>#NAME?</v>
      </c>
      <c r="CA147" s="22" t="e">
        <f t="shared" ca="1" si="1231"/>
        <v>#NAME?</v>
      </c>
      <c r="CB147" s="22" t="e">
        <f t="shared" ca="1" si="1233"/>
        <v>#NAME?</v>
      </c>
      <c r="CC147" s="22" t="e">
        <f t="shared" ca="1" si="1231"/>
        <v>#NAME?</v>
      </c>
      <c r="CD147" s="22" t="e">
        <f t="shared" ca="1" si="1233"/>
        <v>#NAME?</v>
      </c>
      <c r="CE147" s="22" t="e">
        <f t="shared" ca="1" si="1231"/>
        <v>#NAME?</v>
      </c>
      <c r="CF147" s="22" t="e">
        <f t="shared" ref="CF147:CI147" ca="1" si="1234">+CF144-CF145-CF146</f>
        <v>#NAME?</v>
      </c>
      <c r="CG147" s="22" t="e">
        <f t="shared" ref="CG147:CI150" ca="1" si="1235">+CF147</f>
        <v>#NAME?</v>
      </c>
      <c r="CH147" s="22" t="e">
        <f t="shared" ca="1" si="1234"/>
        <v>#NAME?</v>
      </c>
      <c r="CI147" s="22" t="e">
        <f t="shared" ca="1" si="1234"/>
        <v>#NAME?</v>
      </c>
      <c r="CJ147" s="23" t="e">
        <f ca="1">+'QTR Raw'!BD68</f>
        <v>#NAME?</v>
      </c>
      <c r="CK147" s="23" t="e">
        <f t="shared" ref="CK147:DB147" ca="1" si="1236">+CK144-CK145-CK146</f>
        <v>#NAME?</v>
      </c>
      <c r="CL147" s="23" t="e">
        <f ca="1">+'QTR Raw'!BF68</f>
        <v>#NAME?</v>
      </c>
      <c r="CM147" s="21" t="e">
        <f t="shared" ca="1" si="1236"/>
        <v>#NAME?</v>
      </c>
      <c r="CN147" s="21" t="e">
        <f t="shared" ca="1" si="1236"/>
        <v>#NAME?</v>
      </c>
      <c r="CO147" s="21" t="e">
        <f t="shared" ca="1" si="1236"/>
        <v>#NAME?</v>
      </c>
      <c r="CP147" s="21" t="e">
        <f t="shared" ca="1" si="1236"/>
        <v>#NAME?</v>
      </c>
      <c r="CQ147" s="21" t="e">
        <f t="shared" ca="1" si="1236"/>
        <v>#NAME?</v>
      </c>
      <c r="CR147" s="21" t="e">
        <f t="shared" ca="1" si="1236"/>
        <v>#NAME?</v>
      </c>
      <c r="CS147" s="21" t="e">
        <f t="shared" ca="1" si="1236"/>
        <v>#NAME?</v>
      </c>
      <c r="CT147" s="21" t="e">
        <f t="shared" ca="1" si="1236"/>
        <v>#NAME?</v>
      </c>
      <c r="CU147" s="21" t="e">
        <f t="shared" ca="1" si="1236"/>
        <v>#NAME?</v>
      </c>
      <c r="CV147" s="21" t="e">
        <f t="shared" ca="1" si="1236"/>
        <v>#NAME?</v>
      </c>
      <c r="CW147" s="21" t="e">
        <f t="shared" ca="1" si="1236"/>
        <v>#NAME?</v>
      </c>
      <c r="CX147" s="21" t="e">
        <f t="shared" ca="1" si="1236"/>
        <v>#NAME?</v>
      </c>
      <c r="CY147" s="21" t="e">
        <f t="shared" ca="1" si="1236"/>
        <v>#NAME?</v>
      </c>
      <c r="CZ147" s="21" t="e">
        <f t="shared" ca="1" si="1236"/>
        <v>#NAME?</v>
      </c>
      <c r="DA147" s="21" t="e">
        <f t="shared" ca="1" si="1236"/>
        <v>#NAME?</v>
      </c>
      <c r="DB147" s="21" t="e">
        <f t="shared" ca="1" si="1236"/>
        <v>#NAME?</v>
      </c>
      <c r="DE147" s="126"/>
      <c r="DF147" s="22">
        <v>43270.539999999994</v>
      </c>
    </row>
    <row r="148" spans="1:110" s="23" customFormat="1" outlineLevel="1" x14ac:dyDescent="0.2">
      <c r="A148" s="23" t="s">
        <v>54</v>
      </c>
      <c r="B148" s="23" t="e">
        <f ca="1">'Annual Raw'!C86</f>
        <v>#NAME?</v>
      </c>
      <c r="C148" s="23" t="e">
        <f ca="1">'Annual Raw'!D86</f>
        <v>#NAME?</v>
      </c>
      <c r="D148" s="23" t="e">
        <f ca="1">'Annual Raw'!E86</f>
        <v>#NAME?</v>
      </c>
      <c r="E148" s="23" t="e">
        <f ca="1">'Annual Raw'!F86</f>
        <v>#NAME?</v>
      </c>
      <c r="F148" s="23" t="e">
        <f ca="1">'Annual Raw'!G86</f>
        <v>#NAME?</v>
      </c>
      <c r="G148" s="23" t="e">
        <f ca="1">'Annual Raw'!H86</f>
        <v>#NAME?</v>
      </c>
      <c r="H148" s="23" t="e">
        <f ca="1">'Annual Raw'!I86</f>
        <v>#NAME?</v>
      </c>
      <c r="I148" s="23" t="e">
        <f ca="1">'Annual Raw'!J86</f>
        <v>#NAME?</v>
      </c>
      <c r="J148" s="23" t="e">
        <f ca="1">'Annual Raw'!K86</f>
        <v>#NAME?</v>
      </c>
      <c r="K148" s="23" t="e">
        <f ca="1">'Annual Raw'!L86</f>
        <v>#NAME?</v>
      </c>
      <c r="L148" s="23" t="e">
        <f ca="1">'Annual Raw'!M86</f>
        <v>#NAME?</v>
      </c>
      <c r="M148" s="23" t="e">
        <f ca="1">'Annual Raw'!N86</f>
        <v>#NAME?</v>
      </c>
      <c r="N148" s="23" t="e">
        <f ca="1">'Annual Raw'!O86</f>
        <v>#NAME?</v>
      </c>
      <c r="O148" s="23" t="e">
        <f ca="1">'Annual Raw'!P86</f>
        <v>#NAME?</v>
      </c>
      <c r="P148" s="23" t="e">
        <f ca="1">'Annual Raw'!Q86</f>
        <v>#NAME?</v>
      </c>
      <c r="Q148" s="23" t="e">
        <f ca="1">'Annual Raw'!R86</f>
        <v>#NAME?</v>
      </c>
      <c r="R148" s="23" t="e">
        <f ca="1">'Annual Raw'!S86</f>
        <v>#NAME?</v>
      </c>
      <c r="S148" s="23" t="e">
        <f ca="1">'Annual Raw'!T86</f>
        <v>#NAME?</v>
      </c>
      <c r="T148" s="23" t="e">
        <f ca="1">'Annual Raw'!U86</f>
        <v>#NAME?</v>
      </c>
      <c r="U148" s="23" t="e">
        <f ca="1">'Annual Raw'!V86</f>
        <v>#NAME?</v>
      </c>
      <c r="V148" s="23" t="e">
        <f ca="1">'Annual Raw'!W86</f>
        <v>#NAME?</v>
      </c>
      <c r="W148" s="23" t="e">
        <f ca="1">'Annual Raw'!X86</f>
        <v>#NAME?</v>
      </c>
      <c r="X148" s="23" t="e">
        <f ca="1">'Annual Raw'!Y86</f>
        <v>#NAME?</v>
      </c>
      <c r="Y148" s="23" t="e">
        <f ca="1">'Annual Raw'!Z86</f>
        <v>#NAME?</v>
      </c>
      <c r="Z148" s="23" t="e">
        <f ca="1">'Annual Raw'!AA86</f>
        <v>#NAME?</v>
      </c>
      <c r="AA148" s="23" t="e">
        <f ca="1">'Annual Raw'!AB86</f>
        <v>#NAME?</v>
      </c>
      <c r="AB148" s="24" t="e">
        <f t="shared" ca="1" si="1218"/>
        <v>#NAME?</v>
      </c>
      <c r="AC148" s="24" t="e">
        <f t="shared" ca="1" si="1219"/>
        <v>#NAME?</v>
      </c>
      <c r="AD148" s="24" t="e">
        <f t="shared" ca="1" si="1220"/>
        <v>#NAME?</v>
      </c>
      <c r="AE148" s="24" t="e">
        <f t="shared" ca="1" si="1221"/>
        <v>#NAME?</v>
      </c>
      <c r="AJ148" s="23" t="e">
        <f ca="1">+'QTR Raw'!D72</f>
        <v>#NAME?</v>
      </c>
      <c r="AK148" s="23" t="e">
        <f ca="1">+AJ148</f>
        <v>#NAME?</v>
      </c>
      <c r="AL148" s="23" t="e">
        <f ca="1">+'QTR Raw'!F72</f>
        <v>#NAME?</v>
      </c>
      <c r="AM148" s="23" t="e">
        <f t="shared" ref="AK148:CE150" ca="1" si="1237">+AL148</f>
        <v>#NAME?</v>
      </c>
      <c r="AN148" s="23" t="e">
        <f ca="1">+'QTR Raw'!H72</f>
        <v>#NAME?</v>
      </c>
      <c r="AO148" s="23" t="e">
        <f t="shared" ca="1" si="1237"/>
        <v>#NAME?</v>
      </c>
      <c r="AP148" s="23" t="e">
        <f ca="1">+'QTR Raw'!J72</f>
        <v>#NAME?</v>
      </c>
      <c r="AQ148" s="23" t="e">
        <f t="shared" ca="1" si="1237"/>
        <v>#NAME?</v>
      </c>
      <c r="AR148" s="23" t="e">
        <f ca="1">+'QTR Raw'!L72</f>
        <v>#NAME?</v>
      </c>
      <c r="AS148" s="23" t="e">
        <f t="shared" ca="1" si="1237"/>
        <v>#NAME?</v>
      </c>
      <c r="AT148" s="23" t="e">
        <f ca="1">+'QTR Raw'!N72</f>
        <v>#NAME?</v>
      </c>
      <c r="AU148" s="23" t="e">
        <f t="shared" ca="1" si="1237"/>
        <v>#NAME?</v>
      </c>
      <c r="AV148" s="23" t="e">
        <f ca="1">+'QTR Raw'!P72</f>
        <v>#NAME?</v>
      </c>
      <c r="AW148" s="23" t="e">
        <f t="shared" ca="1" si="1237"/>
        <v>#NAME?</v>
      </c>
      <c r="AX148" s="23" t="e">
        <f ca="1">+'QTR Raw'!R72</f>
        <v>#NAME?</v>
      </c>
      <c r="AY148" s="23" t="e">
        <f t="shared" ca="1" si="1237"/>
        <v>#NAME?</v>
      </c>
      <c r="AZ148" s="23" t="e">
        <f ca="1">+'QTR Raw'!T72</f>
        <v>#NAME?</v>
      </c>
      <c r="BA148" s="23" t="e">
        <f t="shared" ca="1" si="1237"/>
        <v>#NAME?</v>
      </c>
      <c r="BB148" s="23" t="e">
        <f ca="1">+'QTR Raw'!V72</f>
        <v>#NAME?</v>
      </c>
      <c r="BC148" s="23" t="e">
        <f t="shared" ca="1" si="1237"/>
        <v>#NAME?</v>
      </c>
      <c r="BD148" s="23" t="e">
        <f ca="1">+'QTR Raw'!X72</f>
        <v>#NAME?</v>
      </c>
      <c r="BE148" s="23" t="e">
        <f t="shared" ca="1" si="1237"/>
        <v>#NAME?</v>
      </c>
      <c r="BF148" s="23" t="e">
        <f ca="1">+'QTR Raw'!Z72</f>
        <v>#NAME?</v>
      </c>
      <c r="BG148" s="23" t="e">
        <f t="shared" ca="1" si="1237"/>
        <v>#NAME?</v>
      </c>
      <c r="BH148" s="23" t="e">
        <f ca="1">+'QTR Raw'!AB72</f>
        <v>#NAME?</v>
      </c>
      <c r="BI148" s="23" t="e">
        <f t="shared" ca="1" si="1237"/>
        <v>#NAME?</v>
      </c>
      <c r="BJ148" s="23" t="e">
        <f ca="1">+'QTR Raw'!AD72</f>
        <v>#NAME?</v>
      </c>
      <c r="BK148" s="23" t="e">
        <f t="shared" ca="1" si="1237"/>
        <v>#NAME?</v>
      </c>
      <c r="BL148" s="23" t="e">
        <f ca="1">+'QTR Raw'!AF72</f>
        <v>#NAME?</v>
      </c>
      <c r="BM148" s="23" t="e">
        <f t="shared" ca="1" si="1237"/>
        <v>#NAME?</v>
      </c>
      <c r="BN148" s="23" t="e">
        <f ca="1">+'QTR Raw'!AH72</f>
        <v>#NAME?</v>
      </c>
      <c r="BO148" s="23" t="e">
        <f t="shared" ca="1" si="1237"/>
        <v>#NAME?</v>
      </c>
      <c r="BP148" s="23" t="e">
        <f ca="1">+'QTR Raw'!AJ72</f>
        <v>#NAME?</v>
      </c>
      <c r="BQ148" s="23" t="e">
        <f t="shared" ca="1" si="1237"/>
        <v>#NAME?</v>
      </c>
      <c r="BR148" s="23" t="e">
        <f ca="1">+'QTR Raw'!AL72</f>
        <v>#NAME?</v>
      </c>
      <c r="BS148" s="23" t="e">
        <f t="shared" ca="1" si="1237"/>
        <v>#NAME?</v>
      </c>
      <c r="BT148" s="23" t="e">
        <f ca="1">+'QTR Raw'!AN72</f>
        <v>#NAME?</v>
      </c>
      <c r="BU148" s="23" t="e">
        <f t="shared" ca="1" si="1237"/>
        <v>#NAME?</v>
      </c>
      <c r="BV148" s="23" t="e">
        <f ca="1">+'QTR Raw'!AP72</f>
        <v>#NAME?</v>
      </c>
      <c r="BW148" s="23" t="e">
        <f t="shared" ca="1" si="1237"/>
        <v>#NAME?</v>
      </c>
      <c r="BX148" s="23" t="e">
        <f ca="1">+'QTR Raw'!AR72</f>
        <v>#NAME?</v>
      </c>
      <c r="BY148" s="23" t="e">
        <f t="shared" ca="1" si="1237"/>
        <v>#NAME?</v>
      </c>
      <c r="BZ148" s="23" t="e">
        <f ca="1">+'QTR Raw'!AT72</f>
        <v>#NAME?</v>
      </c>
      <c r="CA148" s="23" t="e">
        <f t="shared" ca="1" si="1237"/>
        <v>#NAME?</v>
      </c>
      <c r="CB148" s="23" t="e">
        <f ca="1">+'QTR Raw'!AV72</f>
        <v>#NAME?</v>
      </c>
      <c r="CC148" s="23" t="e">
        <f t="shared" ca="1" si="1237"/>
        <v>#NAME?</v>
      </c>
      <c r="CD148" s="23" t="e">
        <f ca="1">+'QTR Raw'!AX72</f>
        <v>#NAME?</v>
      </c>
      <c r="CE148" s="23" t="e">
        <f t="shared" ca="1" si="1237"/>
        <v>#NAME?</v>
      </c>
      <c r="CF148" s="23" t="e">
        <f ca="1">+'QTR Raw'!AZ72</f>
        <v>#NAME?</v>
      </c>
      <c r="CG148" s="23" t="e">
        <f t="shared" ca="1" si="1235"/>
        <v>#NAME?</v>
      </c>
      <c r="CH148" s="23" t="e">
        <f t="shared" ca="1" si="1222"/>
        <v>#NAME?</v>
      </c>
      <c r="CI148" s="23" t="e">
        <f t="shared" ca="1" si="1235"/>
        <v>#NAME?</v>
      </c>
      <c r="CJ148" s="23" t="e">
        <f ca="1">+'QTR Raw'!BD72</f>
        <v>#NAME?</v>
      </c>
      <c r="CK148" s="23" t="e">
        <f t="shared" ref="CK148:CK150" ca="1" si="1238">+CJ148</f>
        <v>#NAME?</v>
      </c>
      <c r="CL148" s="23" t="e">
        <f ca="1">+'QTR Raw'!BF72</f>
        <v>#NAME?</v>
      </c>
      <c r="CM148" s="24" t="e">
        <f t="shared" ref="CM148:CM150" ca="1" si="1239">+CL148</f>
        <v>#NAME?</v>
      </c>
      <c r="CN148" s="24" t="e">
        <f t="shared" ref="CN148:CN150" ca="1" si="1240">+CM148</f>
        <v>#NAME?</v>
      </c>
      <c r="CO148" s="24" t="e">
        <f t="shared" ref="CO148:CO150" ca="1" si="1241">+CN148</f>
        <v>#NAME?</v>
      </c>
      <c r="CP148" s="24" t="e">
        <f t="shared" ref="CP148:CP150" ca="1" si="1242">+CO148</f>
        <v>#NAME?</v>
      </c>
      <c r="CQ148" s="24" t="e">
        <f t="shared" ref="CQ148:CQ150" ca="1" si="1243">+CP148</f>
        <v>#NAME?</v>
      </c>
      <c r="CR148" s="24" t="e">
        <f t="shared" ref="CR148:CR150" ca="1" si="1244">+CQ148</f>
        <v>#NAME?</v>
      </c>
      <c r="CS148" s="24" t="e">
        <f t="shared" ref="CS148:CS150" ca="1" si="1245">+CR148</f>
        <v>#NAME?</v>
      </c>
      <c r="CT148" s="24" t="e">
        <f t="shared" ref="CT148:CT150" ca="1" si="1246">+CS148</f>
        <v>#NAME?</v>
      </c>
      <c r="CU148" s="24" t="e">
        <f t="shared" ref="CU148:CU150" ca="1" si="1247">+CT148</f>
        <v>#NAME?</v>
      </c>
      <c r="CV148" s="24" t="e">
        <f t="shared" ref="CV148:CV150" ca="1" si="1248">+CU148</f>
        <v>#NAME?</v>
      </c>
      <c r="CW148" s="24" t="e">
        <f t="shared" ref="CW148:CW150" ca="1" si="1249">+CV148</f>
        <v>#NAME?</v>
      </c>
      <c r="CX148" s="24" t="e">
        <f t="shared" ref="CX148:CX150" ca="1" si="1250">+CW148</f>
        <v>#NAME?</v>
      </c>
      <c r="CY148" s="24" t="e">
        <f t="shared" ref="CY148:CY150" ca="1" si="1251">+CX148</f>
        <v>#NAME?</v>
      </c>
      <c r="CZ148" s="24" t="e">
        <f t="shared" ref="CZ148:CZ150" ca="1" si="1252">+CY148</f>
        <v>#NAME?</v>
      </c>
      <c r="DA148" s="24" t="e">
        <f t="shared" ref="DA148:DA150" ca="1" si="1253">+CZ148</f>
        <v>#NAME?</v>
      </c>
      <c r="DB148" s="24" t="e">
        <f t="shared" ref="DB148:DB150" ca="1" si="1254">+DA148</f>
        <v>#NAME?</v>
      </c>
      <c r="DE148" s="123"/>
      <c r="DF148" s="23">
        <v>13545.52</v>
      </c>
    </row>
    <row r="149" spans="1:110" s="23" customFormat="1" outlineLevel="1" x14ac:dyDescent="0.2">
      <c r="A149" s="23" t="s">
        <v>55</v>
      </c>
      <c r="B149" s="23" t="e">
        <f ca="1">'Annual Raw'!C68</f>
        <v>#NAME?</v>
      </c>
      <c r="C149" s="23" t="e">
        <f ca="1">'Annual Raw'!D68</f>
        <v>#NAME?</v>
      </c>
      <c r="D149" s="23" t="e">
        <f ca="1">'Annual Raw'!E68</f>
        <v>#NAME?</v>
      </c>
      <c r="E149" s="23" t="e">
        <f ca="1">'Annual Raw'!F68</f>
        <v>#NAME?</v>
      </c>
      <c r="F149" s="23" t="e">
        <f ca="1">'Annual Raw'!G68</f>
        <v>#NAME?</v>
      </c>
      <c r="G149" s="23" t="e">
        <f ca="1">'Annual Raw'!H68</f>
        <v>#NAME?</v>
      </c>
      <c r="H149" s="23" t="e">
        <f ca="1">'Annual Raw'!I68</f>
        <v>#NAME?</v>
      </c>
      <c r="I149" s="23" t="e">
        <f ca="1">'Annual Raw'!J68</f>
        <v>#NAME?</v>
      </c>
      <c r="J149" s="23" t="e">
        <f ca="1">'Annual Raw'!K68</f>
        <v>#NAME?</v>
      </c>
      <c r="K149" s="23" t="e">
        <f ca="1">'Annual Raw'!L68</f>
        <v>#NAME?</v>
      </c>
      <c r="L149" s="23" t="e">
        <f ca="1">'Annual Raw'!M68</f>
        <v>#NAME?</v>
      </c>
      <c r="M149" s="23" t="e">
        <f ca="1">'Annual Raw'!N68</f>
        <v>#NAME?</v>
      </c>
      <c r="N149" s="23" t="e">
        <f ca="1">'Annual Raw'!O68</f>
        <v>#NAME?</v>
      </c>
      <c r="O149" s="23" t="e">
        <f ca="1">'Annual Raw'!P68</f>
        <v>#NAME?</v>
      </c>
      <c r="P149" s="23" t="e">
        <f ca="1">'Annual Raw'!Q68</f>
        <v>#NAME?</v>
      </c>
      <c r="Q149" s="23" t="e">
        <f ca="1">'Annual Raw'!R68</f>
        <v>#NAME?</v>
      </c>
      <c r="R149" s="23" t="e">
        <f ca="1">'Annual Raw'!S68</f>
        <v>#NAME?</v>
      </c>
      <c r="S149" s="23" t="e">
        <f ca="1">'Annual Raw'!T68</f>
        <v>#NAME?</v>
      </c>
      <c r="T149" s="23" t="e">
        <f ca="1">'Annual Raw'!U68</f>
        <v>#NAME?</v>
      </c>
      <c r="U149" s="23" t="e">
        <f ca="1">'Annual Raw'!V68</f>
        <v>#NAME?</v>
      </c>
      <c r="V149" s="23" t="e">
        <f ca="1">'Annual Raw'!W68</f>
        <v>#NAME?</v>
      </c>
      <c r="W149" s="23" t="e">
        <f ca="1">'Annual Raw'!X68</f>
        <v>#NAME?</v>
      </c>
      <c r="X149" s="23" t="e">
        <f ca="1">'Annual Raw'!Y68</f>
        <v>#NAME?</v>
      </c>
      <c r="Y149" s="23" t="e">
        <f ca="1">'Annual Raw'!Z68</f>
        <v>#NAME?</v>
      </c>
      <c r="Z149" s="23" t="e">
        <f ca="1">'Annual Raw'!AA68</f>
        <v>#NAME?</v>
      </c>
      <c r="AA149" s="23" t="e">
        <f ca="1">'Annual Raw'!AB68</f>
        <v>#NAME?</v>
      </c>
      <c r="AB149" s="24">
        <f t="shared" si="1218"/>
        <v>0</v>
      </c>
      <c r="AC149" s="24">
        <f t="shared" si="1219"/>
        <v>0</v>
      </c>
      <c r="AD149" s="24">
        <f t="shared" si="1220"/>
        <v>0</v>
      </c>
      <c r="AE149" s="24">
        <f t="shared" si="1221"/>
        <v>0</v>
      </c>
      <c r="AK149" s="23">
        <f t="shared" si="1237"/>
        <v>0</v>
      </c>
      <c r="AM149" s="23">
        <f t="shared" si="1237"/>
        <v>0</v>
      </c>
      <c r="AO149" s="23">
        <f t="shared" si="1237"/>
        <v>0</v>
      </c>
      <c r="AQ149" s="23">
        <f t="shared" si="1237"/>
        <v>0</v>
      </c>
      <c r="AS149" s="23">
        <f t="shared" si="1237"/>
        <v>0</v>
      </c>
      <c r="AU149" s="23">
        <f t="shared" si="1237"/>
        <v>0</v>
      </c>
      <c r="AW149" s="23">
        <f t="shared" si="1237"/>
        <v>0</v>
      </c>
      <c r="AY149" s="23">
        <f t="shared" si="1237"/>
        <v>0</v>
      </c>
      <c r="BA149" s="23">
        <f t="shared" si="1237"/>
        <v>0</v>
      </c>
      <c r="BC149" s="23">
        <f t="shared" si="1237"/>
        <v>0</v>
      </c>
      <c r="BE149" s="23">
        <f t="shared" si="1237"/>
        <v>0</v>
      </c>
      <c r="BG149" s="23">
        <f t="shared" si="1237"/>
        <v>0</v>
      </c>
      <c r="BI149" s="23">
        <f t="shared" si="1237"/>
        <v>0</v>
      </c>
      <c r="BK149" s="23">
        <f t="shared" si="1237"/>
        <v>0</v>
      </c>
      <c r="BM149" s="23">
        <f t="shared" si="1237"/>
        <v>0</v>
      </c>
      <c r="BO149" s="23">
        <f t="shared" si="1237"/>
        <v>0</v>
      </c>
      <c r="BQ149" s="23">
        <f t="shared" si="1237"/>
        <v>0</v>
      </c>
      <c r="BS149" s="23">
        <f t="shared" si="1237"/>
        <v>0</v>
      </c>
      <c r="BU149" s="23">
        <f t="shared" si="1237"/>
        <v>0</v>
      </c>
      <c r="BW149" s="23">
        <f t="shared" si="1237"/>
        <v>0</v>
      </c>
      <c r="BY149" s="23">
        <f t="shared" si="1237"/>
        <v>0</v>
      </c>
      <c r="CA149" s="23">
        <f t="shared" si="1237"/>
        <v>0</v>
      </c>
      <c r="CC149" s="23">
        <f t="shared" si="1237"/>
        <v>0</v>
      </c>
      <c r="CE149" s="23">
        <f t="shared" si="1237"/>
        <v>0</v>
      </c>
      <c r="CG149" s="23">
        <f t="shared" si="1235"/>
        <v>0</v>
      </c>
      <c r="CH149" s="23" t="e">
        <f t="shared" ca="1" si="1222"/>
        <v>#NAME?</v>
      </c>
      <c r="CI149" s="23" t="e">
        <f t="shared" ca="1" si="1235"/>
        <v>#NAME?</v>
      </c>
      <c r="CK149" s="23">
        <f t="shared" si="1238"/>
        <v>0</v>
      </c>
      <c r="CM149" s="24">
        <f t="shared" si="1239"/>
        <v>0</v>
      </c>
      <c r="CN149" s="24">
        <f t="shared" si="1240"/>
        <v>0</v>
      </c>
      <c r="CO149" s="24">
        <f t="shared" si="1241"/>
        <v>0</v>
      </c>
      <c r="CP149" s="24">
        <f t="shared" si="1242"/>
        <v>0</v>
      </c>
      <c r="CQ149" s="24">
        <f t="shared" si="1243"/>
        <v>0</v>
      </c>
      <c r="CR149" s="24">
        <f t="shared" si="1244"/>
        <v>0</v>
      </c>
      <c r="CS149" s="24">
        <f t="shared" si="1245"/>
        <v>0</v>
      </c>
      <c r="CT149" s="24">
        <f t="shared" si="1246"/>
        <v>0</v>
      </c>
      <c r="CU149" s="24">
        <f t="shared" si="1247"/>
        <v>0</v>
      </c>
      <c r="CV149" s="24">
        <f t="shared" si="1248"/>
        <v>0</v>
      </c>
      <c r="CW149" s="24">
        <f t="shared" si="1249"/>
        <v>0</v>
      </c>
      <c r="CX149" s="24">
        <f t="shared" si="1250"/>
        <v>0</v>
      </c>
      <c r="CY149" s="24">
        <f t="shared" si="1251"/>
        <v>0</v>
      </c>
      <c r="CZ149" s="24">
        <f t="shared" si="1252"/>
        <v>0</v>
      </c>
      <c r="DA149" s="24">
        <f t="shared" si="1253"/>
        <v>0</v>
      </c>
      <c r="DB149" s="24">
        <f t="shared" si="1254"/>
        <v>0</v>
      </c>
      <c r="DE149" s="123"/>
      <c r="DF149" s="23">
        <v>0</v>
      </c>
    </row>
    <row r="150" spans="1:110" s="23" customFormat="1" outlineLevel="1" x14ac:dyDescent="0.2">
      <c r="A150" s="23" t="s">
        <v>56</v>
      </c>
      <c r="B150" s="23" t="e">
        <f ca="1">'Annual Raw'!C67+'Annual Raw'!C66+'Annual Raw'!C69+'Annual Raw'!C70</f>
        <v>#NAME?</v>
      </c>
      <c r="C150" s="23" t="e">
        <f ca="1">'Annual Raw'!D67+'Annual Raw'!D66+'Annual Raw'!D69+'Annual Raw'!D70</f>
        <v>#NAME?</v>
      </c>
      <c r="D150" s="23" t="e">
        <f ca="1">'Annual Raw'!E67+'Annual Raw'!E66+'Annual Raw'!E69+'Annual Raw'!E70</f>
        <v>#NAME?</v>
      </c>
      <c r="E150" s="23" t="e">
        <f ca="1">'Annual Raw'!F67+'Annual Raw'!F66+'Annual Raw'!F69+'Annual Raw'!F70</f>
        <v>#NAME?</v>
      </c>
      <c r="F150" s="23" t="e">
        <f ca="1">'Annual Raw'!G67+'Annual Raw'!G66+'Annual Raw'!G69+'Annual Raw'!G70</f>
        <v>#NAME?</v>
      </c>
      <c r="G150" s="23" t="e">
        <f ca="1">'Annual Raw'!H67+'Annual Raw'!H66+'Annual Raw'!H69+'Annual Raw'!H70</f>
        <v>#NAME?</v>
      </c>
      <c r="H150" s="23" t="e">
        <f ca="1">'Annual Raw'!I67+'Annual Raw'!I66+'Annual Raw'!I69+'Annual Raw'!I70</f>
        <v>#NAME?</v>
      </c>
      <c r="I150" s="23" t="e">
        <f ca="1">'Annual Raw'!J67+'Annual Raw'!J66+'Annual Raw'!J69+'Annual Raw'!J70</f>
        <v>#NAME?</v>
      </c>
      <c r="J150" s="23" t="e">
        <f ca="1">'Annual Raw'!K67+'Annual Raw'!K66+'Annual Raw'!K69+'Annual Raw'!K70</f>
        <v>#NAME?</v>
      </c>
      <c r="K150" s="23" t="e">
        <f ca="1">'Annual Raw'!L67+'Annual Raw'!L66+'Annual Raw'!L69+'Annual Raw'!L70</f>
        <v>#NAME?</v>
      </c>
      <c r="L150" s="23" t="e">
        <f ca="1">'Annual Raw'!M67+'Annual Raw'!M66+'Annual Raw'!M69+'Annual Raw'!M70</f>
        <v>#NAME?</v>
      </c>
      <c r="M150" s="23" t="e">
        <f ca="1">'Annual Raw'!N67+'Annual Raw'!N66+'Annual Raw'!N69+'Annual Raw'!N70</f>
        <v>#NAME?</v>
      </c>
      <c r="N150" s="23" t="e">
        <f ca="1">'Annual Raw'!O67+'Annual Raw'!O66+'Annual Raw'!O69+'Annual Raw'!O70</f>
        <v>#NAME?</v>
      </c>
      <c r="O150" s="23" t="e">
        <f ca="1">'Annual Raw'!P67+'Annual Raw'!P66+'Annual Raw'!P69+'Annual Raw'!P70</f>
        <v>#NAME?</v>
      </c>
      <c r="P150" s="23" t="e">
        <f ca="1">'Annual Raw'!Q67+'Annual Raw'!Q66+'Annual Raw'!Q69+'Annual Raw'!Q70</f>
        <v>#NAME?</v>
      </c>
      <c r="Q150" s="23" t="e">
        <f ca="1">'Annual Raw'!R67+'Annual Raw'!R66+'Annual Raw'!R69+'Annual Raw'!R70</f>
        <v>#NAME?</v>
      </c>
      <c r="R150" s="23" t="e">
        <f ca="1">'Annual Raw'!S67+'Annual Raw'!S66+'Annual Raw'!S69+'Annual Raw'!S70</f>
        <v>#NAME?</v>
      </c>
      <c r="S150" s="23" t="e">
        <f ca="1">'Annual Raw'!T67+'Annual Raw'!T66+'Annual Raw'!T69+'Annual Raw'!T70</f>
        <v>#NAME?</v>
      </c>
      <c r="T150" s="23" t="e">
        <f ca="1">'Annual Raw'!U67+'Annual Raw'!U66+'Annual Raw'!U69+'Annual Raw'!U70</f>
        <v>#NAME?</v>
      </c>
      <c r="U150" s="23" t="e">
        <f ca="1">'Annual Raw'!V67+'Annual Raw'!V66+'Annual Raw'!V69+'Annual Raw'!V70</f>
        <v>#NAME?</v>
      </c>
      <c r="V150" s="23" t="e">
        <f ca="1">'Annual Raw'!W67+'Annual Raw'!W66+'Annual Raw'!W69+'Annual Raw'!W70</f>
        <v>#NAME?</v>
      </c>
      <c r="W150" s="23" t="e">
        <f ca="1">'Annual Raw'!X67+'Annual Raw'!X66+'Annual Raw'!X69+'Annual Raw'!X70</f>
        <v>#NAME?</v>
      </c>
      <c r="X150" s="23" t="e">
        <f ca="1">'Annual Raw'!Y67+'Annual Raw'!Y66+'Annual Raw'!Y69+'Annual Raw'!Y70</f>
        <v>#NAME?</v>
      </c>
      <c r="Y150" s="23" t="e">
        <f ca="1">'Annual Raw'!Z67+'Annual Raw'!Z66+'Annual Raw'!Z69+'Annual Raw'!Z70</f>
        <v>#NAME?</v>
      </c>
      <c r="Z150" s="23" t="e">
        <f ca="1">'Annual Raw'!AA67+'Annual Raw'!AA66+'Annual Raw'!AA69+'Annual Raw'!AA70</f>
        <v>#NAME?</v>
      </c>
      <c r="AA150" s="23" t="e">
        <f ca="1">'Annual Raw'!AB67+'Annual Raw'!AB66+'Annual Raw'!AB69+'Annual Raw'!AB70</f>
        <v>#NAME?</v>
      </c>
      <c r="AB150" s="24" t="e">
        <f t="shared" ca="1" si="1218"/>
        <v>#NAME?</v>
      </c>
      <c r="AC150" s="24" t="e">
        <f t="shared" ca="1" si="1219"/>
        <v>#NAME?</v>
      </c>
      <c r="AD150" s="24" t="e">
        <f t="shared" ca="1" si="1220"/>
        <v>#NAME?</v>
      </c>
      <c r="AE150" s="24" t="e">
        <f t="shared" ca="1" si="1221"/>
        <v>#NAME?</v>
      </c>
      <c r="AJ150" s="23" t="e">
        <f ca="1">+'QTR Raw'!D74+'QTR Raw'!D75</f>
        <v>#NAME?</v>
      </c>
      <c r="AK150" s="23" t="e">
        <f t="shared" ca="1" si="1237"/>
        <v>#NAME?</v>
      </c>
      <c r="AL150" s="23" t="e">
        <f ca="1">+'QTR Raw'!F74+'QTR Raw'!F75</f>
        <v>#NAME?</v>
      </c>
      <c r="AM150" s="23" t="e">
        <f t="shared" ca="1" si="1237"/>
        <v>#NAME?</v>
      </c>
      <c r="AN150" s="23" t="e">
        <f ca="1">+'QTR Raw'!H74+'QTR Raw'!H75</f>
        <v>#NAME?</v>
      </c>
      <c r="AO150" s="23" t="e">
        <f t="shared" ca="1" si="1237"/>
        <v>#NAME?</v>
      </c>
      <c r="AP150" s="23" t="e">
        <f ca="1">+'QTR Raw'!J74+'QTR Raw'!J75</f>
        <v>#NAME?</v>
      </c>
      <c r="AQ150" s="23" t="e">
        <f t="shared" ca="1" si="1237"/>
        <v>#NAME?</v>
      </c>
      <c r="AR150" s="23" t="e">
        <f ca="1">+'QTR Raw'!L74+'QTR Raw'!L75</f>
        <v>#NAME?</v>
      </c>
      <c r="AS150" s="23" t="e">
        <f t="shared" ca="1" si="1237"/>
        <v>#NAME?</v>
      </c>
      <c r="AT150" s="23" t="e">
        <f ca="1">+'QTR Raw'!N74+'QTR Raw'!N75</f>
        <v>#NAME?</v>
      </c>
      <c r="AU150" s="23" t="e">
        <f t="shared" ca="1" si="1237"/>
        <v>#NAME?</v>
      </c>
      <c r="AV150" s="23" t="e">
        <f ca="1">+'QTR Raw'!P74+'QTR Raw'!P75</f>
        <v>#NAME?</v>
      </c>
      <c r="AW150" s="23" t="e">
        <f t="shared" ca="1" si="1237"/>
        <v>#NAME?</v>
      </c>
      <c r="AX150" s="23" t="e">
        <f ca="1">+'QTR Raw'!R74+'QTR Raw'!R75</f>
        <v>#NAME?</v>
      </c>
      <c r="AY150" s="23" t="e">
        <f t="shared" ca="1" si="1237"/>
        <v>#NAME?</v>
      </c>
      <c r="AZ150" s="23" t="e">
        <f ca="1">+'QTR Raw'!T74+'QTR Raw'!T75</f>
        <v>#NAME?</v>
      </c>
      <c r="BA150" s="23" t="e">
        <f t="shared" ca="1" si="1237"/>
        <v>#NAME?</v>
      </c>
      <c r="BB150" s="23" t="e">
        <f ca="1">+'QTR Raw'!V74+'QTR Raw'!V75</f>
        <v>#NAME?</v>
      </c>
      <c r="BC150" s="23" t="e">
        <f t="shared" ca="1" si="1237"/>
        <v>#NAME?</v>
      </c>
      <c r="BD150" s="23" t="e">
        <f ca="1">+'QTR Raw'!X74+'QTR Raw'!X75</f>
        <v>#NAME?</v>
      </c>
      <c r="BE150" s="23" t="e">
        <f t="shared" ca="1" si="1237"/>
        <v>#NAME?</v>
      </c>
      <c r="BF150" s="23" t="e">
        <f ca="1">+'QTR Raw'!Z74+'QTR Raw'!Z75</f>
        <v>#NAME?</v>
      </c>
      <c r="BG150" s="23" t="e">
        <f t="shared" ca="1" si="1237"/>
        <v>#NAME?</v>
      </c>
      <c r="BH150" s="23" t="e">
        <f ca="1">+'QTR Raw'!AB74+'QTR Raw'!AB75</f>
        <v>#NAME?</v>
      </c>
      <c r="BI150" s="23" t="e">
        <f t="shared" ca="1" si="1237"/>
        <v>#NAME?</v>
      </c>
      <c r="BJ150" s="23" t="e">
        <f ca="1">+'QTR Raw'!AD74+'QTR Raw'!AD75</f>
        <v>#NAME?</v>
      </c>
      <c r="BK150" s="23" t="e">
        <f t="shared" ca="1" si="1237"/>
        <v>#NAME?</v>
      </c>
      <c r="BL150" s="23" t="e">
        <f ca="1">+'QTR Raw'!AF74+'QTR Raw'!AF75</f>
        <v>#NAME?</v>
      </c>
      <c r="BM150" s="23" t="e">
        <f t="shared" ca="1" si="1237"/>
        <v>#NAME?</v>
      </c>
      <c r="BN150" s="23" t="e">
        <f ca="1">+'QTR Raw'!AH74+'QTR Raw'!AH75</f>
        <v>#NAME?</v>
      </c>
      <c r="BO150" s="23" t="e">
        <f t="shared" ca="1" si="1237"/>
        <v>#NAME?</v>
      </c>
      <c r="BP150" s="23" t="e">
        <f ca="1">+'QTR Raw'!AJ74+'QTR Raw'!AJ75</f>
        <v>#NAME?</v>
      </c>
      <c r="BQ150" s="23" t="e">
        <f t="shared" ca="1" si="1237"/>
        <v>#NAME?</v>
      </c>
      <c r="BR150" s="23" t="e">
        <f ca="1">+'QTR Raw'!AL74+'QTR Raw'!AL75</f>
        <v>#NAME?</v>
      </c>
      <c r="BS150" s="23" t="e">
        <f t="shared" ca="1" si="1237"/>
        <v>#NAME?</v>
      </c>
      <c r="BT150" s="23" t="e">
        <f ca="1">+'QTR Raw'!AN74+'QTR Raw'!AN75</f>
        <v>#NAME?</v>
      </c>
      <c r="BU150" s="23" t="e">
        <f t="shared" ca="1" si="1237"/>
        <v>#NAME?</v>
      </c>
      <c r="BV150" s="23" t="e">
        <f ca="1">+'QTR Raw'!AP74+'QTR Raw'!AP75</f>
        <v>#NAME?</v>
      </c>
      <c r="BW150" s="23" t="e">
        <f t="shared" ca="1" si="1237"/>
        <v>#NAME?</v>
      </c>
      <c r="BX150" s="23" t="e">
        <f ca="1">+'QTR Raw'!AR74+'QTR Raw'!AR75</f>
        <v>#NAME?</v>
      </c>
      <c r="BY150" s="23" t="e">
        <f t="shared" ca="1" si="1237"/>
        <v>#NAME?</v>
      </c>
      <c r="BZ150" s="23" t="e">
        <f ca="1">+'QTR Raw'!AT74+'QTR Raw'!AT75</f>
        <v>#NAME?</v>
      </c>
      <c r="CA150" s="23" t="e">
        <f t="shared" ca="1" si="1237"/>
        <v>#NAME?</v>
      </c>
      <c r="CB150" s="23" t="e">
        <f ca="1">+'QTR Raw'!AV74+'QTR Raw'!AV75</f>
        <v>#NAME?</v>
      </c>
      <c r="CC150" s="23" t="e">
        <f t="shared" ca="1" si="1237"/>
        <v>#NAME?</v>
      </c>
      <c r="CD150" s="23" t="e">
        <f ca="1">+'QTR Raw'!AX74+'QTR Raw'!AX75</f>
        <v>#NAME?</v>
      </c>
      <c r="CE150" s="23" t="e">
        <f t="shared" ca="1" si="1237"/>
        <v>#NAME?</v>
      </c>
      <c r="CF150" s="23" t="e">
        <f ca="1">+'QTR Raw'!AZ74+'QTR Raw'!AZ75</f>
        <v>#NAME?</v>
      </c>
      <c r="CG150" s="23" t="e">
        <f t="shared" ca="1" si="1235"/>
        <v>#NAME?</v>
      </c>
      <c r="CH150" s="23" t="e">
        <f t="shared" ca="1" si="1222"/>
        <v>#NAME?</v>
      </c>
      <c r="CI150" s="23" t="e">
        <f t="shared" ca="1" si="1235"/>
        <v>#NAME?</v>
      </c>
      <c r="CJ150" s="23" t="e">
        <f ca="1">+'QTR Raw'!BD74+'QTR Raw'!BD75</f>
        <v>#NAME?</v>
      </c>
      <c r="CK150" s="23" t="e">
        <f t="shared" ca="1" si="1238"/>
        <v>#NAME?</v>
      </c>
      <c r="CL150" s="23" t="e">
        <f ca="1">+'QTR Raw'!BF74+'QTR Raw'!BF75</f>
        <v>#NAME?</v>
      </c>
      <c r="CM150" s="24" t="e">
        <f t="shared" ca="1" si="1239"/>
        <v>#NAME?</v>
      </c>
      <c r="CN150" s="24" t="e">
        <f t="shared" ca="1" si="1240"/>
        <v>#NAME?</v>
      </c>
      <c r="CO150" s="24" t="e">
        <f t="shared" ca="1" si="1241"/>
        <v>#NAME?</v>
      </c>
      <c r="CP150" s="24" t="e">
        <f t="shared" ca="1" si="1242"/>
        <v>#NAME?</v>
      </c>
      <c r="CQ150" s="24" t="e">
        <f t="shared" ca="1" si="1243"/>
        <v>#NAME?</v>
      </c>
      <c r="CR150" s="24" t="e">
        <f t="shared" ca="1" si="1244"/>
        <v>#NAME?</v>
      </c>
      <c r="CS150" s="24" t="e">
        <f t="shared" ca="1" si="1245"/>
        <v>#NAME?</v>
      </c>
      <c r="CT150" s="24" t="e">
        <f t="shared" ca="1" si="1246"/>
        <v>#NAME?</v>
      </c>
      <c r="CU150" s="24" t="e">
        <f t="shared" ca="1" si="1247"/>
        <v>#NAME?</v>
      </c>
      <c r="CV150" s="24" t="e">
        <f t="shared" ca="1" si="1248"/>
        <v>#NAME?</v>
      </c>
      <c r="CW150" s="24" t="e">
        <f t="shared" ca="1" si="1249"/>
        <v>#NAME?</v>
      </c>
      <c r="CX150" s="24" t="e">
        <f t="shared" ca="1" si="1250"/>
        <v>#NAME?</v>
      </c>
      <c r="CY150" s="24" t="e">
        <f t="shared" ca="1" si="1251"/>
        <v>#NAME?</v>
      </c>
      <c r="CZ150" s="24" t="e">
        <f t="shared" ca="1" si="1252"/>
        <v>#NAME?</v>
      </c>
      <c r="DA150" s="24" t="e">
        <f t="shared" ca="1" si="1253"/>
        <v>#NAME?</v>
      </c>
      <c r="DB150" s="24" t="e">
        <f t="shared" ca="1" si="1254"/>
        <v>#NAME?</v>
      </c>
      <c r="DE150" s="123"/>
      <c r="DF150" s="23">
        <v>9084.7000000000007</v>
      </c>
    </row>
    <row r="151" spans="1:110" s="22" customFormat="1" x14ac:dyDescent="0.2">
      <c r="A151" s="22" t="s">
        <v>57</v>
      </c>
      <c r="B151" s="22" t="e">
        <f ca="1">B147+B150+B149</f>
        <v>#NAME?</v>
      </c>
      <c r="C151" s="22" t="e">
        <f t="shared" ref="C151:D151" ca="1" si="1255">C147+C150+C149</f>
        <v>#NAME?</v>
      </c>
      <c r="D151" s="22" t="e">
        <f t="shared" ca="1" si="1255"/>
        <v>#NAME?</v>
      </c>
      <c r="E151" s="22" t="e">
        <f t="shared" ref="E151:Y151" ca="1" si="1256">E147+E150+E149+E148</f>
        <v>#NAME?</v>
      </c>
      <c r="F151" s="22" t="e">
        <f t="shared" ca="1" si="1256"/>
        <v>#NAME?</v>
      </c>
      <c r="G151" s="22" t="e">
        <f t="shared" ca="1" si="1256"/>
        <v>#NAME?</v>
      </c>
      <c r="H151" s="22" t="e">
        <f t="shared" ca="1" si="1256"/>
        <v>#NAME?</v>
      </c>
      <c r="I151" s="22" t="e">
        <f t="shared" ca="1" si="1256"/>
        <v>#NAME?</v>
      </c>
      <c r="J151" s="22" t="e">
        <f t="shared" ca="1" si="1256"/>
        <v>#NAME?</v>
      </c>
      <c r="K151" s="22" t="e">
        <f t="shared" ca="1" si="1256"/>
        <v>#NAME?</v>
      </c>
      <c r="L151" s="22" t="e">
        <f t="shared" ca="1" si="1256"/>
        <v>#NAME?</v>
      </c>
      <c r="M151" s="22" t="e">
        <f t="shared" ca="1" si="1256"/>
        <v>#NAME?</v>
      </c>
      <c r="N151" s="22" t="e">
        <f t="shared" ca="1" si="1256"/>
        <v>#NAME?</v>
      </c>
      <c r="O151" s="22" t="e">
        <f t="shared" ca="1" si="1256"/>
        <v>#NAME?</v>
      </c>
      <c r="P151" s="22" t="e">
        <f t="shared" ca="1" si="1256"/>
        <v>#NAME?</v>
      </c>
      <c r="Q151" s="22" t="e">
        <f t="shared" ca="1" si="1256"/>
        <v>#NAME?</v>
      </c>
      <c r="R151" s="22" t="e">
        <f t="shared" ca="1" si="1256"/>
        <v>#NAME?</v>
      </c>
      <c r="S151" s="22" t="e">
        <f t="shared" ca="1" si="1256"/>
        <v>#NAME?</v>
      </c>
      <c r="T151" s="22" t="e">
        <f t="shared" ca="1" si="1256"/>
        <v>#NAME?</v>
      </c>
      <c r="U151" s="22" t="e">
        <f t="shared" ca="1" si="1256"/>
        <v>#NAME?</v>
      </c>
      <c r="V151" s="22" t="e">
        <f t="shared" ca="1" si="1256"/>
        <v>#NAME?</v>
      </c>
      <c r="W151" s="22" t="e">
        <f t="shared" ca="1" si="1256"/>
        <v>#NAME?</v>
      </c>
      <c r="X151" s="22" t="e">
        <f t="shared" ca="1" si="1256"/>
        <v>#NAME?</v>
      </c>
      <c r="Y151" s="22" t="e">
        <f t="shared" ca="1" si="1256"/>
        <v>#NAME?</v>
      </c>
      <c r="Z151" s="22" t="e">
        <f ca="1">Z147+Z150+Z149+Z148</f>
        <v>#NAME?</v>
      </c>
      <c r="AA151" s="22" t="e">
        <f ca="1">AA147+AA150+AA149+AA148</f>
        <v>#NAME?</v>
      </c>
      <c r="AB151" s="161" t="e">
        <f t="shared" ref="AB151:AE151" ca="1" si="1257">AB147+AB150+AB149+AB148</f>
        <v>#NAME?</v>
      </c>
      <c r="AC151" s="161" t="e">
        <f t="shared" ca="1" si="1257"/>
        <v>#NAME?</v>
      </c>
      <c r="AD151" s="161" t="e">
        <f t="shared" ca="1" si="1257"/>
        <v>#NAME?</v>
      </c>
      <c r="AE151" s="161" t="e">
        <f t="shared" ca="1" si="1257"/>
        <v>#NAME?</v>
      </c>
      <c r="AJ151" s="22" t="e">
        <f t="shared" ref="AJ151" ca="1" si="1258">AJ147+AJ150+AJ148+AJ149</f>
        <v>#NAME?</v>
      </c>
      <c r="AK151" s="22" t="e">
        <f t="shared" ref="AK151" ca="1" si="1259">AK147+AK150+AK148+AK149</f>
        <v>#NAME?</v>
      </c>
      <c r="AL151" s="22" t="e">
        <f t="shared" ref="AL151:AM151" ca="1" si="1260">AL147+AL150+AL148+AL149</f>
        <v>#NAME?</v>
      </c>
      <c r="AM151" s="22" t="e">
        <f t="shared" ca="1" si="1260"/>
        <v>#NAME?</v>
      </c>
      <c r="AN151" s="22" t="e">
        <f t="shared" ref="AN151:AO151" ca="1" si="1261">AN147+AN150+AN148+AN149</f>
        <v>#NAME?</v>
      </c>
      <c r="AO151" s="22" t="e">
        <f t="shared" ca="1" si="1261"/>
        <v>#NAME?</v>
      </c>
      <c r="AP151" s="22" t="e">
        <f t="shared" ref="AP151:CE151" ca="1" si="1262">AP147+AP150+AP148+AP149</f>
        <v>#NAME?</v>
      </c>
      <c r="AQ151" s="22" t="e">
        <f t="shared" ca="1" si="1262"/>
        <v>#NAME?</v>
      </c>
      <c r="AR151" s="22" t="e">
        <f t="shared" ca="1" si="1262"/>
        <v>#NAME?</v>
      </c>
      <c r="AS151" s="22" t="e">
        <f t="shared" ca="1" si="1262"/>
        <v>#NAME?</v>
      </c>
      <c r="AT151" s="22" t="e">
        <f t="shared" ca="1" si="1262"/>
        <v>#NAME?</v>
      </c>
      <c r="AU151" s="22" t="e">
        <f t="shared" ca="1" si="1262"/>
        <v>#NAME?</v>
      </c>
      <c r="AV151" s="22" t="e">
        <f t="shared" ca="1" si="1262"/>
        <v>#NAME?</v>
      </c>
      <c r="AW151" s="22" t="e">
        <f t="shared" ca="1" si="1262"/>
        <v>#NAME?</v>
      </c>
      <c r="AX151" s="22" t="e">
        <f t="shared" ca="1" si="1262"/>
        <v>#NAME?</v>
      </c>
      <c r="AY151" s="22" t="e">
        <f t="shared" ca="1" si="1262"/>
        <v>#NAME?</v>
      </c>
      <c r="AZ151" s="22" t="e">
        <f t="shared" ca="1" si="1262"/>
        <v>#NAME?</v>
      </c>
      <c r="BA151" s="22" t="e">
        <f t="shared" ca="1" si="1262"/>
        <v>#NAME?</v>
      </c>
      <c r="BB151" s="22" t="e">
        <f t="shared" ca="1" si="1262"/>
        <v>#NAME?</v>
      </c>
      <c r="BC151" s="22" t="e">
        <f t="shared" ca="1" si="1262"/>
        <v>#NAME?</v>
      </c>
      <c r="BD151" s="22" t="e">
        <f t="shared" ca="1" si="1262"/>
        <v>#NAME?</v>
      </c>
      <c r="BE151" s="22" t="e">
        <f t="shared" ca="1" si="1262"/>
        <v>#NAME?</v>
      </c>
      <c r="BF151" s="22" t="e">
        <f t="shared" ca="1" si="1262"/>
        <v>#NAME?</v>
      </c>
      <c r="BG151" s="22" t="e">
        <f t="shared" ca="1" si="1262"/>
        <v>#NAME?</v>
      </c>
      <c r="BH151" s="22" t="e">
        <f t="shared" ca="1" si="1262"/>
        <v>#NAME?</v>
      </c>
      <c r="BI151" s="22" t="e">
        <f t="shared" ca="1" si="1262"/>
        <v>#NAME?</v>
      </c>
      <c r="BJ151" s="22" t="e">
        <f t="shared" ca="1" si="1262"/>
        <v>#NAME?</v>
      </c>
      <c r="BK151" s="22" t="e">
        <f t="shared" ca="1" si="1262"/>
        <v>#NAME?</v>
      </c>
      <c r="BL151" s="22" t="e">
        <f t="shared" ca="1" si="1262"/>
        <v>#NAME?</v>
      </c>
      <c r="BM151" s="22" t="e">
        <f t="shared" ca="1" si="1262"/>
        <v>#NAME?</v>
      </c>
      <c r="BN151" s="22" t="e">
        <f t="shared" ca="1" si="1262"/>
        <v>#NAME?</v>
      </c>
      <c r="BO151" s="22" t="e">
        <f t="shared" ca="1" si="1262"/>
        <v>#NAME?</v>
      </c>
      <c r="BP151" s="22" t="e">
        <f t="shared" ca="1" si="1262"/>
        <v>#NAME?</v>
      </c>
      <c r="BQ151" s="22" t="e">
        <f t="shared" ca="1" si="1262"/>
        <v>#NAME?</v>
      </c>
      <c r="BR151" s="22" t="e">
        <f t="shared" ca="1" si="1262"/>
        <v>#NAME?</v>
      </c>
      <c r="BS151" s="22" t="e">
        <f t="shared" ca="1" si="1262"/>
        <v>#NAME?</v>
      </c>
      <c r="BT151" s="22" t="e">
        <f t="shared" ca="1" si="1262"/>
        <v>#NAME?</v>
      </c>
      <c r="BU151" s="22" t="e">
        <f t="shared" ca="1" si="1262"/>
        <v>#NAME?</v>
      </c>
      <c r="BV151" s="22" t="e">
        <f t="shared" ca="1" si="1262"/>
        <v>#NAME?</v>
      </c>
      <c r="BW151" s="22" t="e">
        <f t="shared" ca="1" si="1262"/>
        <v>#NAME?</v>
      </c>
      <c r="BX151" s="22" t="e">
        <f t="shared" ca="1" si="1262"/>
        <v>#NAME?</v>
      </c>
      <c r="BY151" s="22" t="e">
        <f t="shared" ca="1" si="1262"/>
        <v>#NAME?</v>
      </c>
      <c r="BZ151" s="22" t="e">
        <f t="shared" ca="1" si="1262"/>
        <v>#NAME?</v>
      </c>
      <c r="CA151" s="22" t="e">
        <f t="shared" ca="1" si="1262"/>
        <v>#NAME?</v>
      </c>
      <c r="CB151" s="22" t="e">
        <f t="shared" ca="1" si="1262"/>
        <v>#NAME?</v>
      </c>
      <c r="CC151" s="22" t="e">
        <f t="shared" ca="1" si="1262"/>
        <v>#NAME?</v>
      </c>
      <c r="CD151" s="22" t="e">
        <f t="shared" ca="1" si="1262"/>
        <v>#NAME?</v>
      </c>
      <c r="CE151" s="22" t="e">
        <f t="shared" ca="1" si="1262"/>
        <v>#NAME?</v>
      </c>
      <c r="CF151" s="22" t="e">
        <f t="shared" ref="CF151:CG151" ca="1" si="1263">CF147+CF150+CF148+CF149</f>
        <v>#NAME?</v>
      </c>
      <c r="CG151" s="22" t="e">
        <f t="shared" ca="1" si="1263"/>
        <v>#NAME?</v>
      </c>
      <c r="CH151" s="22" t="e">
        <f t="shared" ref="CH151:CJ151" ca="1" si="1264">CH147+CH150+CH148+CH149</f>
        <v>#NAME?</v>
      </c>
      <c r="CI151" s="22" t="e">
        <f t="shared" ca="1" si="1264"/>
        <v>#NAME?</v>
      </c>
      <c r="CJ151" s="22" t="e">
        <f t="shared" ca="1" si="1264"/>
        <v>#NAME?</v>
      </c>
      <c r="CK151" s="22" t="e">
        <f t="shared" ref="CK151:DB151" ca="1" si="1265">CK147+CK150+CK148+CK149</f>
        <v>#NAME?</v>
      </c>
      <c r="CL151" s="22" t="e">
        <f t="shared" ca="1" si="1265"/>
        <v>#NAME?</v>
      </c>
      <c r="CM151" s="21" t="e">
        <f t="shared" ca="1" si="1265"/>
        <v>#NAME?</v>
      </c>
      <c r="CN151" s="21" t="e">
        <f t="shared" ca="1" si="1265"/>
        <v>#NAME?</v>
      </c>
      <c r="CO151" s="21" t="e">
        <f t="shared" ca="1" si="1265"/>
        <v>#NAME?</v>
      </c>
      <c r="CP151" s="21" t="e">
        <f t="shared" ca="1" si="1265"/>
        <v>#NAME?</v>
      </c>
      <c r="CQ151" s="21" t="e">
        <f t="shared" ca="1" si="1265"/>
        <v>#NAME?</v>
      </c>
      <c r="CR151" s="21" t="e">
        <f t="shared" ca="1" si="1265"/>
        <v>#NAME?</v>
      </c>
      <c r="CS151" s="21" t="e">
        <f t="shared" ca="1" si="1265"/>
        <v>#NAME?</v>
      </c>
      <c r="CT151" s="21" t="e">
        <f t="shared" ca="1" si="1265"/>
        <v>#NAME?</v>
      </c>
      <c r="CU151" s="21" t="e">
        <f t="shared" ca="1" si="1265"/>
        <v>#NAME?</v>
      </c>
      <c r="CV151" s="21" t="e">
        <f t="shared" ca="1" si="1265"/>
        <v>#NAME?</v>
      </c>
      <c r="CW151" s="21" t="e">
        <f t="shared" ca="1" si="1265"/>
        <v>#NAME?</v>
      </c>
      <c r="CX151" s="21" t="e">
        <f t="shared" ca="1" si="1265"/>
        <v>#NAME?</v>
      </c>
      <c r="CY151" s="21" t="e">
        <f t="shared" ca="1" si="1265"/>
        <v>#NAME?</v>
      </c>
      <c r="CZ151" s="21" t="e">
        <f t="shared" ca="1" si="1265"/>
        <v>#NAME?</v>
      </c>
      <c r="DA151" s="21" t="e">
        <f t="shared" ca="1" si="1265"/>
        <v>#NAME?</v>
      </c>
      <c r="DB151" s="21" t="e">
        <f t="shared" ca="1" si="1265"/>
        <v>#NAME?</v>
      </c>
      <c r="DE151" s="126"/>
      <c r="DF151" s="22">
        <v>65900.759999999995</v>
      </c>
    </row>
    <row r="152" spans="1:110" s="23" customFormat="1" x14ac:dyDescent="0.2">
      <c r="AB152" s="24"/>
      <c r="AC152" s="24"/>
      <c r="AD152" s="24"/>
      <c r="AE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3"/>
    </row>
    <row r="153" spans="1:110" s="23" customFormat="1" x14ac:dyDescent="0.2">
      <c r="A153" s="23" t="s">
        <v>58</v>
      </c>
      <c r="B153" s="23" t="e">
        <f ca="1">'Annual Raw'!C71</f>
        <v>#NAME?</v>
      </c>
      <c r="C153" s="23" t="e">
        <f ca="1">'Annual Raw'!D71</f>
        <v>#NAME?</v>
      </c>
      <c r="D153" s="23" t="e">
        <f ca="1">'Annual Raw'!E71</f>
        <v>#NAME?</v>
      </c>
      <c r="E153" s="23" t="e">
        <f ca="1">'Annual Raw'!F71</f>
        <v>#NAME?</v>
      </c>
      <c r="F153" s="23" t="e">
        <f ca="1">'Annual Raw'!G71</f>
        <v>#NAME?</v>
      </c>
      <c r="G153" s="23" t="e">
        <f ca="1">'Annual Raw'!H71</f>
        <v>#NAME?</v>
      </c>
      <c r="H153" s="23" t="e">
        <f ca="1">'Annual Raw'!I71</f>
        <v>#NAME?</v>
      </c>
      <c r="I153" s="23" t="e">
        <f ca="1">'Annual Raw'!J71</f>
        <v>#NAME?</v>
      </c>
      <c r="J153" s="23" t="e">
        <f ca="1">'Annual Raw'!K71</f>
        <v>#NAME?</v>
      </c>
      <c r="K153" s="23" t="e">
        <f ca="1">'Annual Raw'!L71</f>
        <v>#NAME?</v>
      </c>
      <c r="L153" s="23" t="e">
        <f ca="1">'Annual Raw'!M71</f>
        <v>#NAME?</v>
      </c>
      <c r="M153" s="23" t="e">
        <f ca="1">'Annual Raw'!N71</f>
        <v>#NAME?</v>
      </c>
      <c r="N153" s="23" t="e">
        <f ca="1">'Annual Raw'!O71</f>
        <v>#NAME?</v>
      </c>
      <c r="O153" s="23" t="e">
        <f ca="1">'Annual Raw'!P71</f>
        <v>#NAME?</v>
      </c>
      <c r="P153" s="23" t="e">
        <f ca="1">'Annual Raw'!Q71</f>
        <v>#NAME?</v>
      </c>
      <c r="Q153" s="23" t="e">
        <f ca="1">'Annual Raw'!R71</f>
        <v>#NAME?</v>
      </c>
      <c r="R153" s="23" t="e">
        <f ca="1">'Annual Raw'!S71</f>
        <v>#NAME?</v>
      </c>
      <c r="S153" s="23" t="e">
        <f ca="1">'Annual Raw'!T71</f>
        <v>#NAME?</v>
      </c>
      <c r="T153" s="23" t="e">
        <f ca="1">'Annual Raw'!U71</f>
        <v>#NAME?</v>
      </c>
      <c r="U153" s="23" t="e">
        <f ca="1">'Annual Raw'!V71</f>
        <v>#NAME?</v>
      </c>
      <c r="V153" s="23" t="e">
        <f ca="1">'Annual Raw'!W71</f>
        <v>#NAME?</v>
      </c>
      <c r="W153" s="23" t="e">
        <f ca="1">'Annual Raw'!X71</f>
        <v>#NAME?</v>
      </c>
      <c r="X153" s="23" t="e">
        <f ca="1">'Annual Raw'!Y71</f>
        <v>#NAME?</v>
      </c>
      <c r="Y153" s="23" t="e">
        <f ca="1">'Annual Raw'!Z71</f>
        <v>#NAME?</v>
      </c>
      <c r="Z153" s="23" t="e">
        <f ca="1">'Annual Raw'!AA71</f>
        <v>#NAME?</v>
      </c>
      <c r="AA153" s="23" t="e">
        <f ca="1">'Annual Raw'!AB71</f>
        <v>#NAME?</v>
      </c>
      <c r="AB153" s="24" t="e">
        <f ca="1">+CP153</f>
        <v>#NAME?</v>
      </c>
      <c r="AC153" s="24" t="e">
        <f ca="1">+CT153</f>
        <v>#NAME?</v>
      </c>
      <c r="AD153" s="24" t="e">
        <f ca="1">+CX153</f>
        <v>#NAME?</v>
      </c>
      <c r="AE153" s="24" t="e">
        <f ca="1">+DB153</f>
        <v>#NAME?</v>
      </c>
      <c r="AJ153" s="23" t="e">
        <f ca="1">+'QTR Raw'!D77</f>
        <v>#NAME?</v>
      </c>
      <c r="AK153" s="23" t="e">
        <f t="shared" ref="AK153:CE153" ca="1" si="1266">+AJ153</f>
        <v>#NAME?</v>
      </c>
      <c r="AL153" s="23" t="e">
        <f ca="1">+'QTR Raw'!F77</f>
        <v>#NAME?</v>
      </c>
      <c r="AM153" s="23" t="e">
        <f t="shared" ca="1" si="1266"/>
        <v>#NAME?</v>
      </c>
      <c r="AN153" s="23" t="e">
        <f ca="1">+'QTR Raw'!H77</f>
        <v>#NAME?</v>
      </c>
      <c r="AO153" s="23" t="e">
        <f t="shared" ca="1" si="1266"/>
        <v>#NAME?</v>
      </c>
      <c r="AP153" s="23" t="e">
        <f ca="1">+'QTR Raw'!J77</f>
        <v>#NAME?</v>
      </c>
      <c r="AQ153" s="23" t="e">
        <f t="shared" ca="1" si="1266"/>
        <v>#NAME?</v>
      </c>
      <c r="AR153" s="23" t="e">
        <f ca="1">+'QTR Raw'!L77</f>
        <v>#NAME?</v>
      </c>
      <c r="AS153" s="23" t="e">
        <f t="shared" ca="1" si="1266"/>
        <v>#NAME?</v>
      </c>
      <c r="AT153" s="23" t="e">
        <f ca="1">+'QTR Raw'!N77</f>
        <v>#NAME?</v>
      </c>
      <c r="AU153" s="23" t="e">
        <f t="shared" ca="1" si="1266"/>
        <v>#NAME?</v>
      </c>
      <c r="AV153" s="23" t="e">
        <f ca="1">+'QTR Raw'!P77</f>
        <v>#NAME?</v>
      </c>
      <c r="AW153" s="23" t="e">
        <f t="shared" ca="1" si="1266"/>
        <v>#NAME?</v>
      </c>
      <c r="AX153" s="23" t="e">
        <f ca="1">+'QTR Raw'!R77</f>
        <v>#NAME?</v>
      </c>
      <c r="AY153" s="23" t="e">
        <f t="shared" ca="1" si="1266"/>
        <v>#NAME?</v>
      </c>
      <c r="AZ153" s="23" t="e">
        <f ca="1">+'QTR Raw'!T77</f>
        <v>#NAME?</v>
      </c>
      <c r="BA153" s="23" t="e">
        <f t="shared" ca="1" si="1266"/>
        <v>#NAME?</v>
      </c>
      <c r="BB153" s="23" t="e">
        <f ca="1">+'QTR Raw'!V77</f>
        <v>#NAME?</v>
      </c>
      <c r="BC153" s="23" t="e">
        <f t="shared" ca="1" si="1266"/>
        <v>#NAME?</v>
      </c>
      <c r="BD153" s="23" t="e">
        <f ca="1">+'QTR Raw'!X77</f>
        <v>#NAME?</v>
      </c>
      <c r="BE153" s="23" t="e">
        <f t="shared" ca="1" si="1266"/>
        <v>#NAME?</v>
      </c>
      <c r="BF153" s="23" t="e">
        <f ca="1">+'QTR Raw'!Z77</f>
        <v>#NAME?</v>
      </c>
      <c r="BG153" s="23" t="e">
        <f t="shared" ca="1" si="1266"/>
        <v>#NAME?</v>
      </c>
      <c r="BH153" s="23" t="e">
        <f ca="1">+'QTR Raw'!AB77</f>
        <v>#NAME?</v>
      </c>
      <c r="BI153" s="23" t="e">
        <f t="shared" ca="1" si="1266"/>
        <v>#NAME?</v>
      </c>
      <c r="BJ153" s="23" t="e">
        <f ca="1">+'QTR Raw'!AD77</f>
        <v>#NAME?</v>
      </c>
      <c r="BK153" s="23" t="e">
        <f t="shared" ca="1" si="1266"/>
        <v>#NAME?</v>
      </c>
      <c r="BL153" s="23" t="e">
        <f ca="1">+'QTR Raw'!AF77</f>
        <v>#NAME?</v>
      </c>
      <c r="BM153" s="23" t="e">
        <f t="shared" ca="1" si="1266"/>
        <v>#NAME?</v>
      </c>
      <c r="BN153" s="23" t="e">
        <f ca="1">+'QTR Raw'!AH77</f>
        <v>#NAME?</v>
      </c>
      <c r="BO153" s="23" t="e">
        <f t="shared" ca="1" si="1266"/>
        <v>#NAME?</v>
      </c>
      <c r="BP153" s="23" t="e">
        <f ca="1">+'QTR Raw'!AJ77</f>
        <v>#NAME?</v>
      </c>
      <c r="BQ153" s="23" t="e">
        <f t="shared" ca="1" si="1266"/>
        <v>#NAME?</v>
      </c>
      <c r="BR153" s="23" t="e">
        <f ca="1">+'QTR Raw'!AL77</f>
        <v>#NAME?</v>
      </c>
      <c r="BS153" s="23" t="e">
        <f t="shared" ca="1" si="1266"/>
        <v>#NAME?</v>
      </c>
      <c r="BT153" s="23" t="e">
        <f ca="1">+'QTR Raw'!AN77</f>
        <v>#NAME?</v>
      </c>
      <c r="BU153" s="23" t="e">
        <f t="shared" ca="1" si="1266"/>
        <v>#NAME?</v>
      </c>
      <c r="BV153" s="23" t="e">
        <f ca="1">+'QTR Raw'!AP77</f>
        <v>#NAME?</v>
      </c>
      <c r="BW153" s="23" t="e">
        <f t="shared" ca="1" si="1266"/>
        <v>#NAME?</v>
      </c>
      <c r="BX153" s="23" t="e">
        <f ca="1">+'QTR Raw'!AR77</f>
        <v>#NAME?</v>
      </c>
      <c r="BY153" s="23" t="e">
        <f t="shared" ca="1" si="1266"/>
        <v>#NAME?</v>
      </c>
      <c r="BZ153" s="23" t="e">
        <f ca="1">+'QTR Raw'!AT77</f>
        <v>#NAME?</v>
      </c>
      <c r="CA153" s="23" t="e">
        <f t="shared" ca="1" si="1266"/>
        <v>#NAME?</v>
      </c>
      <c r="CB153" s="23" t="e">
        <f ca="1">+'QTR Raw'!AV77</f>
        <v>#NAME?</v>
      </c>
      <c r="CC153" s="23" t="e">
        <f t="shared" ca="1" si="1266"/>
        <v>#NAME?</v>
      </c>
      <c r="CD153" s="23" t="e">
        <f ca="1">+'QTR Raw'!AX77</f>
        <v>#NAME?</v>
      </c>
      <c r="CE153" s="23" t="e">
        <f t="shared" ca="1" si="1266"/>
        <v>#NAME?</v>
      </c>
      <c r="CF153" s="23" t="e">
        <f ca="1">+'QTR Raw'!AZ77</f>
        <v>#NAME?</v>
      </c>
      <c r="CG153" s="23" t="e">
        <f t="shared" ref="CG153:CI156" ca="1" si="1267">+CF153</f>
        <v>#NAME?</v>
      </c>
      <c r="CH153" s="23" t="e">
        <f t="shared" ref="CH153:CH168" ca="1" si="1268">Z153</f>
        <v>#NAME?</v>
      </c>
      <c r="CI153" s="23" t="e">
        <f t="shared" ca="1" si="1267"/>
        <v>#NAME?</v>
      </c>
      <c r="CJ153" s="23" t="e">
        <f ca="1">+'QTR Raw'!BD77</f>
        <v>#NAME?</v>
      </c>
      <c r="CK153" s="23" t="e">
        <f t="shared" ref="CK153" ca="1" si="1269">+CJ153</f>
        <v>#NAME?</v>
      </c>
      <c r="CL153" s="23" t="e">
        <f ca="1">+'QTR Raw'!BF77</f>
        <v>#NAME?</v>
      </c>
      <c r="CM153" s="24" t="e">
        <f t="shared" ref="CM153" ca="1" si="1270">+CL153</f>
        <v>#NAME?</v>
      </c>
      <c r="CN153" s="24" t="e">
        <f t="shared" ref="CN153" ca="1" si="1271">+CM153</f>
        <v>#NAME?</v>
      </c>
      <c r="CO153" s="24" t="e">
        <f t="shared" ref="CO153" ca="1" si="1272">+CN153</f>
        <v>#NAME?</v>
      </c>
      <c r="CP153" s="24" t="e">
        <f t="shared" ref="CP153" ca="1" si="1273">+CO153</f>
        <v>#NAME?</v>
      </c>
      <c r="CQ153" s="24" t="e">
        <f t="shared" ref="CQ153" ca="1" si="1274">+CP153</f>
        <v>#NAME?</v>
      </c>
      <c r="CR153" s="24" t="e">
        <f t="shared" ref="CR153" ca="1" si="1275">+CQ153</f>
        <v>#NAME?</v>
      </c>
      <c r="CS153" s="24" t="e">
        <f t="shared" ref="CS153" ca="1" si="1276">+CR153</f>
        <v>#NAME?</v>
      </c>
      <c r="CT153" s="24" t="e">
        <f t="shared" ref="CT153" ca="1" si="1277">+CS153</f>
        <v>#NAME?</v>
      </c>
      <c r="CU153" s="24" t="e">
        <f t="shared" ref="CU153" ca="1" si="1278">+CT153</f>
        <v>#NAME?</v>
      </c>
      <c r="CV153" s="24" t="e">
        <f t="shared" ref="CV153" ca="1" si="1279">+CU153</f>
        <v>#NAME?</v>
      </c>
      <c r="CW153" s="24" t="e">
        <f t="shared" ref="CW153" ca="1" si="1280">+CV153</f>
        <v>#NAME?</v>
      </c>
      <c r="CX153" s="24" t="e">
        <f t="shared" ref="CX153" ca="1" si="1281">+CW153</f>
        <v>#NAME?</v>
      </c>
      <c r="CY153" s="24" t="e">
        <f t="shared" ref="CY153" ca="1" si="1282">+CX153</f>
        <v>#NAME?</v>
      </c>
      <c r="CZ153" s="24" t="e">
        <f t="shared" ref="CZ153" ca="1" si="1283">+CY153</f>
        <v>#NAME?</v>
      </c>
      <c r="DA153" s="24" t="e">
        <f t="shared" ref="DA153" ca="1" si="1284">+CZ153</f>
        <v>#NAME?</v>
      </c>
      <c r="DB153" s="24" t="e">
        <f t="shared" ref="DB153" ca="1" si="1285">+DA153</f>
        <v>#NAME?</v>
      </c>
      <c r="DE153" s="123"/>
      <c r="DF153" s="23">
        <v>113.17</v>
      </c>
    </row>
    <row r="154" spans="1:110" s="23" customFormat="1" x14ac:dyDescent="0.2">
      <c r="AB154" s="24"/>
      <c r="AC154" s="24"/>
      <c r="AD154" s="24"/>
      <c r="AE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</row>
    <row r="155" spans="1:110" s="23" customFormat="1" outlineLevel="1" x14ac:dyDescent="0.2">
      <c r="A155" s="23" t="s">
        <v>59</v>
      </c>
      <c r="B155" s="23" t="e">
        <f ca="1">'Annual Raw'!C72</f>
        <v>#NAME?</v>
      </c>
      <c r="C155" s="23" t="e">
        <f ca="1">'Annual Raw'!D72</f>
        <v>#NAME?</v>
      </c>
      <c r="D155" s="23" t="e">
        <f ca="1">'Annual Raw'!E72</f>
        <v>#NAME?</v>
      </c>
      <c r="E155" s="23" t="e">
        <f ca="1">'Annual Raw'!F72+'Annual Raw'!F61</f>
        <v>#NAME?</v>
      </c>
      <c r="F155" s="23" t="e">
        <f ca="1">'Annual Raw'!G72+'Annual Raw'!G61</f>
        <v>#NAME?</v>
      </c>
      <c r="G155" s="23" t="e">
        <f ca="1">'Annual Raw'!H72+'Annual Raw'!H61</f>
        <v>#NAME?</v>
      </c>
      <c r="H155" s="23" t="e">
        <f ca="1">'Annual Raw'!I72+'Annual Raw'!I61</f>
        <v>#NAME?</v>
      </c>
      <c r="I155" s="23" t="e">
        <f ca="1">'Annual Raw'!J72+'Annual Raw'!J61</f>
        <v>#NAME?</v>
      </c>
      <c r="J155" s="23" t="e">
        <f ca="1">'Annual Raw'!K72+'Annual Raw'!K61</f>
        <v>#NAME?</v>
      </c>
      <c r="K155" s="23" t="e">
        <f ca="1">'Annual Raw'!L72+'Annual Raw'!L61</f>
        <v>#NAME?</v>
      </c>
      <c r="L155" s="23" t="e">
        <f ca="1">'Annual Raw'!M72+'Annual Raw'!M61</f>
        <v>#NAME?</v>
      </c>
      <c r="M155" s="23" t="e">
        <f ca="1">'Annual Raw'!N72+'Annual Raw'!N61</f>
        <v>#NAME?</v>
      </c>
      <c r="N155" s="23" t="e">
        <f ca="1">'Annual Raw'!O72+'Annual Raw'!O61</f>
        <v>#NAME?</v>
      </c>
      <c r="O155" s="23" t="e">
        <f ca="1">'Annual Raw'!P72+'Annual Raw'!P61</f>
        <v>#NAME?</v>
      </c>
      <c r="P155" s="23" t="e">
        <f ca="1">'Annual Raw'!Q72+'Annual Raw'!Q61</f>
        <v>#NAME?</v>
      </c>
      <c r="Q155" s="23" t="e">
        <f ca="1">'Annual Raw'!R72+'Annual Raw'!R61</f>
        <v>#NAME?</v>
      </c>
      <c r="R155" s="23" t="e">
        <f ca="1">'Annual Raw'!S72+'Annual Raw'!S61</f>
        <v>#NAME?</v>
      </c>
      <c r="S155" s="23" t="e">
        <f ca="1">'Annual Raw'!T72+'Annual Raw'!T61</f>
        <v>#NAME?</v>
      </c>
      <c r="T155" s="23" t="e">
        <f ca="1">'Annual Raw'!U72+'Annual Raw'!U61</f>
        <v>#NAME?</v>
      </c>
      <c r="U155" s="23" t="e">
        <f ca="1">'Annual Raw'!V72+'Annual Raw'!V61</f>
        <v>#NAME?</v>
      </c>
      <c r="V155" s="23" t="e">
        <f ca="1">'Annual Raw'!W72+'Annual Raw'!W61</f>
        <v>#NAME?</v>
      </c>
      <c r="W155" s="23" t="e">
        <f ca="1">'Annual Raw'!X72+'Annual Raw'!X61</f>
        <v>#NAME?</v>
      </c>
      <c r="X155" s="23" t="e">
        <f ca="1">'Annual Raw'!Y72+'Annual Raw'!Y61</f>
        <v>#NAME?</v>
      </c>
      <c r="Y155" s="23" t="e">
        <f ca="1">'Annual Raw'!Z72+'Annual Raw'!Z61</f>
        <v>#NAME?</v>
      </c>
      <c r="Z155" s="23" t="e">
        <f ca="1">'Annual Raw'!AA72+'Annual Raw'!AA61</f>
        <v>#NAME?</v>
      </c>
      <c r="AA155" s="23" t="e">
        <f ca="1">'Annual Raw'!AB72+'Annual Raw'!AB61</f>
        <v>#NAME?</v>
      </c>
      <c r="AB155" s="24">
        <f t="shared" ref="AB155:AB160" si="1286">+CP155</f>
        <v>0</v>
      </c>
      <c r="AC155" s="24">
        <f t="shared" ref="AC155:AC160" si="1287">+CT155</f>
        <v>0</v>
      </c>
      <c r="AD155" s="24">
        <f t="shared" ref="AD155:AD160" si="1288">+CX155</f>
        <v>0</v>
      </c>
      <c r="AE155" s="24">
        <f t="shared" ref="AE155:AE160" si="1289">+DB155</f>
        <v>0</v>
      </c>
      <c r="AJ155" s="23" t="e">
        <f ca="1">+'QTR Raw'!D78</f>
        <v>#NAME?</v>
      </c>
      <c r="AK155" s="23" t="e">
        <f t="shared" ref="AK155:CE160" ca="1" si="1290">+AJ155</f>
        <v>#NAME?</v>
      </c>
      <c r="AL155" s="23" t="e">
        <f ca="1">+'QTR Raw'!F78</f>
        <v>#NAME?</v>
      </c>
      <c r="AM155" s="23" t="e">
        <f t="shared" ca="1" si="1290"/>
        <v>#NAME?</v>
      </c>
      <c r="AN155" s="23" t="e">
        <f ca="1">+'QTR Raw'!H78</f>
        <v>#NAME?</v>
      </c>
      <c r="AO155" s="23" t="e">
        <f t="shared" ca="1" si="1290"/>
        <v>#NAME?</v>
      </c>
      <c r="AP155" s="23" t="e">
        <f ca="1">+'QTR Raw'!J78</f>
        <v>#NAME?</v>
      </c>
      <c r="AQ155" s="23" t="e">
        <f t="shared" ca="1" si="1290"/>
        <v>#NAME?</v>
      </c>
      <c r="AR155" s="23" t="e">
        <f ca="1">+'QTR Raw'!L78</f>
        <v>#NAME?</v>
      </c>
      <c r="AS155" s="23" t="e">
        <f t="shared" ca="1" si="1290"/>
        <v>#NAME?</v>
      </c>
      <c r="AT155" s="23" t="e">
        <f ca="1">+'QTR Raw'!N78</f>
        <v>#NAME?</v>
      </c>
      <c r="AU155" s="23" t="e">
        <f t="shared" ca="1" si="1290"/>
        <v>#NAME?</v>
      </c>
      <c r="AV155" s="23" t="e">
        <f ca="1">+'QTR Raw'!P78</f>
        <v>#NAME?</v>
      </c>
      <c r="AW155" s="23" t="e">
        <f t="shared" ca="1" si="1290"/>
        <v>#NAME?</v>
      </c>
      <c r="AX155" s="23" t="e">
        <f ca="1">+'QTR Raw'!R78</f>
        <v>#NAME?</v>
      </c>
      <c r="AY155" s="23" t="e">
        <f t="shared" ca="1" si="1290"/>
        <v>#NAME?</v>
      </c>
      <c r="AZ155" s="23" t="e">
        <f ca="1">+'QTR Raw'!T78</f>
        <v>#NAME?</v>
      </c>
      <c r="BA155" s="23" t="e">
        <f t="shared" ca="1" si="1290"/>
        <v>#NAME?</v>
      </c>
      <c r="BB155" s="23" t="e">
        <f ca="1">+'QTR Raw'!V78</f>
        <v>#NAME?</v>
      </c>
      <c r="BC155" s="23" t="e">
        <f t="shared" ca="1" si="1290"/>
        <v>#NAME?</v>
      </c>
      <c r="BD155" s="23" t="e">
        <f ca="1">+'QTR Raw'!X78</f>
        <v>#NAME?</v>
      </c>
      <c r="BE155" s="23" t="e">
        <f t="shared" ca="1" si="1290"/>
        <v>#NAME?</v>
      </c>
      <c r="BF155" s="23" t="e">
        <f ca="1">+'QTR Raw'!Z78</f>
        <v>#NAME?</v>
      </c>
      <c r="BG155" s="23" t="e">
        <f t="shared" ca="1" si="1290"/>
        <v>#NAME?</v>
      </c>
      <c r="BH155" s="23" t="e">
        <f ca="1">+'QTR Raw'!AB78</f>
        <v>#NAME?</v>
      </c>
      <c r="BI155" s="23" t="e">
        <f t="shared" ca="1" si="1290"/>
        <v>#NAME?</v>
      </c>
      <c r="BJ155" s="23" t="e">
        <f ca="1">+'QTR Raw'!AD78</f>
        <v>#NAME?</v>
      </c>
      <c r="BK155" s="23" t="e">
        <f t="shared" ca="1" si="1290"/>
        <v>#NAME?</v>
      </c>
      <c r="BL155" s="23" t="e">
        <f ca="1">+'QTR Raw'!AF78</f>
        <v>#NAME?</v>
      </c>
      <c r="BM155" s="23" t="e">
        <f t="shared" ca="1" si="1290"/>
        <v>#NAME?</v>
      </c>
      <c r="BN155" s="23" t="e">
        <f ca="1">+'QTR Raw'!AH78</f>
        <v>#NAME?</v>
      </c>
      <c r="BO155" s="23" t="e">
        <f t="shared" ca="1" si="1290"/>
        <v>#NAME?</v>
      </c>
      <c r="BP155" s="23" t="e">
        <f ca="1">+'QTR Raw'!AJ78</f>
        <v>#NAME?</v>
      </c>
      <c r="BQ155" s="23" t="e">
        <f t="shared" ca="1" si="1290"/>
        <v>#NAME?</v>
      </c>
      <c r="BR155" s="23" t="e">
        <f ca="1">+'QTR Raw'!AL78</f>
        <v>#NAME?</v>
      </c>
      <c r="BS155" s="23" t="e">
        <f t="shared" ca="1" si="1290"/>
        <v>#NAME?</v>
      </c>
      <c r="BT155" s="23" t="e">
        <f ca="1">+'QTR Raw'!AN78</f>
        <v>#NAME?</v>
      </c>
      <c r="BU155" s="23" t="e">
        <f t="shared" ca="1" si="1290"/>
        <v>#NAME?</v>
      </c>
      <c r="BV155" s="23" t="e">
        <f ca="1">+'QTR Raw'!AP78</f>
        <v>#NAME?</v>
      </c>
      <c r="BW155" s="23" t="e">
        <f t="shared" ca="1" si="1290"/>
        <v>#NAME?</v>
      </c>
      <c r="BX155" s="23" t="e">
        <f ca="1">+'QTR Raw'!AR78</f>
        <v>#NAME?</v>
      </c>
      <c r="BY155" s="23" t="e">
        <f t="shared" ca="1" si="1290"/>
        <v>#NAME?</v>
      </c>
      <c r="BZ155" s="23" t="e">
        <f ca="1">+'QTR Raw'!AT78</f>
        <v>#NAME?</v>
      </c>
      <c r="CA155" s="23" t="e">
        <f t="shared" ca="1" si="1290"/>
        <v>#NAME?</v>
      </c>
      <c r="CB155" s="23" t="e">
        <f ca="1">+'QTR Raw'!AV78</f>
        <v>#NAME?</v>
      </c>
      <c r="CC155" s="23" t="e">
        <f t="shared" ca="1" si="1290"/>
        <v>#NAME?</v>
      </c>
      <c r="CD155" s="23" t="e">
        <f ca="1">+'QTR Raw'!AX78</f>
        <v>#NAME?</v>
      </c>
      <c r="CE155" s="23" t="e">
        <f t="shared" ca="1" si="1290"/>
        <v>#NAME?</v>
      </c>
      <c r="CF155" s="23" t="e">
        <f ca="1">+'QTR Raw'!AZ78</f>
        <v>#NAME?</v>
      </c>
      <c r="CG155" s="23" t="e">
        <f t="shared" ca="1" si="1267"/>
        <v>#NAME?</v>
      </c>
      <c r="CH155" s="23" t="e">
        <f t="shared" ca="1" si="1268"/>
        <v>#NAME?</v>
      </c>
      <c r="CJ155" s="23" t="e">
        <f ca="1">+'QTR Raw'!BD78</f>
        <v>#NAME?</v>
      </c>
      <c r="CL155" s="23" t="e">
        <f ca="1">+'QTR Raw'!BF78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5.04</v>
      </c>
    </row>
    <row r="156" spans="1:110" s="23" customFormat="1" outlineLevel="1" x14ac:dyDescent="0.2">
      <c r="A156" s="23" t="s">
        <v>60</v>
      </c>
      <c r="B156" s="23" t="e">
        <f ca="1">'Annual Raw'!C73+'Annual Raw'!C81</f>
        <v>#NAME?</v>
      </c>
      <c r="C156" s="23" t="e">
        <f ca="1">'Annual Raw'!D73+'Annual Raw'!D81</f>
        <v>#NAME?</v>
      </c>
      <c r="D156" s="23" t="e">
        <f ca="1">'Annual Raw'!E73+'Annual Raw'!E81</f>
        <v>#NAME?</v>
      </c>
      <c r="E156" s="23" t="e">
        <f ca="1">'Annual Raw'!F73+'Annual Raw'!F81</f>
        <v>#NAME?</v>
      </c>
      <c r="F156" s="23" t="e">
        <f ca="1">'Annual Raw'!G73+'Annual Raw'!G81</f>
        <v>#NAME?</v>
      </c>
      <c r="G156" s="23" t="e">
        <f ca="1">'Annual Raw'!H73+'Annual Raw'!H81</f>
        <v>#NAME?</v>
      </c>
      <c r="H156" s="23" t="e">
        <f ca="1">'Annual Raw'!I73+'Annual Raw'!I81</f>
        <v>#NAME?</v>
      </c>
      <c r="I156" s="23" t="e">
        <f ca="1">'Annual Raw'!J73+'Annual Raw'!J81</f>
        <v>#NAME?</v>
      </c>
      <c r="J156" s="23" t="e">
        <f ca="1">'Annual Raw'!K73+'Annual Raw'!K81</f>
        <v>#NAME?</v>
      </c>
      <c r="K156" s="23" t="e">
        <f ca="1">'Annual Raw'!L73+'Annual Raw'!L81</f>
        <v>#NAME?</v>
      </c>
      <c r="L156" s="23" t="e">
        <f ca="1">'Annual Raw'!M73+'Annual Raw'!M81</f>
        <v>#NAME?</v>
      </c>
      <c r="M156" s="23" t="e">
        <f ca="1">'Annual Raw'!N73+'Annual Raw'!N81</f>
        <v>#NAME?</v>
      </c>
      <c r="N156" s="23" t="e">
        <f ca="1">'Annual Raw'!O73+'Annual Raw'!O81</f>
        <v>#NAME?</v>
      </c>
      <c r="O156" s="23" t="e">
        <f ca="1">'Annual Raw'!P73+'Annual Raw'!P81</f>
        <v>#NAME?</v>
      </c>
      <c r="P156" s="23" t="e">
        <f ca="1">'Annual Raw'!Q73+'Annual Raw'!Q81</f>
        <v>#NAME?</v>
      </c>
      <c r="Q156" s="23" t="e">
        <f ca="1">'Annual Raw'!R73+'Annual Raw'!R81</f>
        <v>#NAME?</v>
      </c>
      <c r="R156" s="23" t="e">
        <f ca="1">'Annual Raw'!S73+'Annual Raw'!S81</f>
        <v>#NAME?</v>
      </c>
      <c r="S156" s="23" t="e">
        <f ca="1">'Annual Raw'!T73+'Annual Raw'!T81</f>
        <v>#NAME?</v>
      </c>
      <c r="T156" s="23" t="e">
        <f ca="1">'Annual Raw'!U73+'Annual Raw'!U81</f>
        <v>#NAME?</v>
      </c>
      <c r="U156" s="23" t="e">
        <f ca="1">'Annual Raw'!V73+'Annual Raw'!V81</f>
        <v>#NAME?</v>
      </c>
      <c r="V156" s="23" t="e">
        <f ca="1">'Annual Raw'!W73+'Annual Raw'!W81</f>
        <v>#NAME?</v>
      </c>
      <c r="W156" s="23" t="e">
        <f ca="1">'Annual Raw'!X73+'Annual Raw'!X81</f>
        <v>#NAME?</v>
      </c>
      <c r="X156" s="23" t="e">
        <f ca="1">'Annual Raw'!Y73+'Annual Raw'!Y81</f>
        <v>#NAME?</v>
      </c>
      <c r="Y156" s="23" t="e">
        <f ca="1">'Annual Raw'!Z73+'Annual Raw'!Z81</f>
        <v>#NAME?</v>
      </c>
      <c r="Z156" s="23" t="e">
        <f ca="1">'Annual Raw'!AA73+'Annual Raw'!AA81</f>
        <v>#NAME?</v>
      </c>
      <c r="AA156" s="23" t="e">
        <f ca="1">'Annual Raw'!AB73+'Annual Raw'!AB81</f>
        <v>#NAME?</v>
      </c>
      <c r="AB156" s="24">
        <f t="shared" si="1286"/>
        <v>0</v>
      </c>
      <c r="AC156" s="24">
        <f t="shared" si="1287"/>
        <v>0</v>
      </c>
      <c r="AD156" s="24">
        <f t="shared" si="1288"/>
        <v>0</v>
      </c>
      <c r="AE156" s="24">
        <f t="shared" si="1289"/>
        <v>0</v>
      </c>
      <c r="AJ156" s="23" t="e">
        <f ca="1">+'QTR Raw'!D79+'QTR Raw'!D76</f>
        <v>#NAME?</v>
      </c>
      <c r="AK156" s="23" t="e">
        <f t="shared" ca="1" si="1290"/>
        <v>#NAME?</v>
      </c>
      <c r="AL156" s="23" t="e">
        <f ca="1">+'QTR Raw'!F79+'QTR Raw'!F76</f>
        <v>#NAME?</v>
      </c>
      <c r="AM156" s="23" t="e">
        <f t="shared" ca="1" si="1290"/>
        <v>#NAME?</v>
      </c>
      <c r="AN156" s="23" t="e">
        <f ca="1">+'QTR Raw'!H79+'QTR Raw'!H76</f>
        <v>#NAME?</v>
      </c>
      <c r="AO156" s="23" t="e">
        <f t="shared" ca="1" si="1290"/>
        <v>#NAME?</v>
      </c>
      <c r="AP156" s="23" t="e">
        <f ca="1">+'QTR Raw'!J79+'QTR Raw'!J76</f>
        <v>#NAME?</v>
      </c>
      <c r="AQ156" s="23" t="e">
        <f t="shared" ca="1" si="1290"/>
        <v>#NAME?</v>
      </c>
      <c r="AR156" s="23" t="e">
        <f ca="1">+'QTR Raw'!L79+'QTR Raw'!L76</f>
        <v>#NAME?</v>
      </c>
      <c r="AS156" s="23" t="e">
        <f t="shared" ca="1" si="1290"/>
        <v>#NAME?</v>
      </c>
      <c r="AT156" s="23" t="e">
        <f ca="1">+'QTR Raw'!N79+'QTR Raw'!N76</f>
        <v>#NAME?</v>
      </c>
      <c r="AU156" s="23" t="e">
        <f t="shared" ca="1" si="1290"/>
        <v>#NAME?</v>
      </c>
      <c r="AV156" s="23" t="e">
        <f ca="1">+'QTR Raw'!P79+'QTR Raw'!P76</f>
        <v>#NAME?</v>
      </c>
      <c r="AW156" s="23" t="e">
        <f t="shared" ca="1" si="1290"/>
        <v>#NAME?</v>
      </c>
      <c r="AX156" s="23" t="e">
        <f ca="1">+'QTR Raw'!R79+'QTR Raw'!R76</f>
        <v>#NAME?</v>
      </c>
      <c r="AY156" s="23" t="e">
        <f t="shared" ca="1" si="1290"/>
        <v>#NAME?</v>
      </c>
      <c r="AZ156" s="23" t="e">
        <f ca="1">+'QTR Raw'!T79+'QTR Raw'!T76</f>
        <v>#NAME?</v>
      </c>
      <c r="BA156" s="23" t="e">
        <f t="shared" ca="1" si="1290"/>
        <v>#NAME?</v>
      </c>
      <c r="BB156" s="23" t="e">
        <f ca="1">+'QTR Raw'!V79+'QTR Raw'!V76</f>
        <v>#NAME?</v>
      </c>
      <c r="BC156" s="23" t="e">
        <f t="shared" ca="1" si="1290"/>
        <v>#NAME?</v>
      </c>
      <c r="BD156" s="23" t="e">
        <f ca="1">+'QTR Raw'!X79+'QTR Raw'!X76</f>
        <v>#NAME?</v>
      </c>
      <c r="BE156" s="23" t="e">
        <f t="shared" ca="1" si="1290"/>
        <v>#NAME?</v>
      </c>
      <c r="BF156" s="23" t="e">
        <f ca="1">+'QTR Raw'!Z79+'QTR Raw'!Z76</f>
        <v>#NAME?</v>
      </c>
      <c r="BG156" s="23" t="e">
        <f t="shared" ca="1" si="1290"/>
        <v>#NAME?</v>
      </c>
      <c r="BH156" s="23" t="e">
        <f ca="1">+'QTR Raw'!AB79+'QTR Raw'!AB76</f>
        <v>#NAME?</v>
      </c>
      <c r="BI156" s="23" t="e">
        <f t="shared" ca="1" si="1290"/>
        <v>#NAME?</v>
      </c>
      <c r="BJ156" s="23" t="e">
        <f ca="1">+'QTR Raw'!AD79+'QTR Raw'!AD76</f>
        <v>#NAME?</v>
      </c>
      <c r="BK156" s="23" t="e">
        <f t="shared" ca="1" si="1290"/>
        <v>#NAME?</v>
      </c>
      <c r="BL156" s="23" t="e">
        <f ca="1">+'QTR Raw'!AF79+'QTR Raw'!AF76</f>
        <v>#NAME?</v>
      </c>
      <c r="BM156" s="23" t="e">
        <f t="shared" ca="1" si="1290"/>
        <v>#NAME?</v>
      </c>
      <c r="BN156" s="23" t="e">
        <f ca="1">+'QTR Raw'!AH79+'QTR Raw'!AH76</f>
        <v>#NAME?</v>
      </c>
      <c r="BO156" s="23" t="e">
        <f t="shared" ca="1" si="1290"/>
        <v>#NAME?</v>
      </c>
      <c r="BP156" s="23" t="e">
        <f ca="1">+'QTR Raw'!AJ79+'QTR Raw'!AJ76</f>
        <v>#NAME?</v>
      </c>
      <c r="BQ156" s="23" t="e">
        <f t="shared" ca="1" si="1290"/>
        <v>#NAME?</v>
      </c>
      <c r="BR156" s="23" t="e">
        <f ca="1">+'QTR Raw'!AL79+'QTR Raw'!AL76</f>
        <v>#NAME?</v>
      </c>
      <c r="BS156" s="23" t="e">
        <f t="shared" ca="1" si="1290"/>
        <v>#NAME?</v>
      </c>
      <c r="BT156" s="23" t="e">
        <f ca="1">+'QTR Raw'!AN79+'QTR Raw'!AN76</f>
        <v>#NAME?</v>
      </c>
      <c r="BU156" s="23" t="e">
        <f t="shared" ca="1" si="1290"/>
        <v>#NAME?</v>
      </c>
      <c r="BV156" s="23" t="e">
        <f ca="1">+'QTR Raw'!AP79+'QTR Raw'!AP76</f>
        <v>#NAME?</v>
      </c>
      <c r="BW156" s="23" t="e">
        <f t="shared" ca="1" si="1290"/>
        <v>#NAME?</v>
      </c>
      <c r="BX156" s="23" t="e">
        <f ca="1">+'QTR Raw'!AR79+'QTR Raw'!AR76</f>
        <v>#NAME?</v>
      </c>
      <c r="BY156" s="23" t="e">
        <f t="shared" ca="1" si="1290"/>
        <v>#NAME?</v>
      </c>
      <c r="BZ156" s="23" t="e">
        <f ca="1">+'QTR Raw'!AT79+'QTR Raw'!AT76</f>
        <v>#NAME?</v>
      </c>
      <c r="CA156" s="23" t="e">
        <f t="shared" ca="1" si="1290"/>
        <v>#NAME?</v>
      </c>
      <c r="CB156" s="23" t="e">
        <f ca="1">+'QTR Raw'!AV79+'QTR Raw'!AV76</f>
        <v>#NAME?</v>
      </c>
      <c r="CC156" s="23" t="e">
        <f t="shared" ca="1" si="1290"/>
        <v>#NAME?</v>
      </c>
      <c r="CD156" s="23" t="e">
        <f ca="1">+'QTR Raw'!AX79+'QTR Raw'!AX76</f>
        <v>#NAME?</v>
      </c>
      <c r="CE156" s="23" t="e">
        <f t="shared" ca="1" si="1290"/>
        <v>#NAME?</v>
      </c>
      <c r="CF156" s="23" t="e">
        <f ca="1">+'QTR Raw'!AZ79+'QTR Raw'!AZ76</f>
        <v>#NAME?</v>
      </c>
      <c r="CG156" s="23" t="e">
        <f t="shared" ca="1" si="1267"/>
        <v>#NAME?</v>
      </c>
      <c r="CH156" s="23" t="e">
        <f t="shared" ca="1" si="1268"/>
        <v>#NAME?</v>
      </c>
      <c r="CJ156" s="23" t="e">
        <f ca="1">+'QTR Raw'!BD79+'QTR Raw'!BD76</f>
        <v>#NAME?</v>
      </c>
      <c r="CL156" s="23" t="e">
        <f ca="1">+'QTR Raw'!BF79+'QTR Raw'!BF76</f>
        <v>#NAME?</v>
      </c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  <c r="DF156" s="23">
        <v>9839.0400000000009</v>
      </c>
    </row>
    <row r="157" spans="1:110" s="23" customFormat="1" outlineLevel="1" x14ac:dyDescent="0.2">
      <c r="A157" s="23" t="s">
        <v>61</v>
      </c>
      <c r="B157" s="23" t="e">
        <f ca="1">'Annual Raw'!C76</f>
        <v>#NAME?</v>
      </c>
      <c r="C157" s="23" t="e">
        <f ca="1">'Annual Raw'!D76</f>
        <v>#NAME?</v>
      </c>
      <c r="D157" s="23" t="e">
        <f ca="1">'Annual Raw'!E76</f>
        <v>#NAME?</v>
      </c>
      <c r="E157" s="23" t="e">
        <f ca="1">'Annual Raw'!F76</f>
        <v>#NAME?</v>
      </c>
      <c r="F157" s="23" t="e">
        <f ca="1">'Annual Raw'!G76</f>
        <v>#NAME?</v>
      </c>
      <c r="G157" s="23" t="e">
        <f ca="1">'Annual Raw'!H76</f>
        <v>#NAME?</v>
      </c>
      <c r="H157" s="23" t="e">
        <f ca="1">'Annual Raw'!I76</f>
        <v>#NAME?</v>
      </c>
      <c r="I157" s="23" t="e">
        <f ca="1">'Annual Raw'!J76</f>
        <v>#NAME?</v>
      </c>
      <c r="J157" s="23" t="e">
        <f ca="1">'Annual Raw'!K76</f>
        <v>#NAME?</v>
      </c>
      <c r="K157" s="23" t="e">
        <f ca="1">'Annual Raw'!L76</f>
        <v>#NAME?</v>
      </c>
      <c r="L157" s="23" t="e">
        <f ca="1">'Annual Raw'!M76</f>
        <v>#NAME?</v>
      </c>
      <c r="M157" s="23" t="e">
        <f ca="1">'Annual Raw'!N76</f>
        <v>#NAME?</v>
      </c>
      <c r="N157" s="23" t="e">
        <f ca="1">'Annual Raw'!O76</f>
        <v>#NAME?</v>
      </c>
      <c r="O157" s="23" t="e">
        <f ca="1">'Annual Raw'!P76</f>
        <v>#NAME?</v>
      </c>
      <c r="P157" s="23" t="e">
        <f ca="1">'Annual Raw'!Q76</f>
        <v>#NAME?</v>
      </c>
      <c r="Q157" s="23" t="e">
        <f ca="1">'Annual Raw'!R76</f>
        <v>#NAME?</v>
      </c>
      <c r="R157" s="23" t="e">
        <f ca="1">'Annual Raw'!S76</f>
        <v>#NAME?</v>
      </c>
      <c r="S157" s="23" t="e">
        <f ca="1">'Annual Raw'!T76</f>
        <v>#NAME?</v>
      </c>
      <c r="T157" s="23" t="e">
        <f ca="1">'Annual Raw'!U76</f>
        <v>#NAME?</v>
      </c>
      <c r="U157" s="23" t="e">
        <f ca="1">'Annual Raw'!V76</f>
        <v>#NAME?</v>
      </c>
      <c r="V157" s="23" t="e">
        <f ca="1">'Annual Raw'!W76</f>
        <v>#NAME?</v>
      </c>
      <c r="W157" s="23" t="e">
        <f ca="1">'Annual Raw'!X76</f>
        <v>#NAME?</v>
      </c>
      <c r="X157" s="23" t="e">
        <f ca="1">'Annual Raw'!Y76</f>
        <v>#NAME?</v>
      </c>
      <c r="Y157" s="23" t="e">
        <f ca="1">'Annual Raw'!Z76</f>
        <v>#NAME?</v>
      </c>
      <c r="Z157" s="23" t="e">
        <f ca="1">'Annual Raw'!AA76</f>
        <v>#NAME?</v>
      </c>
      <c r="AA157" s="23" t="e">
        <f ca="1">'Annual Raw'!AB76</f>
        <v>#NAME?</v>
      </c>
      <c r="AB157" s="24" t="e">
        <f t="shared" ca="1" si="1286"/>
        <v>#NAME?</v>
      </c>
      <c r="AC157" s="24" t="e">
        <f t="shared" ca="1" si="1287"/>
        <v>#NAME?</v>
      </c>
      <c r="AD157" s="24" t="e">
        <f t="shared" ca="1" si="1288"/>
        <v>#NAME?</v>
      </c>
      <c r="AE157" s="24" t="e">
        <f t="shared" ca="1" si="1289"/>
        <v>#NAME?</v>
      </c>
      <c r="AJ157" s="23" t="e">
        <f ca="1">+'QTR Raw'!D81</f>
        <v>#NAME?</v>
      </c>
      <c r="AK157" s="23" t="e">
        <f ca="1">+AK192*AK18/90</f>
        <v>#NAME?</v>
      </c>
      <c r="AL157" s="23" t="e">
        <f ca="1">+'QTR Raw'!F81</f>
        <v>#NAME?</v>
      </c>
      <c r="AM157" s="23" t="e">
        <f ca="1">+AM192*AM18/90</f>
        <v>#NAME?</v>
      </c>
      <c r="AN157" s="23" t="e">
        <f ca="1">+'QTR Raw'!H81</f>
        <v>#NAME?</v>
      </c>
      <c r="AO157" s="23" t="e">
        <f ca="1">+AO192*AO18/90</f>
        <v>#NAME?</v>
      </c>
      <c r="AP157" s="23" t="e">
        <f ca="1">+'QTR Raw'!J81</f>
        <v>#NAME?</v>
      </c>
      <c r="AQ157" s="23" t="e">
        <f ca="1">+AQ192*AQ18/90</f>
        <v>#NAME?</v>
      </c>
      <c r="AR157" s="23" t="e">
        <f ca="1">+'QTR Raw'!L81</f>
        <v>#NAME?</v>
      </c>
      <c r="AS157" s="23" t="e">
        <f ca="1">+AS192*AS18/90</f>
        <v>#NAME?</v>
      </c>
      <c r="AT157" s="23" t="e">
        <f ca="1">+'QTR Raw'!N81</f>
        <v>#NAME?</v>
      </c>
      <c r="AU157" s="23" t="e">
        <f ca="1">+AU192*AU18/90</f>
        <v>#NAME?</v>
      </c>
      <c r="AV157" s="23" t="e">
        <f ca="1">+'QTR Raw'!P81</f>
        <v>#NAME?</v>
      </c>
      <c r="AW157" s="23" t="e">
        <f ca="1">+AW192*AW18/90</f>
        <v>#NAME?</v>
      </c>
      <c r="AX157" s="23" t="e">
        <f ca="1">+'QTR Raw'!R81</f>
        <v>#NAME?</v>
      </c>
      <c r="AY157" s="23" t="e">
        <f ca="1">+AY192*AY18/90</f>
        <v>#NAME?</v>
      </c>
      <c r="AZ157" s="23" t="e">
        <f ca="1">+'QTR Raw'!T81</f>
        <v>#NAME?</v>
      </c>
      <c r="BA157" s="23" t="e">
        <f ca="1">+BA192*BA18/90</f>
        <v>#NAME?</v>
      </c>
      <c r="BB157" s="23" t="e">
        <f ca="1">+'QTR Raw'!V81</f>
        <v>#NAME?</v>
      </c>
      <c r="BC157" s="23" t="e">
        <f ca="1">+BC192*BC18/90</f>
        <v>#NAME?</v>
      </c>
      <c r="BD157" s="23" t="e">
        <f ca="1">+'QTR Raw'!X81</f>
        <v>#NAME?</v>
      </c>
      <c r="BE157" s="23" t="e">
        <f ca="1">+BE192*BE18/90</f>
        <v>#NAME?</v>
      </c>
      <c r="BF157" s="23" t="e">
        <f ca="1">+'QTR Raw'!Z81</f>
        <v>#NAME?</v>
      </c>
      <c r="BG157" s="23" t="e">
        <f ca="1">+BG192*BG18/90</f>
        <v>#NAME?</v>
      </c>
      <c r="BH157" s="23" t="e">
        <f ca="1">+'QTR Raw'!AB81</f>
        <v>#NAME?</v>
      </c>
      <c r="BI157" s="23" t="e">
        <f ca="1">+BI192*BI18/90</f>
        <v>#NAME?</v>
      </c>
      <c r="BJ157" s="23" t="e">
        <f ca="1">+'QTR Raw'!AD81</f>
        <v>#NAME?</v>
      </c>
      <c r="BK157" s="23" t="e">
        <f ca="1">+BK192*BK18/90</f>
        <v>#NAME?</v>
      </c>
      <c r="BL157" s="23" t="e">
        <f ca="1">+'QTR Raw'!AF81</f>
        <v>#NAME?</v>
      </c>
      <c r="BM157" s="23" t="e">
        <f ca="1">+BM192*BM18/90</f>
        <v>#NAME?</v>
      </c>
      <c r="BN157" s="23" t="e">
        <f ca="1">+'QTR Raw'!AH81</f>
        <v>#NAME?</v>
      </c>
      <c r="BO157" s="23" t="e">
        <f ca="1">+BO192*BO18/90</f>
        <v>#NAME?</v>
      </c>
      <c r="BP157" s="23" t="e">
        <f ca="1">+'QTR Raw'!AJ81</f>
        <v>#NAME?</v>
      </c>
      <c r="BQ157" s="23" t="e">
        <f ca="1">+BQ192*BQ18/90</f>
        <v>#NAME?</v>
      </c>
      <c r="BR157" s="23" t="e">
        <f ca="1">+'QTR Raw'!AL81</f>
        <v>#NAME?</v>
      </c>
      <c r="BS157" s="23" t="e">
        <f ca="1">+BS192*BS18/90</f>
        <v>#NAME?</v>
      </c>
      <c r="BT157" s="23" t="e">
        <f ca="1">+'QTR Raw'!AN81</f>
        <v>#NAME?</v>
      </c>
      <c r="BU157" s="23" t="e">
        <f ca="1">+BU192*BU18/90</f>
        <v>#NAME?</v>
      </c>
      <c r="BV157" s="23" t="e">
        <f ca="1">+'QTR Raw'!AP81</f>
        <v>#NAME?</v>
      </c>
      <c r="BW157" s="23" t="e">
        <f ca="1">+BW192*BW18/90</f>
        <v>#NAME?</v>
      </c>
      <c r="BX157" s="23" t="e">
        <f ca="1">+'QTR Raw'!AR81</f>
        <v>#NAME?</v>
      </c>
      <c r="BY157" s="23" t="e">
        <f ca="1">+BY192*BY18/90</f>
        <v>#NAME?</v>
      </c>
      <c r="BZ157" s="23" t="e">
        <f ca="1">+'QTR Raw'!AT81</f>
        <v>#NAME?</v>
      </c>
      <c r="CA157" s="23" t="e">
        <f ca="1">+CA192*CA18/90</f>
        <v>#NAME?</v>
      </c>
      <c r="CB157" s="23" t="e">
        <f ca="1">+'QTR Raw'!AV81</f>
        <v>#NAME?</v>
      </c>
      <c r="CC157" s="23" t="e">
        <f ca="1">+CC192*CC18/90</f>
        <v>#NAME?</v>
      </c>
      <c r="CD157" s="23" t="e">
        <f ca="1">+'QTR Raw'!AX81</f>
        <v>#NAME?</v>
      </c>
      <c r="CE157" s="23" t="e">
        <f ca="1">+CE192*CE18/90</f>
        <v>#NAME?</v>
      </c>
      <c r="CF157" s="23" t="e">
        <f ca="1">+'QTR Raw'!AZ81</f>
        <v>#NAME?</v>
      </c>
      <c r="CG157" s="23" t="e">
        <f ca="1">+CG192*CG18/90</f>
        <v>#NAME?</v>
      </c>
      <c r="CH157" s="23" t="e">
        <f t="shared" ca="1" si="1268"/>
        <v>#NAME?</v>
      </c>
      <c r="CI157" s="23" t="e">
        <f ca="1">+CI192*CI18/90</f>
        <v>#NAME?</v>
      </c>
      <c r="CJ157" s="23" t="e">
        <f ca="1">+'QTR Raw'!BD81</f>
        <v>#NAME?</v>
      </c>
      <c r="CK157" s="23" t="e">
        <f t="shared" ref="CK157:DB157" ca="1" si="1291">+CK192*CK18/90</f>
        <v>#NAME?</v>
      </c>
      <c r="CL157" s="23" t="e">
        <f ca="1">+'QTR Raw'!BF81</f>
        <v>#NAME?</v>
      </c>
      <c r="CM157" s="24" t="e">
        <f t="shared" ca="1" si="1291"/>
        <v>#NAME?</v>
      </c>
      <c r="CN157" s="24" t="e">
        <f t="shared" ca="1" si="1291"/>
        <v>#NAME?</v>
      </c>
      <c r="CO157" s="24" t="e">
        <f t="shared" ca="1" si="1291"/>
        <v>#NAME?</v>
      </c>
      <c r="CP157" s="24" t="e">
        <f t="shared" ca="1" si="1291"/>
        <v>#NAME?</v>
      </c>
      <c r="CQ157" s="24" t="e">
        <f t="shared" ca="1" si="1291"/>
        <v>#NAME?</v>
      </c>
      <c r="CR157" s="24" t="e">
        <f t="shared" ca="1" si="1291"/>
        <v>#NAME?</v>
      </c>
      <c r="CS157" s="24" t="e">
        <f t="shared" ca="1" si="1291"/>
        <v>#NAME?</v>
      </c>
      <c r="CT157" s="24" t="e">
        <f t="shared" ca="1" si="1291"/>
        <v>#NAME?</v>
      </c>
      <c r="CU157" s="24" t="e">
        <f t="shared" ca="1" si="1291"/>
        <v>#NAME?</v>
      </c>
      <c r="CV157" s="24" t="e">
        <f t="shared" ca="1" si="1291"/>
        <v>#NAME?</v>
      </c>
      <c r="CW157" s="24" t="e">
        <f t="shared" ca="1" si="1291"/>
        <v>#NAME?</v>
      </c>
      <c r="CX157" s="24" t="e">
        <f t="shared" ca="1" si="1291"/>
        <v>#NAME?</v>
      </c>
      <c r="CY157" s="24" t="e">
        <f t="shared" ca="1" si="1291"/>
        <v>#NAME?</v>
      </c>
      <c r="CZ157" s="24" t="e">
        <f t="shared" ca="1" si="1291"/>
        <v>#NAME?</v>
      </c>
      <c r="DA157" s="24" t="e">
        <f t="shared" ca="1" si="1291"/>
        <v>#NAME?</v>
      </c>
      <c r="DB157" s="24" t="e">
        <f t="shared" ca="1" si="1291"/>
        <v>#NAME?</v>
      </c>
      <c r="DE157" s="123"/>
      <c r="DF157" s="23">
        <v>4552.33</v>
      </c>
    </row>
    <row r="158" spans="1:110" s="23" customFormat="1" outlineLevel="1" x14ac:dyDescent="0.2">
      <c r="A158" s="23" t="s">
        <v>62</v>
      </c>
      <c r="B158" s="23" t="e">
        <f ca="1">'Annual Raw'!C77</f>
        <v>#NAME?</v>
      </c>
      <c r="C158" s="23" t="e">
        <f ca="1">'Annual Raw'!D77</f>
        <v>#NAME?</v>
      </c>
      <c r="D158" s="23" t="e">
        <f ca="1">'Annual Raw'!E77</f>
        <v>#NAME?</v>
      </c>
      <c r="E158" s="23" t="e">
        <f ca="1">'Annual Raw'!F77</f>
        <v>#NAME?</v>
      </c>
      <c r="F158" s="23" t="e">
        <f ca="1">'Annual Raw'!G77</f>
        <v>#NAME?</v>
      </c>
      <c r="G158" s="23" t="e">
        <f ca="1">'Annual Raw'!H77</f>
        <v>#NAME?</v>
      </c>
      <c r="H158" s="23" t="e">
        <f ca="1">'Annual Raw'!I77</f>
        <v>#NAME?</v>
      </c>
      <c r="I158" s="23" t="e">
        <f ca="1">'Annual Raw'!J77</f>
        <v>#NAME?</v>
      </c>
      <c r="J158" s="23" t="e">
        <f ca="1">'Annual Raw'!K77</f>
        <v>#NAME?</v>
      </c>
      <c r="K158" s="23" t="e">
        <f ca="1">'Annual Raw'!L77</f>
        <v>#NAME?</v>
      </c>
      <c r="L158" s="23" t="e">
        <f ca="1">'Annual Raw'!M77</f>
        <v>#NAME?</v>
      </c>
      <c r="M158" s="23" t="e">
        <f ca="1">'Annual Raw'!N77</f>
        <v>#NAME?</v>
      </c>
      <c r="N158" s="23" t="e">
        <f ca="1">'Annual Raw'!O77</f>
        <v>#NAME?</v>
      </c>
      <c r="O158" s="23" t="e">
        <f ca="1">'Annual Raw'!P77</f>
        <v>#NAME?</v>
      </c>
      <c r="P158" s="23" t="e">
        <f ca="1">'Annual Raw'!Q77</f>
        <v>#NAME?</v>
      </c>
      <c r="Q158" s="23" t="e">
        <f ca="1">'Annual Raw'!R77</f>
        <v>#NAME?</v>
      </c>
      <c r="R158" s="23" t="e">
        <f ca="1">'Annual Raw'!S77</f>
        <v>#NAME?</v>
      </c>
      <c r="S158" s="23" t="e">
        <f ca="1">'Annual Raw'!T77</f>
        <v>#NAME?</v>
      </c>
      <c r="T158" s="23" t="e">
        <f ca="1">'Annual Raw'!U77</f>
        <v>#NAME?</v>
      </c>
      <c r="U158" s="23" t="e">
        <f ca="1">'Annual Raw'!V77</f>
        <v>#NAME?</v>
      </c>
      <c r="V158" s="23" t="e">
        <f ca="1">'Annual Raw'!W77</f>
        <v>#NAME?</v>
      </c>
      <c r="W158" s="23" t="e">
        <f ca="1">'Annual Raw'!X77</f>
        <v>#NAME?</v>
      </c>
      <c r="X158" s="23" t="e">
        <f ca="1">'Annual Raw'!Y77</f>
        <v>#NAME?</v>
      </c>
      <c r="Y158" s="23" t="e">
        <f ca="1">'Annual Raw'!Z77</f>
        <v>#NAME?</v>
      </c>
      <c r="Z158" s="23" t="e">
        <f ca="1">'Annual Raw'!AA77</f>
        <v>#NAME?</v>
      </c>
      <c r="AA158" s="23" t="e">
        <f ca="1">'Annual Raw'!AB77</f>
        <v>#NAME?</v>
      </c>
      <c r="AB158" s="24" t="e">
        <f t="shared" ca="1" si="1286"/>
        <v>#NAME?</v>
      </c>
      <c r="AC158" s="24" t="e">
        <f t="shared" ca="1" si="1287"/>
        <v>#NAME?</v>
      </c>
      <c r="AD158" s="24" t="e">
        <f t="shared" ca="1" si="1288"/>
        <v>#NAME?</v>
      </c>
      <c r="AE158" s="24" t="e">
        <f t="shared" ca="1" si="1289"/>
        <v>#NAME?</v>
      </c>
      <c r="AJ158" s="23" t="e">
        <f ca="1">+'QTR Raw'!D82</f>
        <v>#NAME?</v>
      </c>
      <c r="AK158" s="23" t="e">
        <f ca="1">+AK193*AK18/90</f>
        <v>#NAME?</v>
      </c>
      <c r="AL158" s="23" t="e">
        <f ca="1">+'QTR Raw'!F82</f>
        <v>#NAME?</v>
      </c>
      <c r="AM158" s="23" t="e">
        <f ca="1">+AM193*AM18/90</f>
        <v>#NAME?</v>
      </c>
      <c r="AN158" s="23" t="e">
        <f ca="1">+'QTR Raw'!H82</f>
        <v>#NAME?</v>
      </c>
      <c r="AO158" s="23" t="e">
        <f ca="1">+AO193*AO18/90</f>
        <v>#NAME?</v>
      </c>
      <c r="AP158" s="23" t="e">
        <f ca="1">+'QTR Raw'!J82</f>
        <v>#NAME?</v>
      </c>
      <c r="AQ158" s="23" t="e">
        <f ca="1">+AQ193*AQ18/90</f>
        <v>#NAME?</v>
      </c>
      <c r="AR158" s="23" t="e">
        <f ca="1">+'QTR Raw'!L82</f>
        <v>#NAME?</v>
      </c>
      <c r="AS158" s="23" t="e">
        <f ca="1">+AS193*AS18/90</f>
        <v>#NAME?</v>
      </c>
      <c r="AT158" s="23" t="e">
        <f ca="1">+'QTR Raw'!N82</f>
        <v>#NAME?</v>
      </c>
      <c r="AU158" s="23" t="e">
        <f ca="1">+AU193*AU18/90</f>
        <v>#NAME?</v>
      </c>
      <c r="AV158" s="23" t="e">
        <f ca="1">+'QTR Raw'!P82</f>
        <v>#NAME?</v>
      </c>
      <c r="AW158" s="23" t="e">
        <f ca="1">+AW193*AW18/90</f>
        <v>#NAME?</v>
      </c>
      <c r="AX158" s="23" t="e">
        <f ca="1">+'QTR Raw'!R82</f>
        <v>#NAME?</v>
      </c>
      <c r="AY158" s="23" t="e">
        <f ca="1">+AY193*AY18/90</f>
        <v>#NAME?</v>
      </c>
      <c r="AZ158" s="23" t="e">
        <f ca="1">+'QTR Raw'!T82</f>
        <v>#NAME?</v>
      </c>
      <c r="BA158" s="23" t="e">
        <f ca="1">+BA193*BA18/90</f>
        <v>#NAME?</v>
      </c>
      <c r="BB158" s="23" t="e">
        <f ca="1">+'QTR Raw'!V82</f>
        <v>#NAME?</v>
      </c>
      <c r="BC158" s="23" t="e">
        <f ca="1">+BC193*BC18/90</f>
        <v>#NAME?</v>
      </c>
      <c r="BD158" s="23" t="e">
        <f ca="1">+'QTR Raw'!X82</f>
        <v>#NAME?</v>
      </c>
      <c r="BE158" s="23" t="e">
        <f ca="1">+BE193*BE18/90</f>
        <v>#NAME?</v>
      </c>
      <c r="BF158" s="23" t="e">
        <f ca="1">+'QTR Raw'!Z82</f>
        <v>#NAME?</v>
      </c>
      <c r="BG158" s="23" t="e">
        <f ca="1">+BG193*BG18/90</f>
        <v>#NAME?</v>
      </c>
      <c r="BH158" s="23" t="e">
        <f ca="1">+'QTR Raw'!AB82</f>
        <v>#NAME?</v>
      </c>
      <c r="BI158" s="23" t="e">
        <f ca="1">+BI193*BI18/90</f>
        <v>#NAME?</v>
      </c>
      <c r="BJ158" s="23" t="e">
        <f ca="1">+'QTR Raw'!AD82</f>
        <v>#NAME?</v>
      </c>
      <c r="BK158" s="23" t="e">
        <f ca="1">+BK193*BK18/90</f>
        <v>#NAME?</v>
      </c>
      <c r="BL158" s="23" t="e">
        <f ca="1">+'QTR Raw'!AF82</f>
        <v>#NAME?</v>
      </c>
      <c r="BM158" s="23" t="e">
        <f ca="1">+BM193*BM18/90</f>
        <v>#NAME?</v>
      </c>
      <c r="BN158" s="23" t="e">
        <f ca="1">+'QTR Raw'!AH82</f>
        <v>#NAME?</v>
      </c>
      <c r="BO158" s="23" t="e">
        <f ca="1">+BO193*BO18/90</f>
        <v>#NAME?</v>
      </c>
      <c r="BP158" s="23" t="e">
        <f ca="1">+'QTR Raw'!AJ82</f>
        <v>#NAME?</v>
      </c>
      <c r="BQ158" s="23" t="e">
        <f ca="1">+BQ193*BQ18/90</f>
        <v>#NAME?</v>
      </c>
      <c r="BR158" s="23" t="e">
        <f ca="1">+'QTR Raw'!AL82</f>
        <v>#NAME?</v>
      </c>
      <c r="BS158" s="23" t="e">
        <f ca="1">+BS193*BS18/90</f>
        <v>#NAME?</v>
      </c>
      <c r="BT158" s="23" t="e">
        <f ca="1">+'QTR Raw'!AN82</f>
        <v>#NAME?</v>
      </c>
      <c r="BU158" s="23" t="e">
        <f ca="1">+BU193*BU18/90</f>
        <v>#NAME?</v>
      </c>
      <c r="BV158" s="23" t="e">
        <f ca="1">+'QTR Raw'!AP82</f>
        <v>#NAME?</v>
      </c>
      <c r="BW158" s="23" t="e">
        <f ca="1">+BW193*BW18/90</f>
        <v>#NAME?</v>
      </c>
      <c r="BX158" s="23" t="e">
        <f ca="1">+'QTR Raw'!AR82</f>
        <v>#NAME?</v>
      </c>
      <c r="BY158" s="23" t="e">
        <f ca="1">+BY193*BY18/90</f>
        <v>#NAME?</v>
      </c>
      <c r="BZ158" s="23" t="e">
        <f ca="1">+'QTR Raw'!AT82</f>
        <v>#NAME?</v>
      </c>
      <c r="CA158" s="23" t="e">
        <f ca="1">+CA193*CA18/90</f>
        <v>#NAME?</v>
      </c>
      <c r="CB158" s="23" t="e">
        <f ca="1">+'QTR Raw'!AV82</f>
        <v>#NAME?</v>
      </c>
      <c r="CC158" s="23" t="e">
        <f ca="1">+CC193*CC18/90</f>
        <v>#NAME?</v>
      </c>
      <c r="CD158" s="23" t="e">
        <f ca="1">+'QTR Raw'!AX82</f>
        <v>#NAME?</v>
      </c>
      <c r="CE158" s="23" t="e">
        <f ca="1">+CE193*CE18/90</f>
        <v>#NAME?</v>
      </c>
      <c r="CF158" s="23" t="e">
        <f ca="1">+'QTR Raw'!AZ82</f>
        <v>#NAME?</v>
      </c>
      <c r="CG158" s="23" t="e">
        <f ca="1">+CG193*CG18/90</f>
        <v>#NAME?</v>
      </c>
      <c r="CH158" s="23" t="e">
        <f t="shared" ca="1" si="1268"/>
        <v>#NAME?</v>
      </c>
      <c r="CI158" s="23" t="e">
        <f ca="1">+CI193*CI18/90</f>
        <v>#NAME?</v>
      </c>
      <c r="CJ158" s="23" t="e">
        <f ca="1">+'QTR Raw'!BD82</f>
        <v>#NAME?</v>
      </c>
      <c r="CK158" s="23" t="e">
        <f t="shared" ref="CK158:DB158" ca="1" si="1292">+CK193*CK18/90</f>
        <v>#NAME?</v>
      </c>
      <c r="CL158" s="23" t="e">
        <f ca="1">+'QTR Raw'!BF82</f>
        <v>#NAME?</v>
      </c>
      <c r="CM158" s="24" t="e">
        <f t="shared" ca="1" si="1292"/>
        <v>#NAME?</v>
      </c>
      <c r="CN158" s="24" t="e">
        <f t="shared" ca="1" si="1292"/>
        <v>#NAME?</v>
      </c>
      <c r="CO158" s="24" t="e">
        <f t="shared" ca="1" si="1292"/>
        <v>#NAME?</v>
      </c>
      <c r="CP158" s="24" t="e">
        <f t="shared" ca="1" si="1292"/>
        <v>#NAME?</v>
      </c>
      <c r="CQ158" s="24" t="e">
        <f t="shared" ca="1" si="1292"/>
        <v>#NAME?</v>
      </c>
      <c r="CR158" s="24" t="e">
        <f t="shared" ca="1" si="1292"/>
        <v>#NAME?</v>
      </c>
      <c r="CS158" s="24" t="e">
        <f t="shared" ca="1" si="1292"/>
        <v>#NAME?</v>
      </c>
      <c r="CT158" s="24" t="e">
        <f t="shared" ca="1" si="1292"/>
        <v>#NAME?</v>
      </c>
      <c r="CU158" s="24" t="e">
        <f t="shared" ca="1" si="1292"/>
        <v>#NAME?</v>
      </c>
      <c r="CV158" s="24" t="e">
        <f t="shared" ca="1" si="1292"/>
        <v>#NAME?</v>
      </c>
      <c r="CW158" s="24" t="e">
        <f t="shared" ca="1" si="1292"/>
        <v>#NAME?</v>
      </c>
      <c r="CX158" s="24" t="e">
        <f t="shared" ca="1" si="1292"/>
        <v>#NAME?</v>
      </c>
      <c r="CY158" s="24" t="e">
        <f t="shared" ca="1" si="1292"/>
        <v>#NAME?</v>
      </c>
      <c r="CZ158" s="24" t="e">
        <f t="shared" ca="1" si="1292"/>
        <v>#NAME?</v>
      </c>
      <c r="DA158" s="24" t="e">
        <f t="shared" ca="1" si="1292"/>
        <v>#NAME?</v>
      </c>
      <c r="DB158" s="24" t="e">
        <f t="shared" ca="1" si="1292"/>
        <v>#NAME?</v>
      </c>
      <c r="DE158" s="123"/>
      <c r="DF158" s="23">
        <v>1868.47</v>
      </c>
    </row>
    <row r="159" spans="1:110" s="23" customFormat="1" outlineLevel="1" x14ac:dyDescent="0.2">
      <c r="A159" s="23" t="s">
        <v>63</v>
      </c>
      <c r="B159" s="23" t="e">
        <f ca="1">'Annual Raw'!C79</f>
        <v>#NAME?</v>
      </c>
      <c r="C159" s="23" t="e">
        <f ca="1">'Annual Raw'!D79</f>
        <v>#NAME?</v>
      </c>
      <c r="D159" s="23" t="e">
        <f ca="1">'Annual Raw'!E79</f>
        <v>#NAME?</v>
      </c>
      <c r="E159" s="23" t="e">
        <f ca="1">'Annual Raw'!F79</f>
        <v>#NAME?</v>
      </c>
      <c r="F159" s="23" t="e">
        <f ca="1">'Annual Raw'!G79</f>
        <v>#NAME?</v>
      </c>
      <c r="G159" s="23" t="e">
        <f ca="1">'Annual Raw'!H79</f>
        <v>#NAME?</v>
      </c>
      <c r="H159" s="23" t="e">
        <f ca="1">'Annual Raw'!I79</f>
        <v>#NAME?</v>
      </c>
      <c r="I159" s="23" t="e">
        <f ca="1">'Annual Raw'!J79</f>
        <v>#NAME?</v>
      </c>
      <c r="J159" s="23" t="e">
        <f ca="1">'Annual Raw'!K79</f>
        <v>#NAME?</v>
      </c>
      <c r="K159" s="23" t="e">
        <f ca="1">'Annual Raw'!L79</f>
        <v>#NAME?</v>
      </c>
      <c r="L159" s="23" t="e">
        <f ca="1">'Annual Raw'!M79</f>
        <v>#NAME?</v>
      </c>
      <c r="M159" s="23" t="e">
        <f ca="1">'Annual Raw'!N79</f>
        <v>#NAME?</v>
      </c>
      <c r="N159" s="23" t="e">
        <f ca="1">'Annual Raw'!O79</f>
        <v>#NAME?</v>
      </c>
      <c r="O159" s="23" t="e">
        <f ca="1">'Annual Raw'!P79</f>
        <v>#NAME?</v>
      </c>
      <c r="P159" s="23" t="e">
        <f ca="1">'Annual Raw'!Q79</f>
        <v>#NAME?</v>
      </c>
      <c r="Q159" s="23" t="e">
        <f ca="1">'Annual Raw'!R79</f>
        <v>#NAME?</v>
      </c>
      <c r="R159" s="23" t="e">
        <f ca="1">'Annual Raw'!S79</f>
        <v>#NAME?</v>
      </c>
      <c r="S159" s="23" t="e">
        <f ca="1">'Annual Raw'!T79</f>
        <v>#NAME?</v>
      </c>
      <c r="T159" s="23" t="e">
        <f ca="1">'Annual Raw'!U79</f>
        <v>#NAME?</v>
      </c>
      <c r="U159" s="23" t="e">
        <f ca="1">'Annual Raw'!V79</f>
        <v>#NAME?</v>
      </c>
      <c r="V159" s="23" t="e">
        <f ca="1">'Annual Raw'!W79</f>
        <v>#NAME?</v>
      </c>
      <c r="W159" s="23" t="e">
        <f ca="1">'Annual Raw'!X79</f>
        <v>#NAME?</v>
      </c>
      <c r="X159" s="23" t="e">
        <f ca="1">'Annual Raw'!Y79</f>
        <v>#NAME?</v>
      </c>
      <c r="Y159" s="23" t="e">
        <f ca="1">'Annual Raw'!Z79</f>
        <v>#NAME?</v>
      </c>
      <c r="Z159" s="23" t="e">
        <f ca="1">'Annual Raw'!AA79</f>
        <v>#NAME?</v>
      </c>
      <c r="AA159" s="23" t="e">
        <f ca="1">'Annual Raw'!AB79</f>
        <v>#NAME?</v>
      </c>
      <c r="AB159" s="24" t="e">
        <f t="shared" ca="1" si="1286"/>
        <v>#NAME?</v>
      </c>
      <c r="AC159" s="24" t="e">
        <f t="shared" ca="1" si="1287"/>
        <v>#NAME?</v>
      </c>
      <c r="AD159" s="24" t="e">
        <f t="shared" ca="1" si="1288"/>
        <v>#NAME?</v>
      </c>
      <c r="AE159" s="24" t="e">
        <f t="shared" ca="1" si="1289"/>
        <v>#NAME?</v>
      </c>
      <c r="AJ159" s="23" t="e">
        <f ca="1">+'QTR Raw'!D84</f>
        <v>#NAME?</v>
      </c>
      <c r="AK159" s="23" t="e">
        <f t="shared" ca="1" si="1290"/>
        <v>#NAME?</v>
      </c>
      <c r="AL159" s="23" t="e">
        <f ca="1">+'QTR Raw'!F84</f>
        <v>#NAME?</v>
      </c>
      <c r="AM159" s="23" t="e">
        <f t="shared" ca="1" si="1290"/>
        <v>#NAME?</v>
      </c>
      <c r="AN159" s="23" t="e">
        <f ca="1">+'QTR Raw'!H84</f>
        <v>#NAME?</v>
      </c>
      <c r="AO159" s="23" t="e">
        <f t="shared" ca="1" si="1290"/>
        <v>#NAME?</v>
      </c>
      <c r="AP159" s="23" t="e">
        <f ca="1">+'QTR Raw'!J84</f>
        <v>#NAME?</v>
      </c>
      <c r="AQ159" s="23" t="e">
        <f t="shared" ca="1" si="1290"/>
        <v>#NAME?</v>
      </c>
      <c r="AR159" s="23" t="e">
        <f ca="1">+'QTR Raw'!L84</f>
        <v>#NAME?</v>
      </c>
      <c r="AS159" s="23" t="e">
        <f t="shared" ca="1" si="1290"/>
        <v>#NAME?</v>
      </c>
      <c r="AT159" s="23" t="e">
        <f ca="1">+'QTR Raw'!N84</f>
        <v>#NAME?</v>
      </c>
      <c r="AU159" s="23" t="e">
        <f t="shared" ca="1" si="1290"/>
        <v>#NAME?</v>
      </c>
      <c r="AV159" s="23" t="e">
        <f ca="1">+'QTR Raw'!P84</f>
        <v>#NAME?</v>
      </c>
      <c r="AW159" s="23" t="e">
        <f t="shared" ca="1" si="1290"/>
        <v>#NAME?</v>
      </c>
      <c r="AX159" s="23" t="e">
        <f ca="1">+'QTR Raw'!R84</f>
        <v>#NAME?</v>
      </c>
      <c r="AY159" s="23" t="e">
        <f t="shared" ca="1" si="1290"/>
        <v>#NAME?</v>
      </c>
      <c r="AZ159" s="23" t="e">
        <f ca="1">+'QTR Raw'!T84</f>
        <v>#NAME?</v>
      </c>
      <c r="BA159" s="23" t="e">
        <f t="shared" ca="1" si="1290"/>
        <v>#NAME?</v>
      </c>
      <c r="BB159" s="23" t="e">
        <f ca="1">+'QTR Raw'!V84</f>
        <v>#NAME?</v>
      </c>
      <c r="BC159" s="23" t="e">
        <f t="shared" ca="1" si="1290"/>
        <v>#NAME?</v>
      </c>
      <c r="BD159" s="23" t="e">
        <f ca="1">+'QTR Raw'!X84</f>
        <v>#NAME?</v>
      </c>
      <c r="BE159" s="23" t="e">
        <f t="shared" ca="1" si="1290"/>
        <v>#NAME?</v>
      </c>
      <c r="BF159" s="23" t="e">
        <f ca="1">+'QTR Raw'!Z84</f>
        <v>#NAME?</v>
      </c>
      <c r="BG159" s="23" t="e">
        <f t="shared" ca="1" si="1290"/>
        <v>#NAME?</v>
      </c>
      <c r="BH159" s="23" t="e">
        <f ca="1">+'QTR Raw'!AB84</f>
        <v>#NAME?</v>
      </c>
      <c r="BI159" s="23" t="e">
        <f t="shared" ca="1" si="1290"/>
        <v>#NAME?</v>
      </c>
      <c r="BJ159" s="23" t="e">
        <f ca="1">+'QTR Raw'!AD84</f>
        <v>#NAME?</v>
      </c>
      <c r="BK159" s="23" t="e">
        <f t="shared" ca="1" si="1290"/>
        <v>#NAME?</v>
      </c>
      <c r="BL159" s="23" t="e">
        <f ca="1">+'QTR Raw'!AF84</f>
        <v>#NAME?</v>
      </c>
      <c r="BM159" s="23" t="e">
        <f t="shared" ca="1" si="1290"/>
        <v>#NAME?</v>
      </c>
      <c r="BN159" s="23" t="e">
        <f ca="1">+'QTR Raw'!AH84</f>
        <v>#NAME?</v>
      </c>
      <c r="BO159" s="23" t="e">
        <f t="shared" ca="1" si="1290"/>
        <v>#NAME?</v>
      </c>
      <c r="BP159" s="23" t="e">
        <f ca="1">+'QTR Raw'!AJ84</f>
        <v>#NAME?</v>
      </c>
      <c r="BQ159" s="23" t="e">
        <f t="shared" ca="1" si="1290"/>
        <v>#NAME?</v>
      </c>
      <c r="BR159" s="23" t="e">
        <f ca="1">+'QTR Raw'!AL84</f>
        <v>#NAME?</v>
      </c>
      <c r="BS159" s="23" t="e">
        <f t="shared" ca="1" si="1290"/>
        <v>#NAME?</v>
      </c>
      <c r="BT159" s="23" t="e">
        <f ca="1">+'QTR Raw'!AN84</f>
        <v>#NAME?</v>
      </c>
      <c r="BU159" s="23" t="e">
        <f t="shared" ca="1" si="1290"/>
        <v>#NAME?</v>
      </c>
      <c r="BV159" s="23" t="e">
        <f ca="1">+'QTR Raw'!AP84</f>
        <v>#NAME?</v>
      </c>
      <c r="BW159" s="23" t="e">
        <f t="shared" ca="1" si="1290"/>
        <v>#NAME?</v>
      </c>
      <c r="BX159" s="23" t="e">
        <f ca="1">+'QTR Raw'!AR84</f>
        <v>#NAME?</v>
      </c>
      <c r="BY159" s="23" t="e">
        <f t="shared" ca="1" si="1290"/>
        <v>#NAME?</v>
      </c>
      <c r="BZ159" s="23" t="e">
        <f ca="1">+'QTR Raw'!AT84</f>
        <v>#NAME?</v>
      </c>
      <c r="CA159" s="23" t="e">
        <f t="shared" ca="1" si="1290"/>
        <v>#NAME?</v>
      </c>
      <c r="CB159" s="23" t="e">
        <f ca="1">+'QTR Raw'!AV84</f>
        <v>#NAME?</v>
      </c>
      <c r="CC159" s="23" t="e">
        <f t="shared" ca="1" si="1290"/>
        <v>#NAME?</v>
      </c>
      <c r="CD159" s="23" t="e">
        <f ca="1">+'QTR Raw'!AX84</f>
        <v>#NAME?</v>
      </c>
      <c r="CE159" s="23" t="e">
        <f t="shared" ca="1" si="1290"/>
        <v>#NAME?</v>
      </c>
      <c r="CF159" s="23" t="e">
        <f ca="1">+'QTR Raw'!AZ84</f>
        <v>#NAME?</v>
      </c>
      <c r="CG159" s="23" t="e">
        <f t="shared" ref="CG159:CG160" ca="1" si="1293">+CF159</f>
        <v>#NAME?</v>
      </c>
      <c r="CH159" s="23" t="e">
        <f t="shared" ca="1" si="1268"/>
        <v>#NAME?</v>
      </c>
      <c r="CI159" s="23" t="e">
        <f ca="1">CI18/90*CI194</f>
        <v>#NAME?</v>
      </c>
      <c r="CJ159" s="23" t="e">
        <f ca="1">+'QTR Raw'!BD84</f>
        <v>#NAME?</v>
      </c>
      <c r="CK159" s="23" t="e">
        <f t="shared" ref="CK159:DB159" ca="1" si="1294">CK18/90*CK194</f>
        <v>#NAME?</v>
      </c>
      <c r="CL159" s="23" t="e">
        <f ca="1">+'QTR Raw'!BF84</f>
        <v>#NAME?</v>
      </c>
      <c r="CM159" s="24" t="e">
        <f t="shared" ca="1" si="1294"/>
        <v>#NAME?</v>
      </c>
      <c r="CN159" s="24" t="e">
        <f t="shared" ca="1" si="1294"/>
        <v>#NAME?</v>
      </c>
      <c r="CO159" s="24" t="e">
        <f t="shared" ca="1" si="1294"/>
        <v>#NAME?</v>
      </c>
      <c r="CP159" s="24" t="e">
        <f t="shared" ca="1" si="1294"/>
        <v>#NAME?</v>
      </c>
      <c r="CQ159" s="24" t="e">
        <f t="shared" ca="1" si="1294"/>
        <v>#NAME?</v>
      </c>
      <c r="CR159" s="24" t="e">
        <f t="shared" ca="1" si="1294"/>
        <v>#NAME?</v>
      </c>
      <c r="CS159" s="24" t="e">
        <f t="shared" ca="1" si="1294"/>
        <v>#NAME?</v>
      </c>
      <c r="CT159" s="24" t="e">
        <f t="shared" ca="1" si="1294"/>
        <v>#NAME?</v>
      </c>
      <c r="CU159" s="24" t="e">
        <f t="shared" ca="1" si="1294"/>
        <v>#NAME?</v>
      </c>
      <c r="CV159" s="24" t="e">
        <f t="shared" ca="1" si="1294"/>
        <v>#NAME?</v>
      </c>
      <c r="CW159" s="24" t="e">
        <f t="shared" ca="1" si="1294"/>
        <v>#NAME?</v>
      </c>
      <c r="CX159" s="24" t="e">
        <f t="shared" ca="1" si="1294"/>
        <v>#NAME?</v>
      </c>
      <c r="CY159" s="24" t="e">
        <f t="shared" ca="1" si="1294"/>
        <v>#NAME?</v>
      </c>
      <c r="CZ159" s="24" t="e">
        <f t="shared" ca="1" si="1294"/>
        <v>#NAME?</v>
      </c>
      <c r="DA159" s="24" t="e">
        <f t="shared" ca="1" si="1294"/>
        <v>#NAME?</v>
      </c>
      <c r="DB159" s="24" t="e">
        <f t="shared" ca="1" si="1294"/>
        <v>#NAME?</v>
      </c>
      <c r="DE159" s="123"/>
      <c r="DF159" s="23">
        <v>6326.51</v>
      </c>
    </row>
    <row r="160" spans="1:110" s="23" customFormat="1" outlineLevel="1" x14ac:dyDescent="0.2">
      <c r="A160" s="23" t="s">
        <v>64</v>
      </c>
      <c r="B160" s="23" t="e">
        <f ca="1">'Annual Raw'!C80</f>
        <v>#NAME?</v>
      </c>
      <c r="C160" s="23" t="e">
        <f ca="1">'Annual Raw'!D80</f>
        <v>#NAME?</v>
      </c>
      <c r="D160" s="23" t="e">
        <f ca="1">'Annual Raw'!E80</f>
        <v>#NAME?</v>
      </c>
      <c r="E160" s="23" t="e">
        <f ca="1">'Annual Raw'!F80</f>
        <v>#NAME?</v>
      </c>
      <c r="F160" s="23" t="e">
        <f ca="1">'Annual Raw'!G80</f>
        <v>#NAME?</v>
      </c>
      <c r="G160" s="23" t="e">
        <f ca="1">'Annual Raw'!H80</f>
        <v>#NAME?</v>
      </c>
      <c r="H160" s="23" t="e">
        <f ca="1">'Annual Raw'!I80</f>
        <v>#NAME?</v>
      </c>
      <c r="I160" s="23" t="e">
        <f ca="1">'Annual Raw'!J80</f>
        <v>#NAME?</v>
      </c>
      <c r="J160" s="23" t="e">
        <f ca="1">'Annual Raw'!K80</f>
        <v>#NAME?</v>
      </c>
      <c r="K160" s="23" t="e">
        <f ca="1">'Annual Raw'!L80</f>
        <v>#NAME?</v>
      </c>
      <c r="L160" s="23" t="e">
        <f ca="1">'Annual Raw'!M80</f>
        <v>#NAME?</v>
      </c>
      <c r="M160" s="23" t="e">
        <f ca="1">'Annual Raw'!N80</f>
        <v>#NAME?</v>
      </c>
      <c r="N160" s="23" t="e">
        <f ca="1">'Annual Raw'!O80</f>
        <v>#NAME?</v>
      </c>
      <c r="O160" s="23" t="e">
        <f ca="1">'Annual Raw'!P80</f>
        <v>#NAME?</v>
      </c>
      <c r="P160" s="23" t="e">
        <f ca="1">'Annual Raw'!Q80</f>
        <v>#NAME?</v>
      </c>
      <c r="Q160" s="23" t="e">
        <f ca="1">'Annual Raw'!R80</f>
        <v>#NAME?</v>
      </c>
      <c r="R160" s="23" t="e">
        <f ca="1">'Annual Raw'!S80</f>
        <v>#NAME?</v>
      </c>
      <c r="S160" s="23" t="e">
        <f ca="1">'Annual Raw'!T80</f>
        <v>#NAME?</v>
      </c>
      <c r="T160" s="23" t="e">
        <f ca="1">'Annual Raw'!U80</f>
        <v>#NAME?</v>
      </c>
      <c r="U160" s="23" t="e">
        <f ca="1">'Annual Raw'!V80</f>
        <v>#NAME?</v>
      </c>
      <c r="V160" s="23" t="e">
        <f ca="1">'Annual Raw'!W80</f>
        <v>#NAME?</v>
      </c>
      <c r="W160" s="23" t="e">
        <f ca="1">'Annual Raw'!X80</f>
        <v>#NAME?</v>
      </c>
      <c r="X160" s="23" t="e">
        <f ca="1">'Annual Raw'!Y80</f>
        <v>#NAME?</v>
      </c>
      <c r="Y160" s="23" t="e">
        <f ca="1">'Annual Raw'!Z80</f>
        <v>#NAME?</v>
      </c>
      <c r="Z160" s="23" t="e">
        <f ca="1">'Annual Raw'!AA80</f>
        <v>#NAME?</v>
      </c>
      <c r="AA160" s="23" t="e">
        <f ca="1">'Annual Raw'!AB80</f>
        <v>#NAME?</v>
      </c>
      <c r="AB160" s="24">
        <f t="shared" si="1286"/>
        <v>0</v>
      </c>
      <c r="AC160" s="24">
        <f t="shared" si="1287"/>
        <v>0</v>
      </c>
      <c r="AD160" s="24">
        <f t="shared" si="1288"/>
        <v>0</v>
      </c>
      <c r="AE160" s="24">
        <f t="shared" si="1289"/>
        <v>0</v>
      </c>
      <c r="AJ160" s="23" t="e">
        <f ca="1">+'QTR Raw'!D85</f>
        <v>#NAME?</v>
      </c>
      <c r="AK160" s="23" t="e">
        <f t="shared" ca="1" si="1290"/>
        <v>#NAME?</v>
      </c>
      <c r="AL160" s="23" t="e">
        <f ca="1">+'QTR Raw'!F85</f>
        <v>#NAME?</v>
      </c>
      <c r="AM160" s="23" t="e">
        <f t="shared" ca="1" si="1290"/>
        <v>#NAME?</v>
      </c>
      <c r="AN160" s="23" t="e">
        <f ca="1">+'QTR Raw'!H85</f>
        <v>#NAME?</v>
      </c>
      <c r="AO160" s="23" t="e">
        <f t="shared" ca="1" si="1290"/>
        <v>#NAME?</v>
      </c>
      <c r="AP160" s="23" t="e">
        <f ca="1">+'QTR Raw'!J85</f>
        <v>#NAME?</v>
      </c>
      <c r="AQ160" s="23" t="e">
        <f t="shared" ca="1" si="1290"/>
        <v>#NAME?</v>
      </c>
      <c r="AR160" s="23" t="e">
        <f ca="1">+'QTR Raw'!L85</f>
        <v>#NAME?</v>
      </c>
      <c r="AS160" s="23" t="e">
        <f t="shared" ca="1" si="1290"/>
        <v>#NAME?</v>
      </c>
      <c r="AT160" s="23" t="e">
        <f ca="1">+'QTR Raw'!N85</f>
        <v>#NAME?</v>
      </c>
      <c r="AU160" s="23" t="e">
        <f t="shared" ca="1" si="1290"/>
        <v>#NAME?</v>
      </c>
      <c r="AV160" s="23" t="e">
        <f ca="1">+'QTR Raw'!P85</f>
        <v>#NAME?</v>
      </c>
      <c r="AW160" s="23" t="e">
        <f t="shared" ca="1" si="1290"/>
        <v>#NAME?</v>
      </c>
      <c r="AX160" s="23" t="e">
        <f ca="1">+'QTR Raw'!R85</f>
        <v>#NAME?</v>
      </c>
      <c r="AY160" s="23" t="e">
        <f t="shared" ca="1" si="1290"/>
        <v>#NAME?</v>
      </c>
      <c r="AZ160" s="23" t="e">
        <f ca="1">+'QTR Raw'!T85</f>
        <v>#NAME?</v>
      </c>
      <c r="BA160" s="23" t="e">
        <f t="shared" ca="1" si="1290"/>
        <v>#NAME?</v>
      </c>
      <c r="BB160" s="23" t="e">
        <f ca="1">+'QTR Raw'!V85</f>
        <v>#NAME?</v>
      </c>
      <c r="BC160" s="23" t="e">
        <f t="shared" ca="1" si="1290"/>
        <v>#NAME?</v>
      </c>
      <c r="BD160" s="23" t="e">
        <f ca="1">+'QTR Raw'!X85</f>
        <v>#NAME?</v>
      </c>
      <c r="BE160" s="23" t="e">
        <f t="shared" ca="1" si="1290"/>
        <v>#NAME?</v>
      </c>
      <c r="BF160" s="23" t="e">
        <f ca="1">+'QTR Raw'!Z85</f>
        <v>#NAME?</v>
      </c>
      <c r="BG160" s="23" t="e">
        <f t="shared" ca="1" si="1290"/>
        <v>#NAME?</v>
      </c>
      <c r="BH160" s="23" t="e">
        <f ca="1">+'QTR Raw'!AB85</f>
        <v>#NAME?</v>
      </c>
      <c r="BI160" s="23" t="e">
        <f t="shared" ca="1" si="1290"/>
        <v>#NAME?</v>
      </c>
      <c r="BJ160" s="23" t="e">
        <f ca="1">+'QTR Raw'!AD85</f>
        <v>#NAME?</v>
      </c>
      <c r="BK160" s="23" t="e">
        <f t="shared" ca="1" si="1290"/>
        <v>#NAME?</v>
      </c>
      <c r="BL160" s="23" t="e">
        <f ca="1">+'QTR Raw'!AF85</f>
        <v>#NAME?</v>
      </c>
      <c r="BM160" s="23" t="e">
        <f t="shared" ca="1" si="1290"/>
        <v>#NAME?</v>
      </c>
      <c r="BN160" s="23" t="e">
        <f ca="1">+'QTR Raw'!AH85</f>
        <v>#NAME?</v>
      </c>
      <c r="BO160" s="23" t="e">
        <f t="shared" ca="1" si="1290"/>
        <v>#NAME?</v>
      </c>
      <c r="BP160" s="23" t="e">
        <f ca="1">+'QTR Raw'!AJ85</f>
        <v>#NAME?</v>
      </c>
      <c r="BQ160" s="23" t="e">
        <f t="shared" ca="1" si="1290"/>
        <v>#NAME?</v>
      </c>
      <c r="BR160" s="23" t="e">
        <f ca="1">+'QTR Raw'!AL85</f>
        <v>#NAME?</v>
      </c>
      <c r="BS160" s="23" t="e">
        <f t="shared" ca="1" si="1290"/>
        <v>#NAME?</v>
      </c>
      <c r="BT160" s="23" t="e">
        <f ca="1">+'QTR Raw'!AN85</f>
        <v>#NAME?</v>
      </c>
      <c r="BU160" s="23" t="e">
        <f t="shared" ca="1" si="1290"/>
        <v>#NAME?</v>
      </c>
      <c r="BV160" s="23" t="e">
        <f ca="1">+'QTR Raw'!AP85</f>
        <v>#NAME?</v>
      </c>
      <c r="BW160" s="23" t="e">
        <f t="shared" ca="1" si="1290"/>
        <v>#NAME?</v>
      </c>
      <c r="BX160" s="23" t="e">
        <f ca="1">+'QTR Raw'!AR85</f>
        <v>#NAME?</v>
      </c>
      <c r="BY160" s="23" t="e">
        <f t="shared" ca="1" si="1290"/>
        <v>#NAME?</v>
      </c>
      <c r="BZ160" s="23" t="e">
        <f ca="1">+'QTR Raw'!AT85</f>
        <v>#NAME?</v>
      </c>
      <c r="CA160" s="23" t="e">
        <f t="shared" ca="1" si="1290"/>
        <v>#NAME?</v>
      </c>
      <c r="CB160" s="23" t="e">
        <f ca="1">+'QTR Raw'!AV85</f>
        <v>#NAME?</v>
      </c>
      <c r="CC160" s="23" t="e">
        <f t="shared" ca="1" si="1290"/>
        <v>#NAME?</v>
      </c>
      <c r="CD160" s="23" t="e">
        <f ca="1">+'QTR Raw'!AX85</f>
        <v>#NAME?</v>
      </c>
      <c r="CE160" s="23" t="e">
        <f t="shared" ca="1" si="1290"/>
        <v>#NAME?</v>
      </c>
      <c r="CF160" s="23" t="e">
        <f ca="1">+'QTR Raw'!AZ85</f>
        <v>#NAME?</v>
      </c>
      <c r="CG160" s="23" t="e">
        <f t="shared" ca="1" si="1293"/>
        <v>#NAME?</v>
      </c>
      <c r="CH160" s="23" t="e">
        <f t="shared" ca="1" si="1268"/>
        <v>#NAME?</v>
      </c>
      <c r="CJ160" s="23" t="e">
        <f ca="1">+'QTR Raw'!BD85</f>
        <v>#NAME?</v>
      </c>
      <c r="CL160" s="23" t="e">
        <f ca="1">+'QTR Raw'!BF85</f>
        <v>#NAME?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10.02</v>
      </c>
    </row>
    <row r="161" spans="1:110" s="22" customFormat="1" x14ac:dyDescent="0.2">
      <c r="A161" s="22" t="s">
        <v>65</v>
      </c>
      <c r="B161" s="22" t="e">
        <f ca="1">SUM(B155:B160)</f>
        <v>#NAME?</v>
      </c>
      <c r="C161" s="22" t="e">
        <f t="shared" ref="C161:V161" ca="1" si="1295">SUM(C155:C160)</f>
        <v>#NAME?</v>
      </c>
      <c r="D161" s="22" t="e">
        <f t="shared" ca="1" si="1295"/>
        <v>#NAME?</v>
      </c>
      <c r="E161" s="22" t="e">
        <f t="shared" ca="1" si="1295"/>
        <v>#NAME?</v>
      </c>
      <c r="F161" s="22" t="e">
        <f t="shared" ca="1" si="1295"/>
        <v>#NAME?</v>
      </c>
      <c r="G161" s="22" t="e">
        <f t="shared" ca="1" si="1295"/>
        <v>#NAME?</v>
      </c>
      <c r="H161" s="22" t="e">
        <f t="shared" ca="1" si="1295"/>
        <v>#NAME?</v>
      </c>
      <c r="I161" s="22" t="e">
        <f t="shared" ca="1" si="1295"/>
        <v>#NAME?</v>
      </c>
      <c r="J161" s="22" t="e">
        <f t="shared" ca="1" si="1295"/>
        <v>#NAME?</v>
      </c>
      <c r="K161" s="22" t="e">
        <f t="shared" ca="1" si="1295"/>
        <v>#NAME?</v>
      </c>
      <c r="L161" s="22" t="e">
        <f ca="1">SUM(L155:L160)</f>
        <v>#NAME?</v>
      </c>
      <c r="M161" s="22" t="e">
        <f ca="1">SUM(M155:M160)</f>
        <v>#NAME?</v>
      </c>
      <c r="N161" s="22" t="e">
        <f t="shared" ca="1" si="1295"/>
        <v>#NAME?</v>
      </c>
      <c r="O161" s="22" t="e">
        <f t="shared" ca="1" si="1295"/>
        <v>#NAME?</v>
      </c>
      <c r="P161" s="22" t="e">
        <f t="shared" ca="1" si="1295"/>
        <v>#NAME?</v>
      </c>
      <c r="Q161" s="22" t="e">
        <f t="shared" ca="1" si="1295"/>
        <v>#NAME?</v>
      </c>
      <c r="R161" s="22" t="e">
        <f t="shared" ca="1" si="1295"/>
        <v>#NAME?</v>
      </c>
      <c r="S161" s="22" t="e">
        <f t="shared" ca="1" si="1295"/>
        <v>#NAME?</v>
      </c>
      <c r="T161" s="22" t="e">
        <f t="shared" ca="1" si="1295"/>
        <v>#NAME?</v>
      </c>
      <c r="U161" s="22" t="e">
        <f t="shared" ca="1" si="1295"/>
        <v>#NAME?</v>
      </c>
      <c r="V161" s="22" t="e">
        <f t="shared" ca="1" si="1295"/>
        <v>#NAME?</v>
      </c>
      <c r="W161" s="22" t="e">
        <f t="shared" ref="W161" ca="1" si="1296">SUM(W155:W160)</f>
        <v>#NAME?</v>
      </c>
      <c r="X161" s="22" t="e">
        <f t="shared" ref="X161:Y161" ca="1" si="1297">SUM(X155:X160)</f>
        <v>#NAME?</v>
      </c>
      <c r="Y161" s="22" t="e">
        <f t="shared" ca="1" si="1297"/>
        <v>#NAME?</v>
      </c>
      <c r="Z161" s="22" t="e">
        <f t="shared" ref="Z161:AA161" ca="1" si="1298">SUM(Z155:Z160)</f>
        <v>#NAME?</v>
      </c>
      <c r="AA161" s="22" t="e">
        <f t="shared" ca="1" si="1298"/>
        <v>#NAME?</v>
      </c>
      <c r="AB161" s="21" t="e">
        <f t="shared" ref="AA161:AD161" ca="1" si="1299">SUM(AB155:AB160)</f>
        <v>#NAME?</v>
      </c>
      <c r="AC161" s="21" t="e">
        <f t="shared" ca="1" si="1299"/>
        <v>#NAME?</v>
      </c>
      <c r="AD161" s="21" t="e">
        <f t="shared" ca="1" si="1299"/>
        <v>#NAME?</v>
      </c>
      <c r="AE161" s="21" t="e">
        <f t="shared" ref="AE161" ca="1" si="1300">SUM(AE155:AE160)</f>
        <v>#NAME?</v>
      </c>
      <c r="AJ161" s="22" t="e">
        <f t="shared" ref="AJ161" ca="1" si="1301">SUM(AJ155:AJ160)</f>
        <v>#NAME?</v>
      </c>
      <c r="AK161" s="22" t="e">
        <f t="shared" ref="AK161" ca="1" si="1302">SUM(AK155:AK160)</f>
        <v>#NAME?</v>
      </c>
      <c r="AL161" s="22" t="e">
        <f t="shared" ref="AL161:AM161" ca="1" si="1303">SUM(AL155:AL160)</f>
        <v>#NAME?</v>
      </c>
      <c r="AM161" s="22" t="e">
        <f t="shared" ca="1" si="1303"/>
        <v>#NAME?</v>
      </c>
      <c r="AN161" s="22" t="e">
        <f t="shared" ref="AN161:AO161" ca="1" si="1304">SUM(AN155:AN160)</f>
        <v>#NAME?</v>
      </c>
      <c r="AO161" s="22" t="e">
        <f t="shared" ca="1" si="1304"/>
        <v>#NAME?</v>
      </c>
      <c r="AP161" s="22" t="e">
        <f t="shared" ref="AP161:CE161" ca="1" si="1305">SUM(AP155:AP160)</f>
        <v>#NAME?</v>
      </c>
      <c r="AQ161" s="22" t="e">
        <f t="shared" ca="1" si="1305"/>
        <v>#NAME?</v>
      </c>
      <c r="AR161" s="22" t="e">
        <f t="shared" ca="1" si="1305"/>
        <v>#NAME?</v>
      </c>
      <c r="AS161" s="22" t="e">
        <f t="shared" ca="1" si="1305"/>
        <v>#NAME?</v>
      </c>
      <c r="AT161" s="22" t="e">
        <f t="shared" ca="1" si="1305"/>
        <v>#NAME?</v>
      </c>
      <c r="AU161" s="22" t="e">
        <f t="shared" ca="1" si="1305"/>
        <v>#NAME?</v>
      </c>
      <c r="AV161" s="22" t="e">
        <f t="shared" ca="1" si="1305"/>
        <v>#NAME?</v>
      </c>
      <c r="AW161" s="22" t="e">
        <f t="shared" ca="1" si="1305"/>
        <v>#NAME?</v>
      </c>
      <c r="AX161" s="22" t="e">
        <f t="shared" ca="1" si="1305"/>
        <v>#NAME?</v>
      </c>
      <c r="AY161" s="22" t="e">
        <f t="shared" ca="1" si="1305"/>
        <v>#NAME?</v>
      </c>
      <c r="AZ161" s="22" t="e">
        <f t="shared" ca="1" si="1305"/>
        <v>#NAME?</v>
      </c>
      <c r="BA161" s="22" t="e">
        <f t="shared" ca="1" si="1305"/>
        <v>#NAME?</v>
      </c>
      <c r="BB161" s="22" t="e">
        <f t="shared" ca="1" si="1305"/>
        <v>#NAME?</v>
      </c>
      <c r="BC161" s="22" t="e">
        <f t="shared" ca="1" si="1305"/>
        <v>#NAME?</v>
      </c>
      <c r="BD161" s="22" t="e">
        <f t="shared" ca="1" si="1305"/>
        <v>#NAME?</v>
      </c>
      <c r="BE161" s="22" t="e">
        <f t="shared" ca="1" si="1305"/>
        <v>#NAME?</v>
      </c>
      <c r="BF161" s="22" t="e">
        <f t="shared" ca="1" si="1305"/>
        <v>#NAME?</v>
      </c>
      <c r="BG161" s="22" t="e">
        <f t="shared" ca="1" si="1305"/>
        <v>#NAME?</v>
      </c>
      <c r="BH161" s="22" t="e">
        <f t="shared" ca="1" si="1305"/>
        <v>#NAME?</v>
      </c>
      <c r="BI161" s="22" t="e">
        <f t="shared" ca="1" si="1305"/>
        <v>#NAME?</v>
      </c>
      <c r="BJ161" s="22" t="e">
        <f t="shared" ca="1" si="1305"/>
        <v>#NAME?</v>
      </c>
      <c r="BK161" s="22" t="e">
        <f t="shared" ca="1" si="1305"/>
        <v>#NAME?</v>
      </c>
      <c r="BL161" s="22" t="e">
        <f t="shared" ca="1" si="1305"/>
        <v>#NAME?</v>
      </c>
      <c r="BM161" s="22" t="e">
        <f t="shared" ca="1" si="1305"/>
        <v>#NAME?</v>
      </c>
      <c r="BN161" s="22" t="e">
        <f t="shared" ca="1" si="1305"/>
        <v>#NAME?</v>
      </c>
      <c r="BO161" s="22" t="e">
        <f t="shared" ca="1" si="1305"/>
        <v>#NAME?</v>
      </c>
      <c r="BP161" s="22" t="e">
        <f t="shared" ca="1" si="1305"/>
        <v>#NAME?</v>
      </c>
      <c r="BQ161" s="22" t="e">
        <f t="shared" ca="1" si="1305"/>
        <v>#NAME?</v>
      </c>
      <c r="BR161" s="22" t="e">
        <f t="shared" ca="1" si="1305"/>
        <v>#NAME?</v>
      </c>
      <c r="BS161" s="22" t="e">
        <f t="shared" ca="1" si="1305"/>
        <v>#NAME?</v>
      </c>
      <c r="BT161" s="22" t="e">
        <f t="shared" ca="1" si="1305"/>
        <v>#NAME?</v>
      </c>
      <c r="BU161" s="22" t="e">
        <f t="shared" ca="1" si="1305"/>
        <v>#NAME?</v>
      </c>
      <c r="BV161" s="22" t="e">
        <f t="shared" ca="1" si="1305"/>
        <v>#NAME?</v>
      </c>
      <c r="BW161" s="22" t="e">
        <f t="shared" ca="1" si="1305"/>
        <v>#NAME?</v>
      </c>
      <c r="BX161" s="22" t="e">
        <f t="shared" ca="1" si="1305"/>
        <v>#NAME?</v>
      </c>
      <c r="BY161" s="22" t="e">
        <f t="shared" ca="1" si="1305"/>
        <v>#NAME?</v>
      </c>
      <c r="BZ161" s="22" t="e">
        <f t="shared" ca="1" si="1305"/>
        <v>#NAME?</v>
      </c>
      <c r="CA161" s="22" t="e">
        <f t="shared" ca="1" si="1305"/>
        <v>#NAME?</v>
      </c>
      <c r="CB161" s="22" t="e">
        <f t="shared" ca="1" si="1305"/>
        <v>#NAME?</v>
      </c>
      <c r="CC161" s="22" t="e">
        <f t="shared" ca="1" si="1305"/>
        <v>#NAME?</v>
      </c>
      <c r="CD161" s="22" t="e">
        <f t="shared" ca="1" si="1305"/>
        <v>#NAME?</v>
      </c>
      <c r="CE161" s="22" t="e">
        <f t="shared" ca="1" si="1305"/>
        <v>#NAME?</v>
      </c>
      <c r="CF161" s="22" t="e">
        <f t="shared" ref="CF161:CG161" ca="1" si="1306">SUM(CF155:CF160)</f>
        <v>#NAME?</v>
      </c>
      <c r="CG161" s="22" t="e">
        <f t="shared" ca="1" si="1306"/>
        <v>#NAME?</v>
      </c>
      <c r="CH161" s="22" t="e">
        <f t="shared" ref="CH161:CI161" ca="1" si="1307">SUM(CH155:CH160)</f>
        <v>#NAME?</v>
      </c>
      <c r="CI161" s="22" t="e">
        <f t="shared" ca="1" si="1307"/>
        <v>#NAME?</v>
      </c>
      <c r="CJ161" s="22" t="e">
        <f t="shared" ref="CJ161:DB161" ca="1" si="1308">SUM(CJ155:CJ160)</f>
        <v>#NAME?</v>
      </c>
      <c r="CK161" s="22" t="e">
        <f t="shared" ca="1" si="1308"/>
        <v>#NAME?</v>
      </c>
      <c r="CL161" s="22" t="e">
        <f t="shared" ref="CL161" ca="1" si="1309">SUM(CL155:CL160)</f>
        <v>#NAME?</v>
      </c>
      <c r="CM161" s="21" t="e">
        <f t="shared" ca="1" si="1308"/>
        <v>#NAME?</v>
      </c>
      <c r="CN161" s="21" t="e">
        <f t="shared" ca="1" si="1308"/>
        <v>#NAME?</v>
      </c>
      <c r="CO161" s="21" t="e">
        <f t="shared" ca="1" si="1308"/>
        <v>#NAME?</v>
      </c>
      <c r="CP161" s="21" t="e">
        <f t="shared" ca="1" si="1308"/>
        <v>#NAME?</v>
      </c>
      <c r="CQ161" s="21" t="e">
        <f t="shared" ca="1" si="1308"/>
        <v>#NAME?</v>
      </c>
      <c r="CR161" s="21" t="e">
        <f t="shared" ca="1" si="1308"/>
        <v>#NAME?</v>
      </c>
      <c r="CS161" s="21" t="e">
        <f t="shared" ca="1" si="1308"/>
        <v>#NAME?</v>
      </c>
      <c r="CT161" s="21" t="e">
        <f t="shared" ca="1" si="1308"/>
        <v>#NAME?</v>
      </c>
      <c r="CU161" s="21" t="e">
        <f t="shared" ca="1" si="1308"/>
        <v>#NAME?</v>
      </c>
      <c r="CV161" s="21" t="e">
        <f t="shared" ca="1" si="1308"/>
        <v>#NAME?</v>
      </c>
      <c r="CW161" s="21" t="e">
        <f t="shared" ca="1" si="1308"/>
        <v>#NAME?</v>
      </c>
      <c r="CX161" s="21" t="e">
        <f t="shared" ca="1" si="1308"/>
        <v>#NAME?</v>
      </c>
      <c r="CY161" s="21" t="e">
        <f t="shared" ca="1" si="1308"/>
        <v>#NAME?</v>
      </c>
      <c r="CZ161" s="21" t="e">
        <f t="shared" ca="1" si="1308"/>
        <v>#NAME?</v>
      </c>
      <c r="DA161" s="21" t="e">
        <f t="shared" ca="1" si="1308"/>
        <v>#NAME?</v>
      </c>
      <c r="DB161" s="21" t="e">
        <f t="shared" ca="1" si="1308"/>
        <v>#NAME?</v>
      </c>
      <c r="DE161" s="126"/>
      <c r="DF161" s="22">
        <v>22601.41</v>
      </c>
    </row>
    <row r="162" spans="1:110" s="23" customFormat="1" outlineLevel="1" x14ac:dyDescent="0.2">
      <c r="A162" s="23" t="s">
        <v>66</v>
      </c>
      <c r="B162" s="23" t="e">
        <f ca="1">'Annual Raw'!C50+'Annual Raw'!C58</f>
        <v>#NAME?</v>
      </c>
      <c r="C162" s="23" t="e">
        <f ca="1">'Annual Raw'!D50+'Annual Raw'!D58</f>
        <v>#NAME?</v>
      </c>
      <c r="D162" s="23" t="e">
        <f ca="1">'Annual Raw'!E50+'Annual Raw'!E58</f>
        <v>#NAME?</v>
      </c>
      <c r="E162" s="23" t="e">
        <f ca="1">'Annual Raw'!F50+'Annual Raw'!F58</f>
        <v>#NAME?</v>
      </c>
      <c r="F162" s="23" t="e">
        <f ca="1">'Annual Raw'!G50+'Annual Raw'!G58</f>
        <v>#NAME?</v>
      </c>
      <c r="G162" s="23" t="e">
        <f ca="1">'Annual Raw'!H50+'Annual Raw'!H58</f>
        <v>#NAME?</v>
      </c>
      <c r="H162" s="23" t="e">
        <f ca="1">'Annual Raw'!I50+'Annual Raw'!I58</f>
        <v>#NAME?</v>
      </c>
      <c r="I162" s="23" t="e">
        <f ca="1">'Annual Raw'!J50+'Annual Raw'!J58</f>
        <v>#NAME?</v>
      </c>
      <c r="J162" s="23" t="e">
        <f ca="1">'Annual Raw'!K50+'Annual Raw'!K58</f>
        <v>#NAME?</v>
      </c>
      <c r="K162" s="23" t="e">
        <f ca="1">'Annual Raw'!L50+'Annual Raw'!L58</f>
        <v>#NAME?</v>
      </c>
      <c r="L162" s="23" t="e">
        <f ca="1">'Annual Raw'!M50+'Annual Raw'!M58</f>
        <v>#NAME?</v>
      </c>
      <c r="M162" s="23" t="e">
        <f ca="1">'Annual Raw'!N50+'Annual Raw'!N58</f>
        <v>#NAME?</v>
      </c>
      <c r="N162" s="23" t="e">
        <f ca="1">'Annual Raw'!O50+'Annual Raw'!O58</f>
        <v>#NAME?</v>
      </c>
      <c r="O162" s="23" t="e">
        <f ca="1">'Annual Raw'!P50+'Annual Raw'!P58</f>
        <v>#NAME?</v>
      </c>
      <c r="P162" s="23" t="e">
        <f ca="1">'Annual Raw'!Q50+'Annual Raw'!Q58</f>
        <v>#NAME?</v>
      </c>
      <c r="Q162" s="23" t="e">
        <f ca="1">'Annual Raw'!R50+'Annual Raw'!R58</f>
        <v>#NAME?</v>
      </c>
      <c r="R162" s="23" t="e">
        <f ca="1">'Annual Raw'!S50+'Annual Raw'!S58</f>
        <v>#NAME?</v>
      </c>
      <c r="S162" s="23" t="e">
        <f ca="1">'Annual Raw'!T50+'Annual Raw'!T58</f>
        <v>#NAME?</v>
      </c>
      <c r="T162" s="23" t="e">
        <f ca="1">'Annual Raw'!U50+'Annual Raw'!U58</f>
        <v>#NAME?</v>
      </c>
      <c r="U162" s="23" t="e">
        <f ca="1">'Annual Raw'!V50+'Annual Raw'!V58</f>
        <v>#NAME?</v>
      </c>
      <c r="V162" s="23" t="e">
        <f ca="1">'Annual Raw'!W50+'Annual Raw'!W58</f>
        <v>#NAME?</v>
      </c>
      <c r="W162" s="23" t="e">
        <f ca="1">'Annual Raw'!X50+'Annual Raw'!X58</f>
        <v>#NAME?</v>
      </c>
      <c r="X162" s="23" t="e">
        <f ca="1">'Annual Raw'!Y50+'Annual Raw'!Y58</f>
        <v>#NAME?</v>
      </c>
      <c r="Y162" s="23" t="e">
        <f ca="1">'Annual Raw'!Z50+'Annual Raw'!Z58</f>
        <v>#NAME?</v>
      </c>
      <c r="Z162" s="23" t="e">
        <f ca="1">'Annual Raw'!AA50+'Annual Raw'!AA58</f>
        <v>#NAME?</v>
      </c>
      <c r="AA162" s="23" t="e">
        <f ca="1">'Annual Raw'!AB50+'Annual Raw'!AB58</f>
        <v>#NAME?</v>
      </c>
      <c r="AB162" s="24">
        <f t="shared" ref="AB162:AB168" si="1310">+CP162</f>
        <v>0</v>
      </c>
      <c r="AC162" s="24">
        <f t="shared" ref="AC162:AC168" si="1311">+CT162</f>
        <v>0</v>
      </c>
      <c r="AD162" s="24">
        <f t="shared" ref="AD162:AD168" si="1312">+CX162</f>
        <v>0</v>
      </c>
      <c r="AE162" s="24">
        <f t="shared" ref="AE162:AE168" si="1313">+DB162</f>
        <v>0</v>
      </c>
      <c r="AJ162" s="23" t="e">
        <f ca="1">+'QTR Raw'!D64</f>
        <v>#NAME?</v>
      </c>
      <c r="AK162" s="23" t="e">
        <f t="shared" ref="AK162:CE168" ca="1" si="1314">+AJ162</f>
        <v>#NAME?</v>
      </c>
      <c r="AL162" s="23" t="e">
        <f ca="1">+'QTR Raw'!F64</f>
        <v>#NAME?</v>
      </c>
      <c r="AM162" s="23" t="e">
        <f t="shared" ca="1" si="1314"/>
        <v>#NAME?</v>
      </c>
      <c r="AN162" s="23" t="e">
        <f ca="1">+'QTR Raw'!H64</f>
        <v>#NAME?</v>
      </c>
      <c r="AO162" s="23" t="e">
        <f t="shared" ca="1" si="1314"/>
        <v>#NAME?</v>
      </c>
      <c r="AP162" s="23" t="e">
        <f ca="1">+'QTR Raw'!J64</f>
        <v>#NAME?</v>
      </c>
      <c r="AQ162" s="23" t="e">
        <f t="shared" ca="1" si="1314"/>
        <v>#NAME?</v>
      </c>
      <c r="AR162" s="23" t="e">
        <f ca="1">+'QTR Raw'!L64</f>
        <v>#NAME?</v>
      </c>
      <c r="AS162" s="23" t="e">
        <f t="shared" ca="1" si="1314"/>
        <v>#NAME?</v>
      </c>
      <c r="AT162" s="23" t="e">
        <f ca="1">+'QTR Raw'!N64</f>
        <v>#NAME?</v>
      </c>
      <c r="AU162" s="23" t="e">
        <f t="shared" ca="1" si="1314"/>
        <v>#NAME?</v>
      </c>
      <c r="AV162" s="23" t="e">
        <f ca="1">+'QTR Raw'!P64</f>
        <v>#NAME?</v>
      </c>
      <c r="AW162" s="23" t="e">
        <f t="shared" ca="1" si="1314"/>
        <v>#NAME?</v>
      </c>
      <c r="AX162" s="23" t="e">
        <f ca="1">+'QTR Raw'!R64</f>
        <v>#NAME?</v>
      </c>
      <c r="AY162" s="23" t="e">
        <f t="shared" ca="1" si="1314"/>
        <v>#NAME?</v>
      </c>
      <c r="AZ162" s="23" t="e">
        <f ca="1">+'QTR Raw'!T64</f>
        <v>#NAME?</v>
      </c>
      <c r="BA162" s="23" t="e">
        <f t="shared" ca="1" si="1314"/>
        <v>#NAME?</v>
      </c>
      <c r="BB162" s="23" t="e">
        <f ca="1">+'QTR Raw'!V64</f>
        <v>#NAME?</v>
      </c>
      <c r="BC162" s="23" t="e">
        <f t="shared" ca="1" si="1314"/>
        <v>#NAME?</v>
      </c>
      <c r="BD162" s="23" t="e">
        <f ca="1">+'QTR Raw'!X64</f>
        <v>#NAME?</v>
      </c>
      <c r="BE162" s="23" t="e">
        <f t="shared" ca="1" si="1314"/>
        <v>#NAME?</v>
      </c>
      <c r="BF162" s="23" t="e">
        <f ca="1">+'QTR Raw'!Z64</f>
        <v>#NAME?</v>
      </c>
      <c r="BG162" s="23" t="e">
        <f t="shared" ca="1" si="1314"/>
        <v>#NAME?</v>
      </c>
      <c r="BH162" s="23" t="e">
        <f ca="1">+'QTR Raw'!AB64</f>
        <v>#NAME?</v>
      </c>
      <c r="BI162" s="23" t="e">
        <f t="shared" ca="1" si="1314"/>
        <v>#NAME?</v>
      </c>
      <c r="BJ162" s="23" t="e">
        <f ca="1">+'QTR Raw'!AD64</f>
        <v>#NAME?</v>
      </c>
      <c r="BK162" s="23" t="e">
        <f t="shared" ca="1" si="1314"/>
        <v>#NAME?</v>
      </c>
      <c r="BL162" s="23" t="e">
        <f ca="1">+'QTR Raw'!AF64</f>
        <v>#NAME?</v>
      </c>
      <c r="BM162" s="23" t="e">
        <f t="shared" ca="1" si="1314"/>
        <v>#NAME?</v>
      </c>
      <c r="BN162" s="23" t="e">
        <f ca="1">+'QTR Raw'!AH64</f>
        <v>#NAME?</v>
      </c>
      <c r="BO162" s="23" t="e">
        <f t="shared" ca="1" si="1314"/>
        <v>#NAME?</v>
      </c>
      <c r="BP162" s="23" t="e">
        <f ca="1">+'QTR Raw'!AJ64</f>
        <v>#NAME?</v>
      </c>
      <c r="BQ162" s="23" t="e">
        <f t="shared" ca="1" si="1314"/>
        <v>#NAME?</v>
      </c>
      <c r="BR162" s="23" t="e">
        <f ca="1">+'QTR Raw'!AL64</f>
        <v>#NAME?</v>
      </c>
      <c r="BS162" s="23" t="e">
        <f t="shared" ca="1" si="1314"/>
        <v>#NAME?</v>
      </c>
      <c r="BT162" s="23" t="e">
        <f ca="1">+'QTR Raw'!AN64</f>
        <v>#NAME?</v>
      </c>
      <c r="BU162" s="23" t="e">
        <f t="shared" ca="1" si="1314"/>
        <v>#NAME?</v>
      </c>
      <c r="BV162" s="23" t="e">
        <f ca="1">+'QTR Raw'!AP64</f>
        <v>#NAME?</v>
      </c>
      <c r="BW162" s="23" t="e">
        <f t="shared" ca="1" si="1314"/>
        <v>#NAME?</v>
      </c>
      <c r="BX162" s="23" t="e">
        <f ca="1">+'QTR Raw'!AR64</f>
        <v>#NAME?</v>
      </c>
      <c r="BY162" s="23" t="e">
        <f t="shared" ca="1" si="1314"/>
        <v>#NAME?</v>
      </c>
      <c r="BZ162" s="23" t="e">
        <f ca="1">+'QTR Raw'!AT64</f>
        <v>#NAME?</v>
      </c>
      <c r="CA162" s="23" t="e">
        <f t="shared" ca="1" si="1314"/>
        <v>#NAME?</v>
      </c>
      <c r="CB162" s="23" t="e">
        <f ca="1">+'QTR Raw'!AV64</f>
        <v>#NAME?</v>
      </c>
      <c r="CC162" s="23" t="e">
        <f t="shared" ca="1" si="1314"/>
        <v>#NAME?</v>
      </c>
      <c r="CD162" s="23" t="e">
        <f ca="1">+'QTR Raw'!AX64</f>
        <v>#NAME?</v>
      </c>
      <c r="CE162" s="23" t="e">
        <f t="shared" ca="1" si="1314"/>
        <v>#NAME?</v>
      </c>
      <c r="CF162" s="23" t="e">
        <f ca="1">+'QTR Raw'!AZ64</f>
        <v>#NAME?</v>
      </c>
      <c r="CG162" s="23" t="e">
        <f t="shared" ref="CG162:CG165" ca="1" si="1315">+CF162</f>
        <v>#NAME?</v>
      </c>
      <c r="CH162" s="23" t="e">
        <f t="shared" ca="1" si="1268"/>
        <v>#NAME?</v>
      </c>
      <c r="CJ162" s="23" t="e">
        <f ca="1">+'QTR Raw'!BD64</f>
        <v>#NAME?</v>
      </c>
      <c r="CL162" s="23" t="e">
        <f ca="1">+'QTR Raw'!BF64</f>
        <v>#NAME?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916.55</v>
      </c>
    </row>
    <row r="163" spans="1:110" s="23" customFormat="1" outlineLevel="1" x14ac:dyDescent="0.2">
      <c r="A163" s="23" t="s">
        <v>67</v>
      </c>
      <c r="B163" s="23" t="e">
        <f ca="1">'Annual Raw'!C51</f>
        <v>#NAME?</v>
      </c>
      <c r="C163" s="23" t="e">
        <f ca="1">'Annual Raw'!D51</f>
        <v>#NAME?</v>
      </c>
      <c r="D163" s="23" t="e">
        <f ca="1">'Annual Raw'!E51</f>
        <v>#NAME?</v>
      </c>
      <c r="E163" s="23" t="e">
        <f ca="1">'Annual Raw'!F51</f>
        <v>#NAME?</v>
      </c>
      <c r="F163" s="23" t="e">
        <f ca="1">'Annual Raw'!G51</f>
        <v>#NAME?</v>
      </c>
      <c r="G163" s="23" t="e">
        <f ca="1">'Annual Raw'!H51</f>
        <v>#NAME?</v>
      </c>
      <c r="H163" s="23" t="e">
        <f ca="1">'Annual Raw'!I51</f>
        <v>#NAME?</v>
      </c>
      <c r="I163" s="23" t="e">
        <f ca="1">'Annual Raw'!J51</f>
        <v>#NAME?</v>
      </c>
      <c r="J163" s="23" t="e">
        <f ca="1">'Annual Raw'!K51</f>
        <v>#NAME?</v>
      </c>
      <c r="K163" s="23" t="e">
        <f ca="1">'Annual Raw'!L51</f>
        <v>#NAME?</v>
      </c>
      <c r="L163" s="23" t="e">
        <f ca="1">'Annual Raw'!M51</f>
        <v>#NAME?</v>
      </c>
      <c r="M163" s="23" t="e">
        <f ca="1">'Annual Raw'!N51</f>
        <v>#NAME?</v>
      </c>
      <c r="N163" s="23" t="e">
        <f ca="1">'Annual Raw'!O51</f>
        <v>#NAME?</v>
      </c>
      <c r="O163" s="23" t="e">
        <f ca="1">'Annual Raw'!P51</f>
        <v>#NAME?</v>
      </c>
      <c r="P163" s="23" t="e">
        <f ca="1">'Annual Raw'!Q51</f>
        <v>#NAME?</v>
      </c>
      <c r="Q163" s="23" t="e">
        <f ca="1">'Annual Raw'!R51</f>
        <v>#NAME?</v>
      </c>
      <c r="R163" s="23" t="e">
        <f ca="1">'Annual Raw'!S51</f>
        <v>#NAME?</v>
      </c>
      <c r="S163" s="23" t="e">
        <f ca="1">'Annual Raw'!T51</f>
        <v>#NAME?</v>
      </c>
      <c r="T163" s="23" t="e">
        <f ca="1">'Annual Raw'!U51</f>
        <v>#NAME?</v>
      </c>
      <c r="U163" s="23" t="e">
        <f ca="1">'Annual Raw'!V51</f>
        <v>#NAME?</v>
      </c>
      <c r="V163" s="23" t="e">
        <f ca="1">'Annual Raw'!W51</f>
        <v>#NAME?</v>
      </c>
      <c r="W163" s="23" t="e">
        <f ca="1">'Annual Raw'!X51</f>
        <v>#NAME?</v>
      </c>
      <c r="X163" s="23" t="e">
        <f ca="1">'Annual Raw'!Y51</f>
        <v>#NAME?</v>
      </c>
      <c r="Y163" s="23" t="e">
        <f ca="1">'Annual Raw'!Z51</f>
        <v>#NAME?</v>
      </c>
      <c r="Z163" s="23" t="e">
        <f ca="1">'Annual Raw'!AA51</f>
        <v>#NAME?</v>
      </c>
      <c r="AA163" s="23" t="e">
        <f ca="1">'Annual Raw'!AB51</f>
        <v>#NAME?</v>
      </c>
      <c r="AB163" s="24">
        <f t="shared" si="1310"/>
        <v>0</v>
      </c>
      <c r="AC163" s="24">
        <f t="shared" si="1311"/>
        <v>0</v>
      </c>
      <c r="AD163" s="24">
        <f t="shared" si="1312"/>
        <v>0</v>
      </c>
      <c r="AE163" s="24">
        <f t="shared" si="1313"/>
        <v>0</v>
      </c>
      <c r="AJ163" s="23" t="e">
        <f ca="1">+'QTR Raw'!D65</f>
        <v>#NAME?</v>
      </c>
      <c r="AK163" s="23" t="e">
        <f t="shared" ca="1" si="1314"/>
        <v>#NAME?</v>
      </c>
      <c r="AL163" s="23" t="e">
        <f ca="1">+'QTR Raw'!F65</f>
        <v>#NAME?</v>
      </c>
      <c r="AM163" s="23" t="e">
        <f t="shared" ca="1" si="1314"/>
        <v>#NAME?</v>
      </c>
      <c r="AN163" s="23" t="e">
        <f ca="1">+'QTR Raw'!H65</f>
        <v>#NAME?</v>
      </c>
      <c r="AO163" s="23" t="e">
        <f t="shared" ca="1" si="1314"/>
        <v>#NAME?</v>
      </c>
      <c r="AP163" s="23" t="e">
        <f ca="1">+'QTR Raw'!J65</f>
        <v>#NAME?</v>
      </c>
      <c r="AQ163" s="23" t="e">
        <f t="shared" ca="1" si="1314"/>
        <v>#NAME?</v>
      </c>
      <c r="AR163" s="23" t="e">
        <f ca="1">+'QTR Raw'!L65</f>
        <v>#NAME?</v>
      </c>
      <c r="AS163" s="23" t="e">
        <f t="shared" ca="1" si="1314"/>
        <v>#NAME?</v>
      </c>
      <c r="AT163" s="23" t="e">
        <f ca="1">+'QTR Raw'!N65</f>
        <v>#NAME?</v>
      </c>
      <c r="AU163" s="23" t="e">
        <f t="shared" ca="1" si="1314"/>
        <v>#NAME?</v>
      </c>
      <c r="AV163" s="23" t="e">
        <f ca="1">+'QTR Raw'!P65</f>
        <v>#NAME?</v>
      </c>
      <c r="AW163" s="23" t="e">
        <f t="shared" ca="1" si="1314"/>
        <v>#NAME?</v>
      </c>
      <c r="AX163" s="23" t="e">
        <f ca="1">+'QTR Raw'!R65</f>
        <v>#NAME?</v>
      </c>
      <c r="AY163" s="23" t="e">
        <f t="shared" ca="1" si="1314"/>
        <v>#NAME?</v>
      </c>
      <c r="AZ163" s="23" t="e">
        <f ca="1">+'QTR Raw'!T65</f>
        <v>#NAME?</v>
      </c>
      <c r="BA163" s="23" t="e">
        <f t="shared" ca="1" si="1314"/>
        <v>#NAME?</v>
      </c>
      <c r="BB163" s="23" t="e">
        <f ca="1">+'QTR Raw'!V65</f>
        <v>#NAME?</v>
      </c>
      <c r="BC163" s="23" t="e">
        <f t="shared" ca="1" si="1314"/>
        <v>#NAME?</v>
      </c>
      <c r="BD163" s="23" t="e">
        <f ca="1">+'QTR Raw'!X65</f>
        <v>#NAME?</v>
      </c>
      <c r="BE163" s="23" t="e">
        <f t="shared" ca="1" si="1314"/>
        <v>#NAME?</v>
      </c>
      <c r="BF163" s="23" t="e">
        <f ca="1">+'QTR Raw'!Z65</f>
        <v>#NAME?</v>
      </c>
      <c r="BG163" s="23" t="e">
        <f t="shared" ca="1" si="1314"/>
        <v>#NAME?</v>
      </c>
      <c r="BH163" s="23" t="e">
        <f ca="1">+'QTR Raw'!AB65</f>
        <v>#NAME?</v>
      </c>
      <c r="BI163" s="23" t="e">
        <f t="shared" ca="1" si="1314"/>
        <v>#NAME?</v>
      </c>
      <c r="BJ163" s="23" t="e">
        <f ca="1">+'QTR Raw'!AD65</f>
        <v>#NAME?</v>
      </c>
      <c r="BK163" s="23" t="e">
        <f t="shared" ca="1" si="1314"/>
        <v>#NAME?</v>
      </c>
      <c r="BL163" s="23" t="e">
        <f ca="1">+'QTR Raw'!AF65</f>
        <v>#NAME?</v>
      </c>
      <c r="BM163" s="23" t="e">
        <f t="shared" ca="1" si="1314"/>
        <v>#NAME?</v>
      </c>
      <c r="BN163" s="23" t="e">
        <f ca="1">+'QTR Raw'!AH65</f>
        <v>#NAME?</v>
      </c>
      <c r="BO163" s="23" t="e">
        <f t="shared" ca="1" si="1314"/>
        <v>#NAME?</v>
      </c>
      <c r="BP163" s="23" t="e">
        <f ca="1">+'QTR Raw'!AJ65</f>
        <v>#NAME?</v>
      </c>
      <c r="BQ163" s="23" t="e">
        <f t="shared" ca="1" si="1314"/>
        <v>#NAME?</v>
      </c>
      <c r="BR163" s="23" t="e">
        <f ca="1">+'QTR Raw'!AL65</f>
        <v>#NAME?</v>
      </c>
      <c r="BS163" s="23" t="e">
        <f t="shared" ca="1" si="1314"/>
        <v>#NAME?</v>
      </c>
      <c r="BT163" s="23" t="e">
        <f ca="1">+'QTR Raw'!AN65</f>
        <v>#NAME?</v>
      </c>
      <c r="BU163" s="23" t="e">
        <f t="shared" ca="1" si="1314"/>
        <v>#NAME?</v>
      </c>
      <c r="BV163" s="23" t="e">
        <f ca="1">+'QTR Raw'!AP65</f>
        <v>#NAME?</v>
      </c>
      <c r="BW163" s="23" t="e">
        <f t="shared" ca="1" si="1314"/>
        <v>#NAME?</v>
      </c>
      <c r="BX163" s="23" t="e">
        <f ca="1">+'QTR Raw'!AR65</f>
        <v>#NAME?</v>
      </c>
      <c r="BY163" s="23" t="e">
        <f t="shared" ca="1" si="1314"/>
        <v>#NAME?</v>
      </c>
      <c r="BZ163" s="23" t="e">
        <f ca="1">+'QTR Raw'!AT65</f>
        <v>#NAME?</v>
      </c>
      <c r="CA163" s="23" t="e">
        <f t="shared" ca="1" si="1314"/>
        <v>#NAME?</v>
      </c>
      <c r="CB163" s="23" t="e">
        <f ca="1">+'QTR Raw'!AV65</f>
        <v>#NAME?</v>
      </c>
      <c r="CC163" s="23" t="e">
        <f t="shared" ca="1" si="1314"/>
        <v>#NAME?</v>
      </c>
      <c r="CD163" s="23" t="e">
        <f ca="1">+'QTR Raw'!AX65</f>
        <v>#NAME?</v>
      </c>
      <c r="CE163" s="23" t="e">
        <f t="shared" ca="1" si="1314"/>
        <v>#NAME?</v>
      </c>
      <c r="CF163" s="23" t="e">
        <f ca="1">+'QTR Raw'!AZ65</f>
        <v>#NAME?</v>
      </c>
      <c r="CG163" s="23" t="e">
        <f t="shared" ca="1" si="1315"/>
        <v>#NAME?</v>
      </c>
      <c r="CH163" s="23" t="e">
        <f t="shared" ca="1" si="1268"/>
        <v>#NAME?</v>
      </c>
      <c r="CJ163" s="23" t="e">
        <f ca="1">+'QTR Raw'!BD65</f>
        <v>#NAME?</v>
      </c>
      <c r="CL163" s="23" t="e">
        <f ca="1">+'QTR Raw'!BF65</f>
        <v>#NAME?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0</v>
      </c>
    </row>
    <row r="164" spans="1:110" s="23" customFormat="1" outlineLevel="1" x14ac:dyDescent="0.2">
      <c r="A164" s="23" t="s">
        <v>68</v>
      </c>
      <c r="B164" s="23" t="e">
        <f ca="1">'Annual Raw'!C52</f>
        <v>#NAME?</v>
      </c>
      <c r="C164" s="23" t="e">
        <f ca="1">'Annual Raw'!D52</f>
        <v>#NAME?</v>
      </c>
      <c r="D164" s="23" t="e">
        <f ca="1">'Annual Raw'!E52</f>
        <v>#NAME?</v>
      </c>
      <c r="E164" s="23" t="e">
        <f ca="1">'Annual Raw'!F52</f>
        <v>#NAME?</v>
      </c>
      <c r="F164" s="23" t="e">
        <f ca="1">'Annual Raw'!G52</f>
        <v>#NAME?</v>
      </c>
      <c r="G164" s="23" t="e">
        <f ca="1">'Annual Raw'!H52</f>
        <v>#NAME?</v>
      </c>
      <c r="H164" s="23" t="e">
        <f ca="1">'Annual Raw'!I52</f>
        <v>#NAME?</v>
      </c>
      <c r="I164" s="23" t="e">
        <f ca="1">'Annual Raw'!J52</f>
        <v>#NAME?</v>
      </c>
      <c r="J164" s="23" t="e">
        <f ca="1">'Annual Raw'!K52</f>
        <v>#NAME?</v>
      </c>
      <c r="K164" s="23" t="e">
        <f ca="1">'Annual Raw'!L52</f>
        <v>#NAME?</v>
      </c>
      <c r="L164" s="23" t="e">
        <f ca="1">'Annual Raw'!M52</f>
        <v>#NAME?</v>
      </c>
      <c r="M164" s="23" t="e">
        <f ca="1">'Annual Raw'!N52</f>
        <v>#NAME?</v>
      </c>
      <c r="N164" s="23" t="e">
        <f ca="1">'Annual Raw'!O52</f>
        <v>#NAME?</v>
      </c>
      <c r="O164" s="23" t="e">
        <f ca="1">'Annual Raw'!P52</f>
        <v>#NAME?</v>
      </c>
      <c r="P164" s="23" t="e">
        <f ca="1">'Annual Raw'!Q52</f>
        <v>#NAME?</v>
      </c>
      <c r="Q164" s="23" t="e">
        <f ca="1">'Annual Raw'!R52</f>
        <v>#NAME?</v>
      </c>
      <c r="R164" s="23" t="e">
        <f ca="1">'Annual Raw'!S52</f>
        <v>#NAME?</v>
      </c>
      <c r="S164" s="23" t="e">
        <f ca="1">'Annual Raw'!T52</f>
        <v>#NAME?</v>
      </c>
      <c r="T164" s="23" t="e">
        <f ca="1">'Annual Raw'!U52</f>
        <v>#NAME?</v>
      </c>
      <c r="U164" s="23" t="e">
        <f ca="1">'Annual Raw'!V52</f>
        <v>#NAME?</v>
      </c>
      <c r="V164" s="23" t="e">
        <f ca="1">'Annual Raw'!W52</f>
        <v>#NAME?</v>
      </c>
      <c r="W164" s="23" t="e">
        <f ca="1">'Annual Raw'!X52</f>
        <v>#NAME?</v>
      </c>
      <c r="X164" s="23" t="e">
        <f ca="1">'Annual Raw'!Y52</f>
        <v>#NAME?</v>
      </c>
      <c r="Y164" s="23" t="e">
        <f ca="1">'Annual Raw'!Z52</f>
        <v>#NAME?</v>
      </c>
      <c r="Z164" s="23" t="e">
        <f ca="1">'Annual Raw'!AA52</f>
        <v>#NAME?</v>
      </c>
      <c r="AA164" s="23" t="e">
        <f ca="1">'Annual Raw'!AB52</f>
        <v>#NAME?</v>
      </c>
      <c r="AB164" s="24">
        <f t="shared" si="1310"/>
        <v>0</v>
      </c>
      <c r="AC164" s="24">
        <f t="shared" si="1311"/>
        <v>0</v>
      </c>
      <c r="AD164" s="24">
        <f t="shared" si="1312"/>
        <v>0</v>
      </c>
      <c r="AE164" s="24">
        <f t="shared" si="1313"/>
        <v>0</v>
      </c>
      <c r="AJ164" s="23" t="e">
        <f ca="1">+'QTR Raw'!D66</f>
        <v>#NAME?</v>
      </c>
      <c r="AK164" s="23" t="e">
        <f t="shared" ca="1" si="1314"/>
        <v>#NAME?</v>
      </c>
      <c r="AL164" s="23" t="e">
        <f ca="1">+'QTR Raw'!F66</f>
        <v>#NAME?</v>
      </c>
      <c r="AM164" s="23" t="e">
        <f t="shared" ca="1" si="1314"/>
        <v>#NAME?</v>
      </c>
      <c r="AN164" s="23" t="e">
        <f ca="1">+'QTR Raw'!H66</f>
        <v>#NAME?</v>
      </c>
      <c r="AO164" s="23" t="e">
        <f t="shared" ca="1" si="1314"/>
        <v>#NAME?</v>
      </c>
      <c r="AP164" s="23" t="e">
        <f ca="1">+'QTR Raw'!J66</f>
        <v>#NAME?</v>
      </c>
      <c r="AQ164" s="23" t="e">
        <f t="shared" ca="1" si="1314"/>
        <v>#NAME?</v>
      </c>
      <c r="AR164" s="23" t="e">
        <f ca="1">+'QTR Raw'!L66</f>
        <v>#NAME?</v>
      </c>
      <c r="AS164" s="23" t="e">
        <f t="shared" ca="1" si="1314"/>
        <v>#NAME?</v>
      </c>
      <c r="AT164" s="23" t="e">
        <f ca="1">+'QTR Raw'!N66</f>
        <v>#NAME?</v>
      </c>
      <c r="AU164" s="23" t="e">
        <f t="shared" ca="1" si="1314"/>
        <v>#NAME?</v>
      </c>
      <c r="AV164" s="23" t="e">
        <f ca="1">+'QTR Raw'!P66</f>
        <v>#NAME?</v>
      </c>
      <c r="AW164" s="23" t="e">
        <f t="shared" ca="1" si="1314"/>
        <v>#NAME?</v>
      </c>
      <c r="AX164" s="23" t="e">
        <f ca="1">+'QTR Raw'!R66</f>
        <v>#NAME?</v>
      </c>
      <c r="AY164" s="23" t="e">
        <f t="shared" ca="1" si="1314"/>
        <v>#NAME?</v>
      </c>
      <c r="AZ164" s="23" t="e">
        <f ca="1">+'QTR Raw'!T66</f>
        <v>#NAME?</v>
      </c>
      <c r="BA164" s="23" t="e">
        <f t="shared" ca="1" si="1314"/>
        <v>#NAME?</v>
      </c>
      <c r="BB164" s="23" t="e">
        <f ca="1">+'QTR Raw'!V66</f>
        <v>#NAME?</v>
      </c>
      <c r="BC164" s="23" t="e">
        <f t="shared" ca="1" si="1314"/>
        <v>#NAME?</v>
      </c>
      <c r="BD164" s="23" t="e">
        <f ca="1">+'QTR Raw'!X66</f>
        <v>#NAME?</v>
      </c>
      <c r="BE164" s="23" t="e">
        <f t="shared" ca="1" si="1314"/>
        <v>#NAME?</v>
      </c>
      <c r="BF164" s="23" t="e">
        <f ca="1">+'QTR Raw'!Z66</f>
        <v>#NAME?</v>
      </c>
      <c r="BG164" s="23" t="e">
        <f t="shared" ca="1" si="1314"/>
        <v>#NAME?</v>
      </c>
      <c r="BH164" s="23" t="e">
        <f ca="1">+'QTR Raw'!AB66</f>
        <v>#NAME?</v>
      </c>
      <c r="BI164" s="23" t="e">
        <f t="shared" ca="1" si="1314"/>
        <v>#NAME?</v>
      </c>
      <c r="BJ164" s="23" t="e">
        <f ca="1">+'QTR Raw'!AD66</f>
        <v>#NAME?</v>
      </c>
      <c r="BK164" s="23" t="e">
        <f t="shared" ca="1" si="1314"/>
        <v>#NAME?</v>
      </c>
      <c r="BL164" s="23" t="e">
        <f ca="1">+'QTR Raw'!AF66</f>
        <v>#NAME?</v>
      </c>
      <c r="BM164" s="23" t="e">
        <f t="shared" ca="1" si="1314"/>
        <v>#NAME?</v>
      </c>
      <c r="BN164" s="23" t="e">
        <f ca="1">+'QTR Raw'!AH66</f>
        <v>#NAME?</v>
      </c>
      <c r="BO164" s="23" t="e">
        <f t="shared" ca="1" si="1314"/>
        <v>#NAME?</v>
      </c>
      <c r="BP164" s="23" t="e">
        <f ca="1">+'QTR Raw'!AJ66</f>
        <v>#NAME?</v>
      </c>
      <c r="BQ164" s="23" t="e">
        <f t="shared" ca="1" si="1314"/>
        <v>#NAME?</v>
      </c>
      <c r="BR164" s="23" t="e">
        <f ca="1">+'QTR Raw'!AL66</f>
        <v>#NAME?</v>
      </c>
      <c r="BS164" s="23" t="e">
        <f t="shared" ca="1" si="1314"/>
        <v>#NAME?</v>
      </c>
      <c r="BT164" s="23" t="e">
        <f ca="1">+'QTR Raw'!AN66</f>
        <v>#NAME?</v>
      </c>
      <c r="BU164" s="23" t="e">
        <f t="shared" ca="1" si="1314"/>
        <v>#NAME?</v>
      </c>
      <c r="BV164" s="23" t="e">
        <f ca="1">+'QTR Raw'!AP66</f>
        <v>#NAME?</v>
      </c>
      <c r="BW164" s="23" t="e">
        <f t="shared" ca="1" si="1314"/>
        <v>#NAME?</v>
      </c>
      <c r="BX164" s="23" t="e">
        <f ca="1">+'QTR Raw'!AR66</f>
        <v>#NAME?</v>
      </c>
      <c r="BY164" s="23" t="e">
        <f t="shared" ca="1" si="1314"/>
        <v>#NAME?</v>
      </c>
      <c r="BZ164" s="23" t="e">
        <f ca="1">+'QTR Raw'!AT66</f>
        <v>#NAME?</v>
      </c>
      <c r="CA164" s="23" t="e">
        <f t="shared" ca="1" si="1314"/>
        <v>#NAME?</v>
      </c>
      <c r="CB164" s="23" t="e">
        <f ca="1">+'QTR Raw'!AV66</f>
        <v>#NAME?</v>
      </c>
      <c r="CC164" s="23" t="e">
        <f t="shared" ca="1" si="1314"/>
        <v>#NAME?</v>
      </c>
      <c r="CD164" s="23" t="e">
        <f ca="1">+'QTR Raw'!AX66</f>
        <v>#NAME?</v>
      </c>
      <c r="CE164" s="23" t="e">
        <f t="shared" ca="1" si="1314"/>
        <v>#NAME?</v>
      </c>
      <c r="CF164" s="23" t="e">
        <f ca="1">+'QTR Raw'!AZ66</f>
        <v>#NAME?</v>
      </c>
      <c r="CG164" s="23" t="e">
        <f t="shared" ca="1" si="1315"/>
        <v>#NAME?</v>
      </c>
      <c r="CH164" s="23" t="e">
        <f t="shared" ca="1" si="1268"/>
        <v>#NAME?</v>
      </c>
      <c r="CJ164" s="23" t="e">
        <f ca="1">+'QTR Raw'!BD66</f>
        <v>#NAME?</v>
      </c>
      <c r="CL164" s="23" t="e">
        <f ca="1">+'QTR Raw'!BF66</f>
        <v>#NAME?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236.45</v>
      </c>
    </row>
    <row r="165" spans="1:110" s="23" customFormat="1" outlineLevel="1" x14ac:dyDescent="0.2">
      <c r="A165" s="23" t="s">
        <v>69</v>
      </c>
      <c r="B165" s="23">
        <v>0</v>
      </c>
      <c r="C165" s="23">
        <v>0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23">
        <v>0</v>
      </c>
      <c r="J165" s="23">
        <v>0</v>
      </c>
      <c r="K165" s="23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23">
        <v>0</v>
      </c>
      <c r="R165" s="23">
        <v>0</v>
      </c>
      <c r="S165" s="23">
        <v>0</v>
      </c>
      <c r="T165" s="23">
        <v>0</v>
      </c>
      <c r="U165" s="23">
        <v>0</v>
      </c>
      <c r="V165" s="23">
        <v>0</v>
      </c>
      <c r="W165" s="23">
        <v>0</v>
      </c>
      <c r="X165" s="23">
        <v>0</v>
      </c>
      <c r="Y165" s="23">
        <v>0</v>
      </c>
      <c r="Z165" s="23">
        <v>0</v>
      </c>
      <c r="AA165" s="23">
        <v>0</v>
      </c>
      <c r="AB165" s="24" t="e">
        <f t="shared" ca="1" si="1310"/>
        <v>#NAME?</v>
      </c>
      <c r="AC165" s="24" t="e">
        <f t="shared" ca="1" si="1311"/>
        <v>#NAME?</v>
      </c>
      <c r="AD165" s="24" t="e">
        <f t="shared" ca="1" si="1312"/>
        <v>#NAME?</v>
      </c>
      <c r="AE165" s="24" t="e">
        <f t="shared" ca="1" si="1313"/>
        <v>#NAME?</v>
      </c>
      <c r="AJ165" s="23" t="e">
        <f ca="1">+'QTR Raw'!D87</f>
        <v>#NAME?</v>
      </c>
      <c r="AK165" s="23" t="e">
        <f t="shared" ca="1" si="1314"/>
        <v>#NAME?</v>
      </c>
      <c r="AL165" s="23" t="e">
        <f ca="1">+'QTR Raw'!F87</f>
        <v>#NAME?</v>
      </c>
      <c r="AM165" s="23" t="e">
        <f t="shared" ca="1" si="1314"/>
        <v>#NAME?</v>
      </c>
      <c r="AN165" s="23" t="e">
        <f ca="1">+'QTR Raw'!H87</f>
        <v>#NAME?</v>
      </c>
      <c r="AO165" s="23" t="e">
        <f t="shared" ca="1" si="1314"/>
        <v>#NAME?</v>
      </c>
      <c r="AP165" s="23" t="e">
        <f ca="1">+'QTR Raw'!J87</f>
        <v>#NAME?</v>
      </c>
      <c r="AQ165" s="23" t="e">
        <f t="shared" ca="1" si="1314"/>
        <v>#NAME?</v>
      </c>
      <c r="AR165" s="23" t="e">
        <f ca="1">+'QTR Raw'!L87</f>
        <v>#NAME?</v>
      </c>
      <c r="AS165" s="23" t="e">
        <f t="shared" ca="1" si="1314"/>
        <v>#NAME?</v>
      </c>
      <c r="AT165" s="23" t="e">
        <f ca="1">+'QTR Raw'!N87</f>
        <v>#NAME?</v>
      </c>
      <c r="AU165" s="23" t="e">
        <f t="shared" ca="1" si="1314"/>
        <v>#NAME?</v>
      </c>
      <c r="AV165" s="23" t="e">
        <f ca="1">+'QTR Raw'!P87</f>
        <v>#NAME?</v>
      </c>
      <c r="AW165" s="23" t="e">
        <f t="shared" ca="1" si="1314"/>
        <v>#NAME?</v>
      </c>
      <c r="AX165" s="23" t="e">
        <f ca="1">+'QTR Raw'!R87</f>
        <v>#NAME?</v>
      </c>
      <c r="AY165" s="23" t="e">
        <f t="shared" ca="1" si="1314"/>
        <v>#NAME?</v>
      </c>
      <c r="AZ165" s="23" t="e">
        <f ca="1">+'QTR Raw'!T87</f>
        <v>#NAME?</v>
      </c>
      <c r="BA165" s="23" t="e">
        <f t="shared" ca="1" si="1314"/>
        <v>#NAME?</v>
      </c>
      <c r="BB165" s="23" t="e">
        <f ca="1">+'QTR Raw'!V87</f>
        <v>#NAME?</v>
      </c>
      <c r="BC165" s="23" t="e">
        <f t="shared" ca="1" si="1314"/>
        <v>#NAME?</v>
      </c>
      <c r="BD165" s="23" t="e">
        <f ca="1">+'QTR Raw'!X87</f>
        <v>#NAME?</v>
      </c>
      <c r="BE165" s="23" t="e">
        <f t="shared" ca="1" si="1314"/>
        <v>#NAME?</v>
      </c>
      <c r="BF165" s="23" t="e">
        <f ca="1">+'QTR Raw'!Z87</f>
        <v>#NAME?</v>
      </c>
      <c r="BG165" s="23" t="e">
        <f t="shared" ca="1" si="1314"/>
        <v>#NAME?</v>
      </c>
      <c r="BH165" s="23" t="e">
        <f ca="1">+'QTR Raw'!AB87</f>
        <v>#NAME?</v>
      </c>
      <c r="BI165" s="23" t="e">
        <f t="shared" ca="1" si="1314"/>
        <v>#NAME?</v>
      </c>
      <c r="BJ165" s="23" t="e">
        <f ca="1">+'QTR Raw'!AD87</f>
        <v>#NAME?</v>
      </c>
      <c r="BK165" s="23" t="e">
        <f t="shared" ca="1" si="1314"/>
        <v>#NAME?</v>
      </c>
      <c r="BL165" s="23" t="e">
        <f ca="1">+'QTR Raw'!AF87</f>
        <v>#NAME?</v>
      </c>
      <c r="BM165" s="23" t="e">
        <f t="shared" ca="1" si="1314"/>
        <v>#NAME?</v>
      </c>
      <c r="BN165" s="23" t="e">
        <f ca="1">+'QTR Raw'!AH87</f>
        <v>#NAME?</v>
      </c>
      <c r="BO165" s="23" t="e">
        <f t="shared" ca="1" si="1314"/>
        <v>#NAME?</v>
      </c>
      <c r="BP165" s="23" t="e">
        <f ca="1">+'QTR Raw'!AJ87</f>
        <v>#NAME?</v>
      </c>
      <c r="BQ165" s="23" t="e">
        <f t="shared" ca="1" si="1314"/>
        <v>#NAME?</v>
      </c>
      <c r="BR165" s="23" t="e">
        <f ca="1">+'QTR Raw'!AL87</f>
        <v>#NAME?</v>
      </c>
      <c r="BS165" s="23" t="e">
        <f t="shared" ca="1" si="1314"/>
        <v>#NAME?</v>
      </c>
      <c r="BT165" s="23" t="e">
        <f ca="1">+'QTR Raw'!AN87</f>
        <v>#NAME?</v>
      </c>
      <c r="BU165" s="23" t="e">
        <f t="shared" ca="1" si="1314"/>
        <v>#NAME?</v>
      </c>
      <c r="BV165" s="23" t="e">
        <f ca="1">+'QTR Raw'!AP87</f>
        <v>#NAME?</v>
      </c>
      <c r="BW165" s="23" t="e">
        <f t="shared" ca="1" si="1314"/>
        <v>#NAME?</v>
      </c>
      <c r="BX165" s="23" t="e">
        <f ca="1">+'QTR Raw'!AR87</f>
        <v>#NAME?</v>
      </c>
      <c r="BY165" s="23" t="e">
        <f t="shared" ca="1" si="1314"/>
        <v>#NAME?</v>
      </c>
      <c r="BZ165" s="23" t="e">
        <f ca="1">+'QTR Raw'!AT87</f>
        <v>#NAME?</v>
      </c>
      <c r="CA165" s="23" t="e">
        <f t="shared" ca="1" si="1314"/>
        <v>#NAME?</v>
      </c>
      <c r="CB165" s="23" t="e">
        <f ca="1">+'QTR Raw'!AV87</f>
        <v>#NAME?</v>
      </c>
      <c r="CC165" s="23" t="e">
        <f t="shared" ca="1" si="1314"/>
        <v>#NAME?</v>
      </c>
      <c r="CD165" s="23" t="e">
        <f ca="1">+'QTR Raw'!AX87</f>
        <v>#NAME?</v>
      </c>
      <c r="CE165" s="23" t="e">
        <f t="shared" ca="1" si="1314"/>
        <v>#NAME?</v>
      </c>
      <c r="CF165" s="23" t="e">
        <f ca="1">+'QTR Raw'!AZ87</f>
        <v>#NAME?</v>
      </c>
      <c r="CG165" s="23" t="e">
        <f t="shared" ca="1" si="1315"/>
        <v>#NAME?</v>
      </c>
      <c r="CH165" s="23">
        <f t="shared" si="1268"/>
        <v>0</v>
      </c>
      <c r="CI165" s="23" t="e">
        <f ca="1">CI18/90*CI197</f>
        <v>#NAME?</v>
      </c>
      <c r="CJ165" s="23" t="e">
        <f ca="1">+'QTR Raw'!BD87</f>
        <v>#NAME?</v>
      </c>
      <c r="CK165" s="23" t="e">
        <f t="shared" ref="CK165:DB165" ca="1" si="1316">CK18/90*CK197</f>
        <v>#NAME?</v>
      </c>
      <c r="CL165" s="23" t="e">
        <f ca="1">+'QTR Raw'!BF87</f>
        <v>#NAME?</v>
      </c>
      <c r="CM165" s="24" t="e">
        <f t="shared" ca="1" si="1316"/>
        <v>#NAME?</v>
      </c>
      <c r="CN165" s="24" t="e">
        <f t="shared" ca="1" si="1316"/>
        <v>#NAME?</v>
      </c>
      <c r="CO165" s="24" t="e">
        <f t="shared" ca="1" si="1316"/>
        <v>#NAME?</v>
      </c>
      <c r="CP165" s="24" t="e">
        <f t="shared" ca="1" si="1316"/>
        <v>#NAME?</v>
      </c>
      <c r="CQ165" s="24" t="e">
        <f t="shared" ca="1" si="1316"/>
        <v>#NAME?</v>
      </c>
      <c r="CR165" s="24" t="e">
        <f t="shared" ca="1" si="1316"/>
        <v>#NAME?</v>
      </c>
      <c r="CS165" s="24" t="e">
        <f t="shared" ca="1" si="1316"/>
        <v>#NAME?</v>
      </c>
      <c r="CT165" s="24" t="e">
        <f t="shared" ca="1" si="1316"/>
        <v>#NAME?</v>
      </c>
      <c r="CU165" s="24" t="e">
        <f t="shared" ca="1" si="1316"/>
        <v>#NAME?</v>
      </c>
      <c r="CV165" s="24" t="e">
        <f t="shared" ca="1" si="1316"/>
        <v>#NAME?</v>
      </c>
      <c r="CW165" s="24" t="e">
        <f t="shared" ca="1" si="1316"/>
        <v>#NAME?</v>
      </c>
      <c r="CX165" s="24" t="e">
        <f t="shared" ca="1" si="1316"/>
        <v>#NAME?</v>
      </c>
      <c r="CY165" s="24" t="e">
        <f t="shared" ca="1" si="1316"/>
        <v>#NAME?</v>
      </c>
      <c r="CZ165" s="24" t="e">
        <f t="shared" ca="1" si="1316"/>
        <v>#NAME?</v>
      </c>
      <c r="DA165" s="24" t="e">
        <f t="shared" ca="1" si="1316"/>
        <v>#NAME?</v>
      </c>
      <c r="DB165" s="24" t="e">
        <f t="shared" ca="1" si="1316"/>
        <v>#NAME?</v>
      </c>
      <c r="DE165" s="123"/>
      <c r="DF165" s="23">
        <v>0</v>
      </c>
    </row>
    <row r="166" spans="1:110" s="23" customFormat="1" outlineLevel="1" x14ac:dyDescent="0.2">
      <c r="A166" s="23" t="s">
        <v>70</v>
      </c>
      <c r="B166" s="23" t="e">
        <f ca="1">'Annual Raw'!C54</f>
        <v>#NAME?</v>
      </c>
      <c r="C166" s="23" t="e">
        <f ca="1">'Annual Raw'!D54</f>
        <v>#NAME?</v>
      </c>
      <c r="D166" s="23" t="e">
        <f ca="1">'Annual Raw'!E54</f>
        <v>#NAME?</v>
      </c>
      <c r="E166" s="23" t="e">
        <f ca="1">'Annual Raw'!F54</f>
        <v>#NAME?</v>
      </c>
      <c r="F166" s="23" t="e">
        <f ca="1">'Annual Raw'!G54</f>
        <v>#NAME?</v>
      </c>
      <c r="G166" s="23" t="e">
        <f ca="1">'Annual Raw'!H54</f>
        <v>#NAME?</v>
      </c>
      <c r="H166" s="23" t="e">
        <f ca="1">'Annual Raw'!I54</f>
        <v>#NAME?</v>
      </c>
      <c r="I166" s="23" t="e">
        <f ca="1">'Annual Raw'!J54</f>
        <v>#NAME?</v>
      </c>
      <c r="J166" s="23" t="e">
        <f ca="1">'Annual Raw'!K54</f>
        <v>#NAME?</v>
      </c>
      <c r="K166" s="23" t="e">
        <f ca="1">'Annual Raw'!L54</f>
        <v>#NAME?</v>
      </c>
      <c r="L166" s="23" t="e">
        <f ca="1">'Annual Raw'!M54</f>
        <v>#NAME?</v>
      </c>
      <c r="M166" s="23" t="e">
        <f ca="1">'Annual Raw'!N54</f>
        <v>#NAME?</v>
      </c>
      <c r="N166" s="23" t="e">
        <f ca="1">'Annual Raw'!O54</f>
        <v>#NAME?</v>
      </c>
      <c r="O166" s="23" t="e">
        <f ca="1">'Annual Raw'!P54</f>
        <v>#NAME?</v>
      </c>
      <c r="P166" s="23" t="e">
        <f ca="1">'Annual Raw'!Q54</f>
        <v>#NAME?</v>
      </c>
      <c r="Q166" s="23" t="e">
        <f ca="1">'Annual Raw'!R54</f>
        <v>#NAME?</v>
      </c>
      <c r="R166" s="23" t="e">
        <f ca="1">'Annual Raw'!S54</f>
        <v>#NAME?</v>
      </c>
      <c r="S166" s="23" t="e">
        <f ca="1">'Annual Raw'!T54</f>
        <v>#NAME?</v>
      </c>
      <c r="T166" s="23" t="e">
        <f ca="1">'Annual Raw'!U54</f>
        <v>#NAME?</v>
      </c>
      <c r="U166" s="23" t="e">
        <f ca="1">'Annual Raw'!V54</f>
        <v>#NAME?</v>
      </c>
      <c r="V166" s="23" t="e">
        <f ca="1">'Annual Raw'!W54</f>
        <v>#NAME?</v>
      </c>
      <c r="W166" s="23" t="e">
        <f ca="1">'Annual Raw'!X54</f>
        <v>#NAME?</v>
      </c>
      <c r="X166" s="23" t="e">
        <f ca="1">'Annual Raw'!Y54</f>
        <v>#NAME?</v>
      </c>
      <c r="Y166" s="23" t="e">
        <f ca="1">'Annual Raw'!Z54</f>
        <v>#NAME?</v>
      </c>
      <c r="Z166" s="23" t="e">
        <f ca="1">'Annual Raw'!AA54</f>
        <v>#NAME?</v>
      </c>
      <c r="AA166" s="23" t="e">
        <f ca="1">'Annual Raw'!AB54</f>
        <v>#NAME?</v>
      </c>
      <c r="AB166" s="24" t="e">
        <f t="shared" ca="1" si="1310"/>
        <v>#NAME?</v>
      </c>
      <c r="AC166" s="24" t="e">
        <f t="shared" ca="1" si="1311"/>
        <v>#NAME?</v>
      </c>
      <c r="AD166" s="24" t="e">
        <f t="shared" ca="1" si="1312"/>
        <v>#NAME?</v>
      </c>
      <c r="AE166" s="24" t="e">
        <f t="shared" ca="1" si="1313"/>
        <v>#NAME?</v>
      </c>
      <c r="AJ166" s="23" t="e">
        <f ca="1">+'QTR Raw'!D89</f>
        <v>#NAME?</v>
      </c>
      <c r="AK166" s="23" t="e">
        <f ca="1">+AK196*AK18/90</f>
        <v>#NAME?</v>
      </c>
      <c r="AL166" s="23" t="e">
        <f ca="1">+'QTR Raw'!F89</f>
        <v>#NAME?</v>
      </c>
      <c r="AM166" s="23" t="e">
        <f ca="1">+AM196*AM18/90</f>
        <v>#NAME?</v>
      </c>
      <c r="AN166" s="23" t="e">
        <f ca="1">+'QTR Raw'!H89</f>
        <v>#NAME?</v>
      </c>
      <c r="AO166" s="23" t="e">
        <f ca="1">+AO196*AO18/90</f>
        <v>#NAME?</v>
      </c>
      <c r="AP166" s="23" t="e">
        <f ca="1">+'QTR Raw'!J89</f>
        <v>#NAME?</v>
      </c>
      <c r="AQ166" s="23" t="e">
        <f ca="1">+AQ196*AQ18/90</f>
        <v>#NAME?</v>
      </c>
      <c r="AR166" s="23" t="e">
        <f ca="1">+'QTR Raw'!L89</f>
        <v>#NAME?</v>
      </c>
      <c r="AS166" s="23" t="e">
        <f ca="1">+AS196*AS18/90</f>
        <v>#NAME?</v>
      </c>
      <c r="AT166" s="23" t="e">
        <f ca="1">+'QTR Raw'!N89</f>
        <v>#NAME?</v>
      </c>
      <c r="AU166" s="23" t="e">
        <f ca="1">+AU196*AU18/90</f>
        <v>#NAME?</v>
      </c>
      <c r="AV166" s="23" t="e">
        <f ca="1">+'QTR Raw'!P89</f>
        <v>#NAME?</v>
      </c>
      <c r="AW166" s="23" t="e">
        <f ca="1">+AW196*AW18/90</f>
        <v>#NAME?</v>
      </c>
      <c r="AX166" s="23" t="e">
        <f ca="1">+'QTR Raw'!R89</f>
        <v>#NAME?</v>
      </c>
      <c r="AY166" s="23" t="e">
        <f ca="1">+AY196*AY18/90</f>
        <v>#NAME?</v>
      </c>
      <c r="AZ166" s="23" t="e">
        <f ca="1">+'QTR Raw'!T89</f>
        <v>#NAME?</v>
      </c>
      <c r="BA166" s="23" t="e">
        <f ca="1">+BA196*BA18/90</f>
        <v>#NAME?</v>
      </c>
      <c r="BB166" s="23" t="e">
        <f ca="1">+'QTR Raw'!V89</f>
        <v>#NAME?</v>
      </c>
      <c r="BC166" s="23" t="e">
        <f ca="1">+BC196*BC18/90</f>
        <v>#NAME?</v>
      </c>
      <c r="BD166" s="23" t="e">
        <f ca="1">+'QTR Raw'!X89</f>
        <v>#NAME?</v>
      </c>
      <c r="BE166" s="23" t="e">
        <f ca="1">+BE196*BE18/90</f>
        <v>#NAME?</v>
      </c>
      <c r="BF166" s="23" t="e">
        <f ca="1">+'QTR Raw'!Z89</f>
        <v>#NAME?</v>
      </c>
      <c r="BG166" s="23" t="e">
        <f ca="1">+BG196*BG18/90</f>
        <v>#NAME?</v>
      </c>
      <c r="BH166" s="23" t="e">
        <f ca="1">+'QTR Raw'!AB89</f>
        <v>#NAME?</v>
      </c>
      <c r="BI166" s="23" t="e">
        <f ca="1">+BI196*BI18/90</f>
        <v>#NAME?</v>
      </c>
      <c r="BJ166" s="23" t="e">
        <f ca="1">+'QTR Raw'!AD89</f>
        <v>#NAME?</v>
      </c>
      <c r="BK166" s="23" t="e">
        <f ca="1">+BK196*BK18/90</f>
        <v>#NAME?</v>
      </c>
      <c r="BL166" s="23" t="e">
        <f ca="1">+'QTR Raw'!AF89</f>
        <v>#NAME?</v>
      </c>
      <c r="BM166" s="23" t="e">
        <f ca="1">+BM196*BM18/90</f>
        <v>#NAME?</v>
      </c>
      <c r="BN166" s="23" t="e">
        <f ca="1">+'QTR Raw'!AH89</f>
        <v>#NAME?</v>
      </c>
      <c r="BO166" s="23" t="e">
        <f ca="1">+BO196*BO18/90</f>
        <v>#NAME?</v>
      </c>
      <c r="BP166" s="23" t="e">
        <f ca="1">+'QTR Raw'!AJ89</f>
        <v>#NAME?</v>
      </c>
      <c r="BQ166" s="23" t="e">
        <f ca="1">+BQ196*BQ18/90</f>
        <v>#NAME?</v>
      </c>
      <c r="BR166" s="23" t="e">
        <f ca="1">+'QTR Raw'!AL89</f>
        <v>#NAME?</v>
      </c>
      <c r="BS166" s="23" t="e">
        <f ca="1">+BS196*BS18/90</f>
        <v>#NAME?</v>
      </c>
      <c r="BT166" s="23" t="e">
        <f ca="1">+'QTR Raw'!AN89</f>
        <v>#NAME?</v>
      </c>
      <c r="BU166" s="23" t="e">
        <f ca="1">+BU196*BU18/90</f>
        <v>#NAME?</v>
      </c>
      <c r="BV166" s="23" t="e">
        <f ca="1">+'QTR Raw'!AP89</f>
        <v>#NAME?</v>
      </c>
      <c r="BW166" s="23" t="e">
        <f ca="1">+BW196*BW18/90</f>
        <v>#NAME?</v>
      </c>
      <c r="BX166" s="23" t="e">
        <f ca="1">+'QTR Raw'!AR89</f>
        <v>#NAME?</v>
      </c>
      <c r="BY166" s="23" t="e">
        <f ca="1">+BY196*BY18/90</f>
        <v>#NAME?</v>
      </c>
      <c r="BZ166" s="23" t="e">
        <f ca="1">+'QTR Raw'!AT89</f>
        <v>#NAME?</v>
      </c>
      <c r="CA166" s="23" t="e">
        <f ca="1">+CA196*CA18/90</f>
        <v>#NAME?</v>
      </c>
      <c r="CB166" s="23" t="e">
        <f ca="1">+'QTR Raw'!AV89</f>
        <v>#NAME?</v>
      </c>
      <c r="CC166" s="23" t="e">
        <f ca="1">+CC196*CC18/90</f>
        <v>#NAME?</v>
      </c>
      <c r="CD166" s="23" t="e">
        <f ca="1">+'QTR Raw'!AX89</f>
        <v>#NAME?</v>
      </c>
      <c r="CE166" s="23" t="e">
        <f ca="1">+CE196*CE18/90</f>
        <v>#NAME?</v>
      </c>
      <c r="CF166" s="23" t="e">
        <f ca="1">+'QTR Raw'!AZ89</f>
        <v>#NAME?</v>
      </c>
      <c r="CG166" s="23" t="e">
        <f ca="1">+CG196*CG18/90</f>
        <v>#NAME?</v>
      </c>
      <c r="CH166" s="23" t="e">
        <f t="shared" ca="1" si="1268"/>
        <v>#NAME?</v>
      </c>
      <c r="CI166" s="23" t="e">
        <f ca="1">+CI196*CI18/90</f>
        <v>#NAME?</v>
      </c>
      <c r="CJ166" s="23" t="e">
        <f ca="1">+'QTR Raw'!BD89</f>
        <v>#NAME?</v>
      </c>
      <c r="CK166" s="23" t="e">
        <f t="shared" ref="CK166:DB166" ca="1" si="1317">+CK196*CK18/90</f>
        <v>#NAME?</v>
      </c>
      <c r="CL166" s="23" t="e">
        <f ca="1">+'QTR Raw'!BF89</f>
        <v>#NAME?</v>
      </c>
      <c r="CM166" s="24" t="e">
        <f t="shared" ca="1" si="1317"/>
        <v>#NAME?</v>
      </c>
      <c r="CN166" s="24" t="e">
        <f t="shared" ca="1" si="1317"/>
        <v>#NAME?</v>
      </c>
      <c r="CO166" s="24" t="e">
        <f t="shared" ca="1" si="1317"/>
        <v>#NAME?</v>
      </c>
      <c r="CP166" s="24" t="e">
        <f t="shared" ca="1" si="1317"/>
        <v>#NAME?</v>
      </c>
      <c r="CQ166" s="24" t="e">
        <f t="shared" ca="1" si="1317"/>
        <v>#NAME?</v>
      </c>
      <c r="CR166" s="24" t="e">
        <f t="shared" ca="1" si="1317"/>
        <v>#NAME?</v>
      </c>
      <c r="CS166" s="24" t="e">
        <f t="shared" ca="1" si="1317"/>
        <v>#NAME?</v>
      </c>
      <c r="CT166" s="24" t="e">
        <f t="shared" ca="1" si="1317"/>
        <v>#NAME?</v>
      </c>
      <c r="CU166" s="24" t="e">
        <f t="shared" ca="1" si="1317"/>
        <v>#NAME?</v>
      </c>
      <c r="CV166" s="24" t="e">
        <f t="shared" ca="1" si="1317"/>
        <v>#NAME?</v>
      </c>
      <c r="CW166" s="24" t="e">
        <f t="shared" ca="1" si="1317"/>
        <v>#NAME?</v>
      </c>
      <c r="CX166" s="24" t="e">
        <f t="shared" ca="1" si="1317"/>
        <v>#NAME?</v>
      </c>
      <c r="CY166" s="24" t="e">
        <f t="shared" ca="1" si="1317"/>
        <v>#NAME?</v>
      </c>
      <c r="CZ166" s="24" t="e">
        <f t="shared" ca="1" si="1317"/>
        <v>#NAME?</v>
      </c>
      <c r="DA166" s="24" t="e">
        <f t="shared" ca="1" si="1317"/>
        <v>#NAME?</v>
      </c>
      <c r="DB166" s="24" t="e">
        <f t="shared" ca="1" si="1317"/>
        <v>#NAME?</v>
      </c>
      <c r="DE166" s="123"/>
      <c r="DF166" s="23">
        <v>4185.03</v>
      </c>
    </row>
    <row r="167" spans="1:110" s="23" customFormat="1" outlineLevel="1" x14ac:dyDescent="0.2">
      <c r="A167" s="23" t="s">
        <v>71</v>
      </c>
      <c r="B167" s="23" t="e">
        <f ca="1">'Annual Raw'!C55-Template!B139</f>
        <v>#NAME?</v>
      </c>
      <c r="C167" s="23" t="e">
        <f ca="1">'Annual Raw'!D55-Template!C139</f>
        <v>#NAME?</v>
      </c>
      <c r="D167" s="23" t="e">
        <f ca="1">'Annual Raw'!E55-Template!D139</f>
        <v>#NAME?</v>
      </c>
      <c r="E167" s="23" t="e">
        <f ca="1">'Annual Raw'!F55-Template!E139</f>
        <v>#NAME?</v>
      </c>
      <c r="F167" s="23" t="e">
        <f ca="1">'Annual Raw'!G55-Template!F139</f>
        <v>#NAME?</v>
      </c>
      <c r="G167" s="23" t="e">
        <f ca="1">'Annual Raw'!H55-Template!G139</f>
        <v>#NAME?</v>
      </c>
      <c r="H167" s="23" t="e">
        <f ca="1">'Annual Raw'!I55-Template!H139</f>
        <v>#NAME?</v>
      </c>
      <c r="I167" s="23" t="e">
        <f ca="1">'Annual Raw'!J55-Template!I139</f>
        <v>#NAME?</v>
      </c>
      <c r="J167" s="23" t="e">
        <f ca="1">'Annual Raw'!K55-Template!J139</f>
        <v>#NAME?</v>
      </c>
      <c r="K167" s="23" t="e">
        <f ca="1">'Annual Raw'!L55-Template!K139</f>
        <v>#NAME?</v>
      </c>
      <c r="L167" s="23" t="e">
        <f ca="1">'Annual Raw'!M55-Template!L139</f>
        <v>#NAME?</v>
      </c>
      <c r="M167" s="23" t="e">
        <f ca="1">'Annual Raw'!N55-Template!M139</f>
        <v>#NAME?</v>
      </c>
      <c r="N167" s="23" t="e">
        <f ca="1">'Annual Raw'!O55-Template!N139</f>
        <v>#NAME?</v>
      </c>
      <c r="O167" s="23" t="e">
        <f ca="1">'Annual Raw'!P55-Template!O139</f>
        <v>#NAME?</v>
      </c>
      <c r="P167" s="23" t="e">
        <f ca="1">'Annual Raw'!Q55-Template!P139</f>
        <v>#NAME?</v>
      </c>
      <c r="Q167" s="23" t="e">
        <f ca="1">'Annual Raw'!R55-Template!Q139</f>
        <v>#NAME?</v>
      </c>
      <c r="R167" s="23" t="e">
        <f ca="1">'Annual Raw'!S55-Template!R139</f>
        <v>#NAME?</v>
      </c>
      <c r="S167" s="23" t="e">
        <f ca="1">'Annual Raw'!T55-Template!S139</f>
        <v>#NAME?</v>
      </c>
      <c r="T167" s="23" t="e">
        <f ca="1">'Annual Raw'!U55-Template!T139</f>
        <v>#NAME?</v>
      </c>
      <c r="U167" s="23" t="e">
        <f ca="1">'Annual Raw'!V55-Template!U139</f>
        <v>#NAME?</v>
      </c>
      <c r="V167" s="23" t="e">
        <f ca="1">'Annual Raw'!W55-Template!V139</f>
        <v>#NAME?</v>
      </c>
      <c r="W167" s="23" t="e">
        <f ca="1">'Annual Raw'!X55-Template!W139</f>
        <v>#NAME?</v>
      </c>
      <c r="X167" s="23" t="e">
        <f ca="1">'Annual Raw'!Y55-Template!X139</f>
        <v>#NAME?</v>
      </c>
      <c r="Y167" s="23" t="e">
        <f ca="1">'Annual Raw'!Z55-Template!Y139</f>
        <v>#NAME?</v>
      </c>
      <c r="Z167" s="23" t="e">
        <f ca="1">'Annual Raw'!AA55-Template!Z139</f>
        <v>#NAME?</v>
      </c>
      <c r="AA167" s="23" t="e">
        <f ca="1">'Annual Raw'!AB55-Template!AA139</f>
        <v>#NAME?</v>
      </c>
      <c r="AB167" s="24">
        <f t="shared" si="1310"/>
        <v>0</v>
      </c>
      <c r="AC167" s="24">
        <f t="shared" si="1311"/>
        <v>0</v>
      </c>
      <c r="AD167" s="24">
        <f t="shared" si="1312"/>
        <v>0</v>
      </c>
      <c r="AE167" s="24">
        <f t="shared" si="1313"/>
        <v>0</v>
      </c>
      <c r="AJ167" s="23" t="e">
        <f ca="1">+'QTR Raw'!D91</f>
        <v>#NAME?</v>
      </c>
      <c r="AK167" s="23" t="e">
        <f t="shared" ca="1" si="1314"/>
        <v>#NAME?</v>
      </c>
      <c r="AL167" s="23" t="e">
        <f ca="1">+'QTR Raw'!F91</f>
        <v>#NAME?</v>
      </c>
      <c r="AM167" s="23" t="e">
        <f t="shared" ca="1" si="1314"/>
        <v>#NAME?</v>
      </c>
      <c r="AN167" s="23" t="e">
        <f ca="1">+'QTR Raw'!H91</f>
        <v>#NAME?</v>
      </c>
      <c r="AO167" s="23" t="e">
        <f t="shared" ca="1" si="1314"/>
        <v>#NAME?</v>
      </c>
      <c r="AP167" s="23" t="e">
        <f ca="1">+'QTR Raw'!J91</f>
        <v>#NAME?</v>
      </c>
      <c r="AQ167" s="23" t="e">
        <f t="shared" ca="1" si="1314"/>
        <v>#NAME?</v>
      </c>
      <c r="AR167" s="23" t="e">
        <f ca="1">+'QTR Raw'!L91</f>
        <v>#NAME?</v>
      </c>
      <c r="AS167" s="23" t="e">
        <f t="shared" ca="1" si="1314"/>
        <v>#NAME?</v>
      </c>
      <c r="AT167" s="23" t="e">
        <f ca="1">+'QTR Raw'!N91</f>
        <v>#NAME?</v>
      </c>
      <c r="AU167" s="23" t="e">
        <f t="shared" ca="1" si="1314"/>
        <v>#NAME?</v>
      </c>
      <c r="AV167" s="23" t="e">
        <f ca="1">+'QTR Raw'!P91</f>
        <v>#NAME?</v>
      </c>
      <c r="AW167" s="23" t="e">
        <f t="shared" ca="1" si="1314"/>
        <v>#NAME?</v>
      </c>
      <c r="AX167" s="23" t="e">
        <f ca="1">+'QTR Raw'!R91</f>
        <v>#NAME?</v>
      </c>
      <c r="AY167" s="23" t="e">
        <f t="shared" ca="1" si="1314"/>
        <v>#NAME?</v>
      </c>
      <c r="AZ167" s="23" t="e">
        <f ca="1">+'QTR Raw'!T91</f>
        <v>#NAME?</v>
      </c>
      <c r="BA167" s="23" t="e">
        <f t="shared" ca="1" si="1314"/>
        <v>#NAME?</v>
      </c>
      <c r="BB167" s="23" t="e">
        <f ca="1">+'QTR Raw'!V91</f>
        <v>#NAME?</v>
      </c>
      <c r="BC167" s="23" t="e">
        <f t="shared" ca="1" si="1314"/>
        <v>#NAME?</v>
      </c>
      <c r="BD167" s="23" t="e">
        <f ca="1">+'QTR Raw'!X91</f>
        <v>#NAME?</v>
      </c>
      <c r="BE167" s="23" t="e">
        <f t="shared" ca="1" si="1314"/>
        <v>#NAME?</v>
      </c>
      <c r="BF167" s="23" t="e">
        <f ca="1">+'QTR Raw'!Z91</f>
        <v>#NAME?</v>
      </c>
      <c r="BG167" s="23" t="e">
        <f t="shared" ca="1" si="1314"/>
        <v>#NAME?</v>
      </c>
      <c r="BH167" s="23" t="e">
        <f ca="1">+'QTR Raw'!AB91</f>
        <v>#NAME?</v>
      </c>
      <c r="BI167" s="23" t="e">
        <f t="shared" ca="1" si="1314"/>
        <v>#NAME?</v>
      </c>
      <c r="BJ167" s="23" t="e">
        <f ca="1">+'QTR Raw'!AD91</f>
        <v>#NAME?</v>
      </c>
      <c r="BK167" s="23" t="e">
        <f t="shared" ca="1" si="1314"/>
        <v>#NAME?</v>
      </c>
      <c r="BL167" s="23" t="e">
        <f ca="1">+'QTR Raw'!AF91</f>
        <v>#NAME?</v>
      </c>
      <c r="BM167" s="23" t="e">
        <f t="shared" ca="1" si="1314"/>
        <v>#NAME?</v>
      </c>
      <c r="BN167" s="23" t="e">
        <f ca="1">+'QTR Raw'!AH91</f>
        <v>#NAME?</v>
      </c>
      <c r="BO167" s="23" t="e">
        <f t="shared" ca="1" si="1314"/>
        <v>#NAME?</v>
      </c>
      <c r="BP167" s="23" t="e">
        <f ca="1">+'QTR Raw'!AJ91</f>
        <v>#NAME?</v>
      </c>
      <c r="BQ167" s="23" t="e">
        <f t="shared" ca="1" si="1314"/>
        <v>#NAME?</v>
      </c>
      <c r="BR167" s="23" t="e">
        <f ca="1">+'QTR Raw'!AL91</f>
        <v>#NAME?</v>
      </c>
      <c r="BS167" s="23" t="e">
        <f t="shared" ca="1" si="1314"/>
        <v>#NAME?</v>
      </c>
      <c r="BT167" s="23" t="e">
        <f ca="1">+'QTR Raw'!AN91</f>
        <v>#NAME?</v>
      </c>
      <c r="BU167" s="23" t="e">
        <f t="shared" ca="1" si="1314"/>
        <v>#NAME?</v>
      </c>
      <c r="BV167" s="23" t="e">
        <f ca="1">+'QTR Raw'!AP91</f>
        <v>#NAME?</v>
      </c>
      <c r="BW167" s="23" t="e">
        <f t="shared" ca="1" si="1314"/>
        <v>#NAME?</v>
      </c>
      <c r="BX167" s="23" t="e">
        <f ca="1">+'QTR Raw'!AR91</f>
        <v>#NAME?</v>
      </c>
      <c r="BY167" s="23" t="e">
        <f t="shared" ca="1" si="1314"/>
        <v>#NAME?</v>
      </c>
      <c r="BZ167" s="23" t="e">
        <f ca="1">+'QTR Raw'!AT91</f>
        <v>#NAME?</v>
      </c>
      <c r="CA167" s="23" t="e">
        <f t="shared" ca="1" si="1314"/>
        <v>#NAME?</v>
      </c>
      <c r="CB167" s="23" t="e">
        <f ca="1">+'QTR Raw'!AV91</f>
        <v>#NAME?</v>
      </c>
      <c r="CC167" s="23" t="e">
        <f t="shared" ca="1" si="1314"/>
        <v>#NAME?</v>
      </c>
      <c r="CD167" s="23" t="e">
        <f ca="1">+'QTR Raw'!AX91</f>
        <v>#NAME?</v>
      </c>
      <c r="CE167" s="23" t="e">
        <f t="shared" ca="1" si="1314"/>
        <v>#NAME?</v>
      </c>
      <c r="CF167" s="23" t="e">
        <f ca="1">+'QTR Raw'!AZ91</f>
        <v>#NAME?</v>
      </c>
      <c r="CG167" s="23" t="e">
        <f t="shared" ref="CG167:CG168" ca="1" si="1318">+CF167</f>
        <v>#NAME?</v>
      </c>
      <c r="CH167" s="23" t="e">
        <f t="shared" ca="1" si="1268"/>
        <v>#NAME?</v>
      </c>
      <c r="CJ167" s="23" t="e">
        <f ca="1">+'QTR Raw'!BD91</f>
        <v>#NAME?</v>
      </c>
      <c r="CL167" s="23" t="e">
        <f ca="1">+'QTR Raw'!BF91</f>
        <v>#NAME?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8644.18</v>
      </c>
    </row>
    <row r="168" spans="1:110" s="23" customFormat="1" outlineLevel="1" x14ac:dyDescent="0.2">
      <c r="A168" s="23" t="s">
        <v>72</v>
      </c>
      <c r="B168" s="23" t="e">
        <f ca="1">'Annual Raw'!C57</f>
        <v>#NAME?</v>
      </c>
      <c r="C168" s="23" t="e">
        <f ca="1">'Annual Raw'!D57</f>
        <v>#NAME?</v>
      </c>
      <c r="D168" s="23" t="e">
        <f ca="1">'Annual Raw'!E57</f>
        <v>#NAME?</v>
      </c>
      <c r="E168" s="23" t="e">
        <f ca="1">'Annual Raw'!F57</f>
        <v>#NAME?</v>
      </c>
      <c r="F168" s="23" t="e">
        <f ca="1">'Annual Raw'!G57</f>
        <v>#NAME?</v>
      </c>
      <c r="G168" s="23" t="e">
        <f ca="1">'Annual Raw'!H57</f>
        <v>#NAME?</v>
      </c>
      <c r="H168" s="23" t="e">
        <f ca="1">'Annual Raw'!I57</f>
        <v>#NAME?</v>
      </c>
      <c r="I168" s="23" t="e">
        <f ca="1">'Annual Raw'!J57</f>
        <v>#NAME?</v>
      </c>
      <c r="J168" s="23" t="e">
        <f ca="1">'Annual Raw'!K57</f>
        <v>#NAME?</v>
      </c>
      <c r="K168" s="23" t="e">
        <f ca="1">'Annual Raw'!L57</f>
        <v>#NAME?</v>
      </c>
      <c r="L168" s="23" t="e">
        <f ca="1">'Annual Raw'!M57</f>
        <v>#NAME?</v>
      </c>
      <c r="M168" s="23" t="e">
        <f ca="1">'Annual Raw'!N57</f>
        <v>#NAME?</v>
      </c>
      <c r="N168" s="23" t="e">
        <f ca="1">'Annual Raw'!O57</f>
        <v>#NAME?</v>
      </c>
      <c r="O168" s="23" t="e">
        <f ca="1">'Annual Raw'!P57</f>
        <v>#NAME?</v>
      </c>
      <c r="P168" s="23" t="e">
        <f ca="1">'Annual Raw'!Q57</f>
        <v>#NAME?</v>
      </c>
      <c r="Q168" s="23" t="e">
        <f ca="1">'Annual Raw'!R57</f>
        <v>#NAME?</v>
      </c>
      <c r="R168" s="23" t="e">
        <f ca="1">'Annual Raw'!S57</f>
        <v>#NAME?</v>
      </c>
      <c r="S168" s="23" t="e">
        <f ca="1">'Annual Raw'!T57</f>
        <v>#NAME?</v>
      </c>
      <c r="T168" s="23" t="e">
        <f ca="1">'Annual Raw'!U57</f>
        <v>#NAME?</v>
      </c>
      <c r="U168" s="23" t="e">
        <f ca="1">'Annual Raw'!V57</f>
        <v>#NAME?</v>
      </c>
      <c r="V168" s="23" t="e">
        <f ca="1">'Annual Raw'!W57</f>
        <v>#NAME?</v>
      </c>
      <c r="W168" s="23" t="e">
        <f ca="1">'Annual Raw'!X57</f>
        <v>#NAME?</v>
      </c>
      <c r="X168" s="23" t="e">
        <f ca="1">'Annual Raw'!Y57</f>
        <v>#NAME?</v>
      </c>
      <c r="Y168" s="23" t="e">
        <f ca="1">'Annual Raw'!Z57</f>
        <v>#NAME?</v>
      </c>
      <c r="Z168" s="23" t="e">
        <f ca="1">'Annual Raw'!AA57</f>
        <v>#NAME?</v>
      </c>
      <c r="AA168" s="23" t="e">
        <f ca="1">'Annual Raw'!AB57</f>
        <v>#NAME?</v>
      </c>
      <c r="AB168" s="24">
        <f t="shared" si="1310"/>
        <v>0</v>
      </c>
      <c r="AC168" s="24">
        <f t="shared" si="1311"/>
        <v>0</v>
      </c>
      <c r="AD168" s="24">
        <f t="shared" si="1312"/>
        <v>0</v>
      </c>
      <c r="AE168" s="24">
        <f t="shared" si="1313"/>
        <v>0</v>
      </c>
      <c r="AJ168" s="23" t="e">
        <f ca="1">+'QTR Raw'!D92</f>
        <v>#NAME?</v>
      </c>
      <c r="AK168" s="23" t="e">
        <f t="shared" ca="1" si="1314"/>
        <v>#NAME?</v>
      </c>
      <c r="AL168" s="23" t="e">
        <f ca="1">+'QTR Raw'!F92</f>
        <v>#NAME?</v>
      </c>
      <c r="AM168" s="23" t="e">
        <f t="shared" ca="1" si="1314"/>
        <v>#NAME?</v>
      </c>
      <c r="AN168" s="23" t="e">
        <f ca="1">+'QTR Raw'!H92</f>
        <v>#NAME?</v>
      </c>
      <c r="AO168" s="23" t="e">
        <f t="shared" ca="1" si="1314"/>
        <v>#NAME?</v>
      </c>
      <c r="AP168" s="23" t="e">
        <f ca="1">+'QTR Raw'!J92</f>
        <v>#NAME?</v>
      </c>
      <c r="AQ168" s="23" t="e">
        <f t="shared" ca="1" si="1314"/>
        <v>#NAME?</v>
      </c>
      <c r="AR168" s="23" t="e">
        <f ca="1">+'QTR Raw'!L92</f>
        <v>#NAME?</v>
      </c>
      <c r="AS168" s="23" t="e">
        <f t="shared" ca="1" si="1314"/>
        <v>#NAME?</v>
      </c>
      <c r="AT168" s="23" t="e">
        <f ca="1">+'QTR Raw'!N92</f>
        <v>#NAME?</v>
      </c>
      <c r="AU168" s="23" t="e">
        <f t="shared" ca="1" si="1314"/>
        <v>#NAME?</v>
      </c>
      <c r="AV168" s="23" t="e">
        <f ca="1">+'QTR Raw'!P92</f>
        <v>#NAME?</v>
      </c>
      <c r="AW168" s="23" t="e">
        <f t="shared" ca="1" si="1314"/>
        <v>#NAME?</v>
      </c>
      <c r="AX168" s="23" t="e">
        <f ca="1">+'QTR Raw'!R92</f>
        <v>#NAME?</v>
      </c>
      <c r="AY168" s="23" t="e">
        <f t="shared" ca="1" si="1314"/>
        <v>#NAME?</v>
      </c>
      <c r="AZ168" s="23" t="e">
        <f ca="1">+'QTR Raw'!T92</f>
        <v>#NAME?</v>
      </c>
      <c r="BA168" s="23" t="e">
        <f t="shared" ca="1" si="1314"/>
        <v>#NAME?</v>
      </c>
      <c r="BB168" s="23" t="e">
        <f ca="1">+'QTR Raw'!V92</f>
        <v>#NAME?</v>
      </c>
      <c r="BC168" s="23" t="e">
        <f t="shared" ca="1" si="1314"/>
        <v>#NAME?</v>
      </c>
      <c r="BD168" s="23" t="e">
        <f ca="1">+'QTR Raw'!X92</f>
        <v>#NAME?</v>
      </c>
      <c r="BE168" s="23" t="e">
        <f t="shared" ca="1" si="1314"/>
        <v>#NAME?</v>
      </c>
      <c r="BF168" s="23" t="e">
        <f ca="1">+'QTR Raw'!Z92</f>
        <v>#NAME?</v>
      </c>
      <c r="BG168" s="23" t="e">
        <f t="shared" ca="1" si="1314"/>
        <v>#NAME?</v>
      </c>
      <c r="BH168" s="23" t="e">
        <f ca="1">+'QTR Raw'!AB92</f>
        <v>#NAME?</v>
      </c>
      <c r="BI168" s="23" t="e">
        <f t="shared" ca="1" si="1314"/>
        <v>#NAME?</v>
      </c>
      <c r="BJ168" s="23" t="e">
        <f ca="1">+'QTR Raw'!AD92</f>
        <v>#NAME?</v>
      </c>
      <c r="BK168" s="23" t="e">
        <f t="shared" ca="1" si="1314"/>
        <v>#NAME?</v>
      </c>
      <c r="BL168" s="23" t="e">
        <f ca="1">+'QTR Raw'!AF92</f>
        <v>#NAME?</v>
      </c>
      <c r="BM168" s="23" t="e">
        <f t="shared" ca="1" si="1314"/>
        <v>#NAME?</v>
      </c>
      <c r="BN168" s="23" t="e">
        <f ca="1">+'QTR Raw'!AH92</f>
        <v>#NAME?</v>
      </c>
      <c r="BO168" s="23" t="e">
        <f t="shared" ca="1" si="1314"/>
        <v>#NAME?</v>
      </c>
      <c r="BP168" s="23" t="e">
        <f ca="1">+'QTR Raw'!AJ92</f>
        <v>#NAME?</v>
      </c>
      <c r="BQ168" s="23" t="e">
        <f t="shared" ca="1" si="1314"/>
        <v>#NAME?</v>
      </c>
      <c r="BR168" s="23" t="e">
        <f ca="1">+'QTR Raw'!AL92</f>
        <v>#NAME?</v>
      </c>
      <c r="BS168" s="23" t="e">
        <f t="shared" ca="1" si="1314"/>
        <v>#NAME?</v>
      </c>
      <c r="BT168" s="23" t="e">
        <f ca="1">+'QTR Raw'!AN92</f>
        <v>#NAME?</v>
      </c>
      <c r="BU168" s="23" t="e">
        <f t="shared" ca="1" si="1314"/>
        <v>#NAME?</v>
      </c>
      <c r="BV168" s="23" t="e">
        <f ca="1">+'QTR Raw'!AP92</f>
        <v>#NAME?</v>
      </c>
      <c r="BW168" s="23" t="e">
        <f t="shared" ca="1" si="1314"/>
        <v>#NAME?</v>
      </c>
      <c r="BX168" s="23" t="e">
        <f ca="1">+'QTR Raw'!AR92</f>
        <v>#NAME?</v>
      </c>
      <c r="BY168" s="23" t="e">
        <f t="shared" ca="1" si="1314"/>
        <v>#NAME?</v>
      </c>
      <c r="BZ168" s="23" t="e">
        <f ca="1">+'QTR Raw'!AT92</f>
        <v>#NAME?</v>
      </c>
      <c r="CA168" s="23" t="e">
        <f t="shared" ca="1" si="1314"/>
        <v>#NAME?</v>
      </c>
      <c r="CB168" s="23" t="e">
        <f ca="1">+'QTR Raw'!AV92</f>
        <v>#NAME?</v>
      </c>
      <c r="CC168" s="23" t="e">
        <f t="shared" ca="1" si="1314"/>
        <v>#NAME?</v>
      </c>
      <c r="CD168" s="23" t="e">
        <f ca="1">+'QTR Raw'!AX92</f>
        <v>#NAME?</v>
      </c>
      <c r="CE168" s="23" t="e">
        <f t="shared" ca="1" si="1314"/>
        <v>#NAME?</v>
      </c>
      <c r="CF168" s="23" t="e">
        <f ca="1">+'QTR Raw'!AZ92</f>
        <v>#NAME?</v>
      </c>
      <c r="CG168" s="23" t="e">
        <f t="shared" ca="1" si="1318"/>
        <v>#NAME?</v>
      </c>
      <c r="CH168" s="23" t="e">
        <f t="shared" ca="1" si="1268"/>
        <v>#NAME?</v>
      </c>
      <c r="CJ168" s="23" t="e">
        <f ca="1">+'QTR Raw'!BD92</f>
        <v>#NAME?</v>
      </c>
      <c r="CL168" s="23" t="e">
        <f ca="1">+'QTR Raw'!BF92</f>
        <v>#NAME?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259.04000000000002</v>
      </c>
    </row>
    <row r="169" spans="1:110" s="22" customFormat="1" x14ac:dyDescent="0.2">
      <c r="A169" s="22" t="s">
        <v>73</v>
      </c>
      <c r="B169" s="22" t="e">
        <f ca="1">SUM(B162:B168)</f>
        <v>#NAME?</v>
      </c>
      <c r="C169" s="22" t="e">
        <f t="shared" ref="C169:V169" ca="1" si="1319">SUM(C162:C168)</f>
        <v>#NAME?</v>
      </c>
      <c r="D169" s="22" t="e">
        <f t="shared" ca="1" si="1319"/>
        <v>#NAME?</v>
      </c>
      <c r="E169" s="22" t="e">
        <f t="shared" ca="1" si="1319"/>
        <v>#NAME?</v>
      </c>
      <c r="F169" s="22" t="e">
        <f t="shared" ca="1" si="1319"/>
        <v>#NAME?</v>
      </c>
      <c r="G169" s="22" t="e">
        <f t="shared" ca="1" si="1319"/>
        <v>#NAME?</v>
      </c>
      <c r="H169" s="22" t="e">
        <f t="shared" ca="1" si="1319"/>
        <v>#NAME?</v>
      </c>
      <c r="I169" s="22" t="e">
        <f t="shared" ca="1" si="1319"/>
        <v>#NAME?</v>
      </c>
      <c r="J169" s="22" t="e">
        <f t="shared" ca="1" si="1319"/>
        <v>#NAME?</v>
      </c>
      <c r="K169" s="22" t="e">
        <f t="shared" ca="1" si="1319"/>
        <v>#NAME?</v>
      </c>
      <c r="L169" s="22" t="e">
        <f t="shared" ca="1" si="1319"/>
        <v>#NAME?</v>
      </c>
      <c r="M169" s="22" t="e">
        <f t="shared" ca="1" si="1319"/>
        <v>#NAME?</v>
      </c>
      <c r="N169" s="22" t="e">
        <f t="shared" ca="1" si="1319"/>
        <v>#NAME?</v>
      </c>
      <c r="O169" s="22" t="e">
        <f t="shared" ca="1" si="1319"/>
        <v>#NAME?</v>
      </c>
      <c r="P169" s="22" t="e">
        <f t="shared" ca="1" si="1319"/>
        <v>#NAME?</v>
      </c>
      <c r="Q169" s="22" t="e">
        <f t="shared" ca="1" si="1319"/>
        <v>#NAME?</v>
      </c>
      <c r="R169" s="22" t="e">
        <f t="shared" ca="1" si="1319"/>
        <v>#NAME?</v>
      </c>
      <c r="S169" s="22" t="e">
        <f t="shared" ca="1" si="1319"/>
        <v>#NAME?</v>
      </c>
      <c r="T169" s="22" t="e">
        <f t="shared" ca="1" si="1319"/>
        <v>#NAME?</v>
      </c>
      <c r="U169" s="22" t="e">
        <f t="shared" ca="1" si="1319"/>
        <v>#NAME?</v>
      </c>
      <c r="V169" s="22" t="e">
        <f t="shared" ca="1" si="1319"/>
        <v>#NAME?</v>
      </c>
      <c r="W169" s="22" t="e">
        <f t="shared" ref="W169" ca="1" si="1320">SUM(W162:W168)</f>
        <v>#NAME?</v>
      </c>
      <c r="X169" s="22" t="e">
        <f t="shared" ref="X169:Y169" ca="1" si="1321">SUM(X162:X168)</f>
        <v>#NAME?</v>
      </c>
      <c r="Y169" s="22" t="e">
        <f t="shared" ca="1" si="1321"/>
        <v>#NAME?</v>
      </c>
      <c r="Z169" s="22" t="e">
        <f t="shared" ref="Z169:AA169" ca="1" si="1322">SUM(Z162:Z168)</f>
        <v>#NAME?</v>
      </c>
      <c r="AA169" s="22" t="e">
        <f t="shared" ca="1" si="1322"/>
        <v>#NAME?</v>
      </c>
      <c r="AB169" s="21" t="e">
        <f t="shared" ref="AA169:AD169" ca="1" si="1323">SUM(AB162:AB168)</f>
        <v>#NAME?</v>
      </c>
      <c r="AC169" s="21" t="e">
        <f t="shared" ca="1" si="1323"/>
        <v>#NAME?</v>
      </c>
      <c r="AD169" s="21" t="e">
        <f t="shared" ca="1" si="1323"/>
        <v>#NAME?</v>
      </c>
      <c r="AE169" s="21" t="e">
        <f t="shared" ref="AE169" ca="1" si="1324">SUM(AE162:AE168)</f>
        <v>#NAME?</v>
      </c>
      <c r="AJ169" s="22" t="e">
        <f t="shared" ref="AJ169" ca="1" si="1325">SUM(AJ162:AJ168)</f>
        <v>#NAME?</v>
      </c>
      <c r="AK169" s="22" t="e">
        <f t="shared" ref="AK169" ca="1" si="1326">SUM(AK162:AK168)</f>
        <v>#NAME?</v>
      </c>
      <c r="AL169" s="22" t="e">
        <f t="shared" ref="AL169:AM169" ca="1" si="1327">SUM(AL162:AL168)</f>
        <v>#NAME?</v>
      </c>
      <c r="AM169" s="22" t="e">
        <f t="shared" ca="1" si="1327"/>
        <v>#NAME?</v>
      </c>
      <c r="AN169" s="22" t="e">
        <f t="shared" ref="AN169:AO169" ca="1" si="1328">SUM(AN162:AN168)</f>
        <v>#NAME?</v>
      </c>
      <c r="AO169" s="22" t="e">
        <f t="shared" ca="1" si="1328"/>
        <v>#NAME?</v>
      </c>
      <c r="AP169" s="22" t="e">
        <f t="shared" ref="AP169:CE169" ca="1" si="1329">SUM(AP162:AP168)</f>
        <v>#NAME?</v>
      </c>
      <c r="AQ169" s="22" t="e">
        <f t="shared" ca="1" si="1329"/>
        <v>#NAME?</v>
      </c>
      <c r="AR169" s="22" t="e">
        <f t="shared" ca="1" si="1329"/>
        <v>#NAME?</v>
      </c>
      <c r="AS169" s="22" t="e">
        <f t="shared" ca="1" si="1329"/>
        <v>#NAME?</v>
      </c>
      <c r="AT169" s="22" t="e">
        <f t="shared" ca="1" si="1329"/>
        <v>#NAME?</v>
      </c>
      <c r="AU169" s="22" t="e">
        <f t="shared" ca="1" si="1329"/>
        <v>#NAME?</v>
      </c>
      <c r="AV169" s="22" t="e">
        <f t="shared" ca="1" si="1329"/>
        <v>#NAME?</v>
      </c>
      <c r="AW169" s="22" t="e">
        <f t="shared" ca="1" si="1329"/>
        <v>#NAME?</v>
      </c>
      <c r="AX169" s="22" t="e">
        <f t="shared" ca="1" si="1329"/>
        <v>#NAME?</v>
      </c>
      <c r="AY169" s="22" t="e">
        <f t="shared" ca="1" si="1329"/>
        <v>#NAME?</v>
      </c>
      <c r="AZ169" s="22" t="e">
        <f t="shared" ca="1" si="1329"/>
        <v>#NAME?</v>
      </c>
      <c r="BA169" s="22" t="e">
        <f t="shared" ca="1" si="1329"/>
        <v>#NAME?</v>
      </c>
      <c r="BB169" s="22" t="e">
        <f t="shared" ca="1" si="1329"/>
        <v>#NAME?</v>
      </c>
      <c r="BC169" s="22" t="e">
        <f t="shared" ca="1" si="1329"/>
        <v>#NAME?</v>
      </c>
      <c r="BD169" s="22" t="e">
        <f t="shared" ca="1" si="1329"/>
        <v>#NAME?</v>
      </c>
      <c r="BE169" s="22" t="e">
        <f t="shared" ca="1" si="1329"/>
        <v>#NAME?</v>
      </c>
      <c r="BF169" s="22" t="e">
        <f t="shared" ca="1" si="1329"/>
        <v>#NAME?</v>
      </c>
      <c r="BG169" s="22" t="e">
        <f t="shared" ca="1" si="1329"/>
        <v>#NAME?</v>
      </c>
      <c r="BH169" s="22" t="e">
        <f t="shared" ref="BH169" ca="1" si="1330">SUM(BH162:BH168)</f>
        <v>#NAME?</v>
      </c>
      <c r="BI169" s="22" t="e">
        <f t="shared" ca="1" si="1329"/>
        <v>#NAME?</v>
      </c>
      <c r="BJ169" s="22" t="e">
        <f t="shared" ca="1" si="1329"/>
        <v>#NAME?</v>
      </c>
      <c r="BK169" s="22" t="e">
        <f t="shared" ca="1" si="1329"/>
        <v>#NAME?</v>
      </c>
      <c r="BL169" s="22" t="e">
        <f t="shared" ca="1" si="1329"/>
        <v>#NAME?</v>
      </c>
      <c r="BM169" s="22" t="e">
        <f t="shared" ca="1" si="1329"/>
        <v>#NAME?</v>
      </c>
      <c r="BN169" s="22" t="e">
        <f t="shared" ca="1" si="1329"/>
        <v>#NAME?</v>
      </c>
      <c r="BO169" s="22" t="e">
        <f t="shared" ca="1" si="1329"/>
        <v>#NAME?</v>
      </c>
      <c r="BP169" s="22" t="e">
        <f t="shared" ca="1" si="1329"/>
        <v>#NAME?</v>
      </c>
      <c r="BQ169" s="22" t="e">
        <f t="shared" ca="1" si="1329"/>
        <v>#NAME?</v>
      </c>
      <c r="BR169" s="22" t="e">
        <f t="shared" ca="1" si="1329"/>
        <v>#NAME?</v>
      </c>
      <c r="BS169" s="22" t="e">
        <f t="shared" ca="1" si="1329"/>
        <v>#NAME?</v>
      </c>
      <c r="BT169" s="22" t="e">
        <f t="shared" ca="1" si="1329"/>
        <v>#NAME?</v>
      </c>
      <c r="BU169" s="22" t="e">
        <f t="shared" ca="1" si="1329"/>
        <v>#NAME?</v>
      </c>
      <c r="BV169" s="22" t="e">
        <f t="shared" ca="1" si="1329"/>
        <v>#NAME?</v>
      </c>
      <c r="BW169" s="22" t="e">
        <f t="shared" ca="1" si="1329"/>
        <v>#NAME?</v>
      </c>
      <c r="BX169" s="22" t="e">
        <f t="shared" ca="1" si="1329"/>
        <v>#NAME?</v>
      </c>
      <c r="BY169" s="22" t="e">
        <f t="shared" ca="1" si="1329"/>
        <v>#NAME?</v>
      </c>
      <c r="BZ169" s="22" t="e">
        <f t="shared" ca="1" si="1329"/>
        <v>#NAME?</v>
      </c>
      <c r="CA169" s="22" t="e">
        <f t="shared" ca="1" si="1329"/>
        <v>#NAME?</v>
      </c>
      <c r="CB169" s="22" t="e">
        <f t="shared" ca="1" si="1329"/>
        <v>#NAME?</v>
      </c>
      <c r="CC169" s="22" t="e">
        <f t="shared" ca="1" si="1329"/>
        <v>#NAME?</v>
      </c>
      <c r="CD169" s="22" t="e">
        <f t="shared" ca="1" si="1329"/>
        <v>#NAME?</v>
      </c>
      <c r="CE169" s="22" t="e">
        <f t="shared" ca="1" si="1329"/>
        <v>#NAME?</v>
      </c>
      <c r="CF169" s="22" t="e">
        <f t="shared" ref="CF169:CG169" ca="1" si="1331">SUM(CF162:CF168)</f>
        <v>#NAME?</v>
      </c>
      <c r="CG169" s="22" t="e">
        <f t="shared" ca="1" si="1331"/>
        <v>#NAME?</v>
      </c>
      <c r="CH169" s="22" t="e">
        <f t="shared" ref="CH169:CI169" ca="1" si="1332">SUM(CH162:CH168)</f>
        <v>#NAME?</v>
      </c>
      <c r="CI169" s="22" t="e">
        <f t="shared" ca="1" si="1332"/>
        <v>#NAME?</v>
      </c>
      <c r="CJ169" s="22" t="e">
        <f t="shared" ref="CJ169:DB169" ca="1" si="1333">SUM(CJ162:CJ168)</f>
        <v>#NAME?</v>
      </c>
      <c r="CK169" s="22" t="e">
        <f t="shared" ca="1" si="1333"/>
        <v>#NAME?</v>
      </c>
      <c r="CL169" s="22" t="e">
        <f t="shared" ref="CL169" ca="1" si="1334">SUM(CL162:CL168)</f>
        <v>#NAME?</v>
      </c>
      <c r="CM169" s="21" t="e">
        <f t="shared" ca="1" si="1333"/>
        <v>#NAME?</v>
      </c>
      <c r="CN169" s="21" t="e">
        <f t="shared" ca="1" si="1333"/>
        <v>#NAME?</v>
      </c>
      <c r="CO169" s="21" t="e">
        <f t="shared" ca="1" si="1333"/>
        <v>#NAME?</v>
      </c>
      <c r="CP169" s="21" t="e">
        <f t="shared" ca="1" si="1333"/>
        <v>#NAME?</v>
      </c>
      <c r="CQ169" s="21" t="e">
        <f t="shared" ca="1" si="1333"/>
        <v>#NAME?</v>
      </c>
      <c r="CR169" s="21" t="e">
        <f t="shared" ca="1" si="1333"/>
        <v>#NAME?</v>
      </c>
      <c r="CS169" s="21" t="e">
        <f t="shared" ca="1" si="1333"/>
        <v>#NAME?</v>
      </c>
      <c r="CT169" s="21" t="e">
        <f t="shared" ca="1" si="1333"/>
        <v>#NAME?</v>
      </c>
      <c r="CU169" s="21" t="e">
        <f t="shared" ca="1" si="1333"/>
        <v>#NAME?</v>
      </c>
      <c r="CV169" s="21" t="e">
        <f t="shared" ca="1" si="1333"/>
        <v>#NAME?</v>
      </c>
      <c r="CW169" s="21" t="e">
        <f t="shared" ca="1" si="1333"/>
        <v>#NAME?</v>
      </c>
      <c r="CX169" s="21" t="e">
        <f t="shared" ca="1" si="1333"/>
        <v>#NAME?</v>
      </c>
      <c r="CY169" s="21" t="e">
        <f t="shared" ca="1" si="1333"/>
        <v>#NAME?</v>
      </c>
      <c r="CZ169" s="21" t="e">
        <f t="shared" ca="1" si="1333"/>
        <v>#NAME?</v>
      </c>
      <c r="DA169" s="21" t="e">
        <f t="shared" ca="1" si="1333"/>
        <v>#NAME?</v>
      </c>
      <c r="DB169" s="21" t="e">
        <f t="shared" ca="1" si="1333"/>
        <v>#NAME?</v>
      </c>
      <c r="DE169" s="126"/>
      <c r="DF169" s="22">
        <v>14241.25</v>
      </c>
    </row>
    <row r="170" spans="1:110" s="22" customFormat="1" x14ac:dyDescent="0.2">
      <c r="A170" s="22" t="s">
        <v>74</v>
      </c>
      <c r="B170" s="22" t="e">
        <f ca="1">B161-B169</f>
        <v>#NAME?</v>
      </c>
      <c r="C170" s="22" t="e">
        <f t="shared" ref="C170:V170" ca="1" si="1335">C161-C169</f>
        <v>#NAME?</v>
      </c>
      <c r="D170" s="22" t="e">
        <f t="shared" ca="1" si="1335"/>
        <v>#NAME?</v>
      </c>
      <c r="E170" s="22" t="e">
        <f t="shared" ca="1" si="1335"/>
        <v>#NAME?</v>
      </c>
      <c r="F170" s="22" t="e">
        <f t="shared" ca="1" si="1335"/>
        <v>#NAME?</v>
      </c>
      <c r="G170" s="22" t="e">
        <f t="shared" ca="1" si="1335"/>
        <v>#NAME?</v>
      </c>
      <c r="H170" s="22" t="e">
        <f t="shared" ca="1" si="1335"/>
        <v>#NAME?</v>
      </c>
      <c r="I170" s="22" t="e">
        <f t="shared" ca="1" si="1335"/>
        <v>#NAME?</v>
      </c>
      <c r="J170" s="22" t="e">
        <f t="shared" ca="1" si="1335"/>
        <v>#NAME?</v>
      </c>
      <c r="K170" s="22" t="e">
        <f t="shared" ca="1" si="1335"/>
        <v>#NAME?</v>
      </c>
      <c r="L170" s="22" t="e">
        <f t="shared" ca="1" si="1335"/>
        <v>#NAME?</v>
      </c>
      <c r="M170" s="22" t="e">
        <f t="shared" ca="1" si="1335"/>
        <v>#NAME?</v>
      </c>
      <c r="N170" s="22" t="e">
        <f t="shared" ca="1" si="1335"/>
        <v>#NAME?</v>
      </c>
      <c r="O170" s="22" t="e">
        <f t="shared" ca="1" si="1335"/>
        <v>#NAME?</v>
      </c>
      <c r="P170" s="22" t="e">
        <f t="shared" ca="1" si="1335"/>
        <v>#NAME?</v>
      </c>
      <c r="Q170" s="22" t="e">
        <f t="shared" ca="1" si="1335"/>
        <v>#NAME?</v>
      </c>
      <c r="R170" s="22" t="e">
        <f t="shared" ca="1" si="1335"/>
        <v>#NAME?</v>
      </c>
      <c r="S170" s="22" t="e">
        <f t="shared" ca="1" si="1335"/>
        <v>#NAME?</v>
      </c>
      <c r="T170" s="22" t="e">
        <f t="shared" ca="1" si="1335"/>
        <v>#NAME?</v>
      </c>
      <c r="U170" s="22" t="e">
        <f t="shared" ca="1" si="1335"/>
        <v>#NAME?</v>
      </c>
      <c r="V170" s="22" t="e">
        <f t="shared" ca="1" si="1335"/>
        <v>#NAME?</v>
      </c>
      <c r="W170" s="22" t="e">
        <f t="shared" ref="W170" ca="1" si="1336">W161-W169</f>
        <v>#NAME?</v>
      </c>
      <c r="X170" s="22" t="e">
        <f t="shared" ref="X170:Y170" ca="1" si="1337">X161-X169</f>
        <v>#NAME?</v>
      </c>
      <c r="Y170" s="22" t="e">
        <f t="shared" ca="1" si="1337"/>
        <v>#NAME?</v>
      </c>
      <c r="Z170" s="22" t="e">
        <f t="shared" ref="Z170:AA170" ca="1" si="1338">Z161-Z169</f>
        <v>#NAME?</v>
      </c>
      <c r="AA170" s="22" t="e">
        <f t="shared" ca="1" si="1338"/>
        <v>#NAME?</v>
      </c>
      <c r="AB170" s="21" t="e">
        <f t="shared" ref="AA170:AD170" ca="1" si="1339">AB161-AB169</f>
        <v>#NAME?</v>
      </c>
      <c r="AC170" s="21" t="e">
        <f t="shared" ca="1" si="1339"/>
        <v>#NAME?</v>
      </c>
      <c r="AD170" s="21" t="e">
        <f t="shared" ca="1" si="1339"/>
        <v>#NAME?</v>
      </c>
      <c r="AE170" s="21" t="e">
        <f t="shared" ref="AE170" ca="1" si="1340">AE161-AE169</f>
        <v>#NAME?</v>
      </c>
      <c r="AJ170" s="22" t="e">
        <f t="shared" ref="AJ170" ca="1" si="1341">AJ161-AJ169</f>
        <v>#NAME?</v>
      </c>
      <c r="AK170" s="22" t="e">
        <f t="shared" ref="AK170" ca="1" si="1342">AK161-AK169</f>
        <v>#NAME?</v>
      </c>
      <c r="AL170" s="22" t="e">
        <f t="shared" ref="AL170:AM170" ca="1" si="1343">AL161-AL169</f>
        <v>#NAME?</v>
      </c>
      <c r="AM170" s="22" t="e">
        <f t="shared" ca="1" si="1343"/>
        <v>#NAME?</v>
      </c>
      <c r="AN170" s="22" t="e">
        <f t="shared" ref="AN170:AO170" ca="1" si="1344">AN161-AN169</f>
        <v>#NAME?</v>
      </c>
      <c r="AO170" s="22" t="e">
        <f t="shared" ca="1" si="1344"/>
        <v>#NAME?</v>
      </c>
      <c r="AP170" s="22" t="e">
        <f t="shared" ref="AP170:CE170" ca="1" si="1345">AP161-AP169</f>
        <v>#NAME?</v>
      </c>
      <c r="AQ170" s="22" t="e">
        <f t="shared" ca="1" si="1345"/>
        <v>#NAME?</v>
      </c>
      <c r="AR170" s="22" t="e">
        <f t="shared" ca="1" si="1345"/>
        <v>#NAME?</v>
      </c>
      <c r="AS170" s="22" t="e">
        <f t="shared" ca="1" si="1345"/>
        <v>#NAME?</v>
      </c>
      <c r="AT170" s="22" t="e">
        <f t="shared" ca="1" si="1345"/>
        <v>#NAME?</v>
      </c>
      <c r="AU170" s="22" t="e">
        <f t="shared" ca="1" si="1345"/>
        <v>#NAME?</v>
      </c>
      <c r="AV170" s="22" t="e">
        <f t="shared" ca="1" si="1345"/>
        <v>#NAME?</v>
      </c>
      <c r="AW170" s="22" t="e">
        <f t="shared" ca="1" si="1345"/>
        <v>#NAME?</v>
      </c>
      <c r="AX170" s="22" t="e">
        <f t="shared" ca="1" si="1345"/>
        <v>#NAME?</v>
      </c>
      <c r="AY170" s="22" t="e">
        <f t="shared" ca="1" si="1345"/>
        <v>#NAME?</v>
      </c>
      <c r="AZ170" s="22" t="e">
        <f t="shared" ca="1" si="1345"/>
        <v>#NAME?</v>
      </c>
      <c r="BA170" s="22" t="e">
        <f t="shared" ca="1" si="1345"/>
        <v>#NAME?</v>
      </c>
      <c r="BB170" s="22" t="e">
        <f t="shared" ca="1" si="1345"/>
        <v>#NAME?</v>
      </c>
      <c r="BC170" s="22" t="e">
        <f t="shared" ca="1" si="1345"/>
        <v>#NAME?</v>
      </c>
      <c r="BD170" s="22" t="e">
        <f t="shared" ca="1" si="1345"/>
        <v>#NAME?</v>
      </c>
      <c r="BE170" s="22" t="e">
        <f t="shared" ca="1" si="1345"/>
        <v>#NAME?</v>
      </c>
      <c r="BF170" s="22" t="e">
        <f t="shared" ca="1" si="1345"/>
        <v>#NAME?</v>
      </c>
      <c r="BG170" s="22" t="e">
        <f t="shared" ca="1" si="1345"/>
        <v>#NAME?</v>
      </c>
      <c r="BH170" s="22" t="e">
        <f t="shared" ref="BH170" ca="1" si="1346">BH161-BH169</f>
        <v>#NAME?</v>
      </c>
      <c r="BI170" s="22" t="e">
        <f t="shared" ca="1" si="1345"/>
        <v>#NAME?</v>
      </c>
      <c r="BJ170" s="22" t="e">
        <f t="shared" ca="1" si="1345"/>
        <v>#NAME?</v>
      </c>
      <c r="BK170" s="22" t="e">
        <f t="shared" ca="1" si="1345"/>
        <v>#NAME?</v>
      </c>
      <c r="BL170" s="22" t="e">
        <f t="shared" ca="1" si="1345"/>
        <v>#NAME?</v>
      </c>
      <c r="BM170" s="22" t="e">
        <f t="shared" ca="1" si="1345"/>
        <v>#NAME?</v>
      </c>
      <c r="BN170" s="22" t="e">
        <f t="shared" ca="1" si="1345"/>
        <v>#NAME?</v>
      </c>
      <c r="BO170" s="22" t="e">
        <f t="shared" ca="1" si="1345"/>
        <v>#NAME?</v>
      </c>
      <c r="BP170" s="22" t="e">
        <f t="shared" ca="1" si="1345"/>
        <v>#NAME?</v>
      </c>
      <c r="BQ170" s="22" t="e">
        <f t="shared" ca="1" si="1345"/>
        <v>#NAME?</v>
      </c>
      <c r="BR170" s="22" t="e">
        <f t="shared" ca="1" si="1345"/>
        <v>#NAME?</v>
      </c>
      <c r="BS170" s="22" t="e">
        <f t="shared" ca="1" si="1345"/>
        <v>#NAME?</v>
      </c>
      <c r="BT170" s="22" t="e">
        <f t="shared" ca="1" si="1345"/>
        <v>#NAME?</v>
      </c>
      <c r="BU170" s="22" t="e">
        <f t="shared" ca="1" si="1345"/>
        <v>#NAME?</v>
      </c>
      <c r="BV170" s="22" t="e">
        <f t="shared" ca="1" si="1345"/>
        <v>#NAME?</v>
      </c>
      <c r="BW170" s="22" t="e">
        <f t="shared" ca="1" si="1345"/>
        <v>#NAME?</v>
      </c>
      <c r="BX170" s="22" t="e">
        <f t="shared" ca="1" si="1345"/>
        <v>#NAME?</v>
      </c>
      <c r="BY170" s="22" t="e">
        <f t="shared" ca="1" si="1345"/>
        <v>#NAME?</v>
      </c>
      <c r="BZ170" s="22" t="e">
        <f t="shared" ca="1" si="1345"/>
        <v>#NAME?</v>
      </c>
      <c r="CA170" s="22" t="e">
        <f t="shared" ca="1" si="1345"/>
        <v>#NAME?</v>
      </c>
      <c r="CB170" s="22" t="e">
        <f t="shared" ca="1" si="1345"/>
        <v>#NAME?</v>
      </c>
      <c r="CC170" s="22" t="e">
        <f t="shared" ca="1" si="1345"/>
        <v>#NAME?</v>
      </c>
      <c r="CD170" s="22" t="e">
        <f t="shared" ca="1" si="1345"/>
        <v>#NAME?</v>
      </c>
      <c r="CE170" s="22" t="e">
        <f t="shared" ca="1" si="1345"/>
        <v>#NAME?</v>
      </c>
      <c r="CF170" s="22" t="e">
        <f t="shared" ref="CF170:CG170" ca="1" si="1347">CF161-CF169</f>
        <v>#NAME?</v>
      </c>
      <c r="CG170" s="22" t="e">
        <f t="shared" ca="1" si="1347"/>
        <v>#NAME?</v>
      </c>
      <c r="CH170" s="22" t="e">
        <f t="shared" ref="CH170:CI170" ca="1" si="1348">CH161-CH169</f>
        <v>#NAME?</v>
      </c>
      <c r="CI170" s="22" t="e">
        <f t="shared" ca="1" si="1348"/>
        <v>#NAME?</v>
      </c>
      <c r="CJ170" s="22" t="e">
        <f t="shared" ref="CJ170:DB170" ca="1" si="1349">CJ161-CJ169</f>
        <v>#NAME?</v>
      </c>
      <c r="CK170" s="22" t="e">
        <f t="shared" ca="1" si="1349"/>
        <v>#NAME?</v>
      </c>
      <c r="CL170" s="22" t="e">
        <f t="shared" ref="CL170" ca="1" si="1350">CL161-CL169</f>
        <v>#NAME?</v>
      </c>
      <c r="CM170" s="21" t="e">
        <f t="shared" ca="1" si="1349"/>
        <v>#NAME?</v>
      </c>
      <c r="CN170" s="21" t="e">
        <f t="shared" ca="1" si="1349"/>
        <v>#NAME?</v>
      </c>
      <c r="CO170" s="21" t="e">
        <f t="shared" ca="1" si="1349"/>
        <v>#NAME?</v>
      </c>
      <c r="CP170" s="21" t="e">
        <f t="shared" ca="1" si="1349"/>
        <v>#NAME?</v>
      </c>
      <c r="CQ170" s="21" t="e">
        <f t="shared" ca="1" si="1349"/>
        <v>#NAME?</v>
      </c>
      <c r="CR170" s="21" t="e">
        <f t="shared" ca="1" si="1349"/>
        <v>#NAME?</v>
      </c>
      <c r="CS170" s="21" t="e">
        <f t="shared" ca="1" si="1349"/>
        <v>#NAME?</v>
      </c>
      <c r="CT170" s="21" t="e">
        <f t="shared" ca="1" si="1349"/>
        <v>#NAME?</v>
      </c>
      <c r="CU170" s="21" t="e">
        <f t="shared" ca="1" si="1349"/>
        <v>#NAME?</v>
      </c>
      <c r="CV170" s="21" t="e">
        <f t="shared" ca="1" si="1349"/>
        <v>#NAME?</v>
      </c>
      <c r="CW170" s="21" t="e">
        <f t="shared" ca="1" si="1349"/>
        <v>#NAME?</v>
      </c>
      <c r="CX170" s="21" t="e">
        <f t="shared" ca="1" si="1349"/>
        <v>#NAME?</v>
      </c>
      <c r="CY170" s="21" t="e">
        <f t="shared" ca="1" si="1349"/>
        <v>#NAME?</v>
      </c>
      <c r="CZ170" s="21" t="e">
        <f t="shared" ca="1" si="1349"/>
        <v>#NAME?</v>
      </c>
      <c r="DA170" s="21" t="e">
        <f t="shared" ca="1" si="1349"/>
        <v>#NAME?</v>
      </c>
      <c r="DB170" s="21" t="e">
        <f t="shared" ca="1" si="1349"/>
        <v>#NAME?</v>
      </c>
      <c r="DE170" s="126"/>
      <c r="DF170" s="22">
        <v>8360.16</v>
      </c>
    </row>
    <row r="171" spans="1:110" s="23" customFormat="1" x14ac:dyDescent="0.2">
      <c r="AB171" s="24"/>
      <c r="AC171" s="24"/>
      <c r="AD171" s="24"/>
      <c r="AE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</row>
    <row r="172" spans="1:110" s="23" customFormat="1" outlineLevel="1" x14ac:dyDescent="0.2">
      <c r="A172" s="23" t="s">
        <v>75</v>
      </c>
      <c r="B172" s="23" t="e">
        <f ca="1">'Annual Raw'!C75</f>
        <v>#NAME?</v>
      </c>
      <c r="C172" s="23" t="e">
        <f ca="1">'Annual Raw'!D75</f>
        <v>#NAME?</v>
      </c>
      <c r="D172" s="23" t="e">
        <f ca="1">'Annual Raw'!E75</f>
        <v>#NAME?</v>
      </c>
      <c r="E172" s="23" t="e">
        <f ca="1">'Annual Raw'!F75</f>
        <v>#NAME?</v>
      </c>
      <c r="F172" s="23" t="e">
        <f ca="1">'Annual Raw'!G75</f>
        <v>#NAME?</v>
      </c>
      <c r="G172" s="23" t="e">
        <f ca="1">'Annual Raw'!H75</f>
        <v>#NAME?</v>
      </c>
      <c r="H172" s="23" t="e">
        <f ca="1">'Annual Raw'!I75</f>
        <v>#NAME?</v>
      </c>
      <c r="I172" s="23" t="e">
        <f ca="1">'Annual Raw'!J75</f>
        <v>#NAME?</v>
      </c>
      <c r="J172" s="23" t="e">
        <f ca="1">'Annual Raw'!K75</f>
        <v>#NAME?</v>
      </c>
      <c r="K172" s="23" t="e">
        <f ca="1">'Annual Raw'!L75</f>
        <v>#NAME?</v>
      </c>
      <c r="L172" s="23" t="e">
        <f ca="1">'Annual Raw'!M75</f>
        <v>#NAME?</v>
      </c>
      <c r="M172" s="23" t="e">
        <f ca="1">'Annual Raw'!N75</f>
        <v>#NAME?</v>
      </c>
      <c r="N172" s="23" t="e">
        <f ca="1">'Annual Raw'!O75</f>
        <v>#NAME?</v>
      </c>
      <c r="O172" s="23" t="e">
        <f ca="1">'Annual Raw'!P75</f>
        <v>#NAME?</v>
      </c>
      <c r="P172" s="23" t="e">
        <f ca="1">'Annual Raw'!Q75</f>
        <v>#NAME?</v>
      </c>
      <c r="Q172" s="23" t="e">
        <f ca="1">'Annual Raw'!R75</f>
        <v>#NAME?</v>
      </c>
      <c r="R172" s="23" t="e">
        <f ca="1">'Annual Raw'!S75</f>
        <v>#NAME?</v>
      </c>
      <c r="S172" s="23" t="e">
        <f ca="1">'Annual Raw'!T75</f>
        <v>#NAME?</v>
      </c>
      <c r="T172" s="23" t="e">
        <f ca="1">'Annual Raw'!U75</f>
        <v>#NAME?</v>
      </c>
      <c r="U172" s="23" t="e">
        <f ca="1">'Annual Raw'!V75</f>
        <v>#NAME?</v>
      </c>
      <c r="V172" s="23" t="e">
        <f ca="1">'Annual Raw'!W75</f>
        <v>#NAME?</v>
      </c>
      <c r="W172" s="23" t="e">
        <f ca="1">'Annual Raw'!X75</f>
        <v>#NAME?</v>
      </c>
      <c r="X172" s="23" t="e">
        <f ca="1">'Annual Raw'!Y75</f>
        <v>#NAME?</v>
      </c>
      <c r="Y172" s="23" t="e">
        <f ca="1">'Annual Raw'!Z75</f>
        <v>#NAME?</v>
      </c>
      <c r="Z172" s="23" t="e">
        <f ca="1">'Annual Raw'!AA75</f>
        <v>#NAME?</v>
      </c>
      <c r="AA172" s="23" t="e">
        <f ca="1">'Annual Raw'!AB75</f>
        <v>#NAME?</v>
      </c>
      <c r="AB172" s="24">
        <f t="shared" ref="AB172:AB173" si="1351">+CP172</f>
        <v>0</v>
      </c>
      <c r="AC172" s="24">
        <f t="shared" ref="AC172:AC173" si="1352">+CT172</f>
        <v>0</v>
      </c>
      <c r="AD172" s="24">
        <f t="shared" ref="AD172:AD173" si="1353">+CX172</f>
        <v>0</v>
      </c>
      <c r="AE172" s="24">
        <f t="shared" ref="AE172:AE173" si="1354">+DB172</f>
        <v>0</v>
      </c>
      <c r="AJ172" s="23" t="e">
        <f ca="1">+'QTR Raw'!D80</f>
        <v>#NAME?</v>
      </c>
      <c r="AL172" s="23" t="e">
        <f ca="1">+'QTR Raw'!F80</f>
        <v>#NAME?</v>
      </c>
      <c r="AN172" s="23" t="e">
        <f ca="1">+'QTR Raw'!H80</f>
        <v>#NAME?</v>
      </c>
      <c r="AP172" s="23" t="e">
        <f ca="1">+'QTR Raw'!J80</f>
        <v>#NAME?</v>
      </c>
      <c r="AR172" s="23" t="e">
        <f ca="1">+'QTR Raw'!L80</f>
        <v>#NAME?</v>
      </c>
      <c r="AT172" s="23" t="e">
        <f ca="1">+'QTR Raw'!N80</f>
        <v>#NAME?</v>
      </c>
      <c r="AV172" s="23" t="e">
        <f ca="1">+'QTR Raw'!P80</f>
        <v>#NAME?</v>
      </c>
      <c r="AX172" s="23" t="e">
        <f ca="1">+'QTR Raw'!R80</f>
        <v>#NAME?</v>
      </c>
      <c r="AZ172" s="23" t="e">
        <f ca="1">+'QTR Raw'!T80</f>
        <v>#NAME?</v>
      </c>
      <c r="BB172" s="23" t="e">
        <f ca="1">+'QTR Raw'!V80</f>
        <v>#NAME?</v>
      </c>
      <c r="BD172" s="23" t="e">
        <f ca="1">+'QTR Raw'!X80</f>
        <v>#NAME?</v>
      </c>
      <c r="BF172" s="23" t="e">
        <f ca="1">+'QTR Raw'!Z80</f>
        <v>#NAME?</v>
      </c>
      <c r="BH172" s="23" t="e">
        <f ca="1">+'QTR Raw'!AB80</f>
        <v>#NAME?</v>
      </c>
      <c r="BJ172" s="23" t="e">
        <f ca="1">+'QTR Raw'!AD80</f>
        <v>#NAME?</v>
      </c>
      <c r="BL172" s="23" t="e">
        <f ca="1">+'QTR Raw'!AF80</f>
        <v>#NAME?</v>
      </c>
      <c r="BN172" s="23" t="e">
        <f ca="1">+'QTR Raw'!AH80</f>
        <v>#NAME?</v>
      </c>
      <c r="BP172" s="23" t="e">
        <f ca="1">+'QTR Raw'!AJ80</f>
        <v>#NAME?</v>
      </c>
      <c r="BR172" s="23" t="e">
        <f ca="1">+'QTR Raw'!AL80</f>
        <v>#NAME?</v>
      </c>
      <c r="BT172" s="23" t="e">
        <f ca="1">+'QTR Raw'!AN80</f>
        <v>#NAME?</v>
      </c>
      <c r="BV172" s="23" t="e">
        <f ca="1">+'QTR Raw'!AP80</f>
        <v>#NAME?</v>
      </c>
      <c r="BX172" s="23" t="e">
        <f ca="1">+'QTR Raw'!AR80</f>
        <v>#NAME?</v>
      </c>
      <c r="BZ172" s="23" t="e">
        <f ca="1">+'QTR Raw'!AT80</f>
        <v>#NAME?</v>
      </c>
      <c r="CB172" s="23" t="e">
        <f ca="1">+'QTR Raw'!AV80</f>
        <v>#NAME?</v>
      </c>
      <c r="CD172" s="23" t="e">
        <f ca="1">+'QTR Raw'!AX80</f>
        <v>#NAME?</v>
      </c>
      <c r="CF172" s="23" t="e">
        <f ca="1">+'QTR Raw'!AZ80</f>
        <v>#NAME?</v>
      </c>
      <c r="CH172" s="23" t="e">
        <f t="shared" ref="CH172:CH173" ca="1" si="1355">Z172</f>
        <v>#NAME?</v>
      </c>
      <c r="CJ172" s="23" t="e">
        <f ca="1">+'QTR Raw'!BD80</f>
        <v>#NAME?</v>
      </c>
      <c r="CL172" s="23" t="e">
        <f ca="1">+'QTR Raw'!BF80</f>
        <v>#NAME?</v>
      </c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  <c r="DF172" s="23">
        <v>0</v>
      </c>
    </row>
    <row r="173" spans="1:110" s="23" customFormat="1" outlineLevel="1" x14ac:dyDescent="0.2">
      <c r="A173" s="23" t="s">
        <v>76</v>
      </c>
      <c r="B173" s="23" t="e">
        <f ca="1">'Annual Raw'!C78</f>
        <v>#NAME?</v>
      </c>
      <c r="C173" s="23" t="e">
        <f ca="1">'Annual Raw'!D78</f>
        <v>#NAME?</v>
      </c>
      <c r="D173" s="23" t="e">
        <f ca="1">'Annual Raw'!E78</f>
        <v>#NAME?</v>
      </c>
      <c r="E173" s="23" t="e">
        <f ca="1">'Annual Raw'!F78</f>
        <v>#NAME?</v>
      </c>
      <c r="F173" s="23" t="e">
        <f ca="1">'Annual Raw'!G78</f>
        <v>#NAME?</v>
      </c>
      <c r="G173" s="23" t="e">
        <f ca="1">'Annual Raw'!H78</f>
        <v>#NAME?</v>
      </c>
      <c r="H173" s="23" t="e">
        <f ca="1">'Annual Raw'!I78</f>
        <v>#NAME?</v>
      </c>
      <c r="I173" s="23" t="e">
        <f ca="1">'Annual Raw'!J78</f>
        <v>#NAME?</v>
      </c>
      <c r="J173" s="23" t="e">
        <f ca="1">'Annual Raw'!K78</f>
        <v>#NAME?</v>
      </c>
      <c r="K173" s="23" t="e">
        <f ca="1">'Annual Raw'!L78</f>
        <v>#NAME?</v>
      </c>
      <c r="L173" s="23" t="e">
        <f ca="1">'Annual Raw'!M78</f>
        <v>#NAME?</v>
      </c>
      <c r="M173" s="23" t="e">
        <f ca="1">'Annual Raw'!N78</f>
        <v>#NAME?</v>
      </c>
      <c r="N173" s="23" t="e">
        <f ca="1">'Annual Raw'!O78</f>
        <v>#NAME?</v>
      </c>
      <c r="O173" s="23" t="e">
        <f ca="1">'Annual Raw'!P78</f>
        <v>#NAME?</v>
      </c>
      <c r="P173" s="23" t="e">
        <f ca="1">'Annual Raw'!Q78</f>
        <v>#NAME?</v>
      </c>
      <c r="Q173" s="23" t="e">
        <f ca="1">'Annual Raw'!R78</f>
        <v>#NAME?</v>
      </c>
      <c r="R173" s="23" t="e">
        <f ca="1">'Annual Raw'!S78</f>
        <v>#NAME?</v>
      </c>
      <c r="S173" s="23" t="e">
        <f ca="1">'Annual Raw'!T78</f>
        <v>#NAME?</v>
      </c>
      <c r="T173" s="23" t="e">
        <f ca="1">'Annual Raw'!U78</f>
        <v>#NAME?</v>
      </c>
      <c r="U173" s="23" t="e">
        <f ca="1">'Annual Raw'!V78</f>
        <v>#NAME?</v>
      </c>
      <c r="V173" s="23" t="e">
        <f ca="1">'Annual Raw'!W78</f>
        <v>#NAME?</v>
      </c>
      <c r="W173" s="23" t="e">
        <f ca="1">'Annual Raw'!X78</f>
        <v>#NAME?</v>
      </c>
      <c r="X173" s="23" t="e">
        <f ca="1">'Annual Raw'!Y78</f>
        <v>#NAME?</v>
      </c>
      <c r="Y173" s="23" t="e">
        <f ca="1">'Annual Raw'!Z78</f>
        <v>#NAME?</v>
      </c>
      <c r="Z173" s="23" t="e">
        <f ca="1">'Annual Raw'!AA78</f>
        <v>#NAME?</v>
      </c>
      <c r="AA173" s="23" t="e">
        <f ca="1">'Annual Raw'!AB78</f>
        <v>#NAME?</v>
      </c>
      <c r="AB173" s="24" t="e">
        <f t="shared" ca="1" si="1351"/>
        <v>#NAME?</v>
      </c>
      <c r="AC173" s="24" t="e">
        <f t="shared" ca="1" si="1352"/>
        <v>#NAME?</v>
      </c>
      <c r="AD173" s="24" t="e">
        <f t="shared" ca="1" si="1353"/>
        <v>#NAME?</v>
      </c>
      <c r="AE173" s="24" t="e">
        <f t="shared" ca="1" si="1354"/>
        <v>#NAME?</v>
      </c>
      <c r="AJ173" s="23" t="e">
        <f ca="1">+'QTR Raw'!D83</f>
        <v>#NAME?</v>
      </c>
      <c r="AK173" s="23" t="e">
        <f t="shared" ref="AK173:AM173" ca="1" si="1356">+AK223</f>
        <v>#NAME?</v>
      </c>
      <c r="AL173" s="23" t="e">
        <f ca="1">+'QTR Raw'!F83</f>
        <v>#NAME?</v>
      </c>
      <c r="AM173" s="23" t="e">
        <f t="shared" ca="1" si="1356"/>
        <v>#NAME?</v>
      </c>
      <c r="AN173" s="23" t="e">
        <f ca="1">+'QTR Raw'!H83</f>
        <v>#NAME?</v>
      </c>
      <c r="AO173" s="23" t="e">
        <f t="shared" ref="AO173" ca="1" si="1357">+AO223</f>
        <v>#NAME?</v>
      </c>
      <c r="AP173" s="23" t="e">
        <f ca="1">+'QTR Raw'!J83</f>
        <v>#NAME?</v>
      </c>
      <c r="AQ173" s="23" t="e">
        <f t="shared" ref="AQ173" ca="1" si="1358">+AQ223</f>
        <v>#NAME?</v>
      </c>
      <c r="AR173" s="23" t="e">
        <f ca="1">+'QTR Raw'!L83</f>
        <v>#NAME?</v>
      </c>
      <c r="AS173" s="23" t="e">
        <f t="shared" ref="AS173" ca="1" si="1359">+AS223</f>
        <v>#NAME?</v>
      </c>
      <c r="AT173" s="23" t="e">
        <f ca="1">+'QTR Raw'!N83</f>
        <v>#NAME?</v>
      </c>
      <c r="AU173" s="23" t="e">
        <f t="shared" ref="AU173" ca="1" si="1360">+AU223</f>
        <v>#NAME?</v>
      </c>
      <c r="AV173" s="23" t="e">
        <f ca="1">+'QTR Raw'!P83</f>
        <v>#NAME?</v>
      </c>
      <c r="AW173" s="23" t="e">
        <f t="shared" ref="AW173" ca="1" si="1361">+AW223</f>
        <v>#NAME?</v>
      </c>
      <c r="AX173" s="23" t="e">
        <f ca="1">+'QTR Raw'!R83</f>
        <v>#NAME?</v>
      </c>
      <c r="AY173" s="23" t="e">
        <f t="shared" ref="AY173" ca="1" si="1362">+AY223</f>
        <v>#NAME?</v>
      </c>
      <c r="AZ173" s="23" t="e">
        <f ca="1">+'QTR Raw'!T83</f>
        <v>#NAME?</v>
      </c>
      <c r="BA173" s="23" t="e">
        <f t="shared" ref="BA173" ca="1" si="1363">+BA223</f>
        <v>#NAME?</v>
      </c>
      <c r="BB173" s="23" t="e">
        <f ca="1">+'QTR Raw'!V83</f>
        <v>#NAME?</v>
      </c>
      <c r="BC173" s="23" t="e">
        <f t="shared" ref="BC173" ca="1" si="1364">+BC223</f>
        <v>#NAME?</v>
      </c>
      <c r="BD173" s="23" t="e">
        <f ca="1">+'QTR Raw'!X83</f>
        <v>#NAME?</v>
      </c>
      <c r="BE173" s="23" t="e">
        <f t="shared" ref="BE173" ca="1" si="1365">+BE223</f>
        <v>#NAME?</v>
      </c>
      <c r="BF173" s="23" t="e">
        <f ca="1">+'QTR Raw'!Z83</f>
        <v>#NAME?</v>
      </c>
      <c r="BG173" s="23" t="e">
        <f t="shared" ref="BG173" ca="1" si="1366">+BG223</f>
        <v>#NAME?</v>
      </c>
      <c r="BH173" s="23" t="e">
        <f ca="1">+'QTR Raw'!AB83</f>
        <v>#NAME?</v>
      </c>
      <c r="BI173" s="23" t="e">
        <f t="shared" ref="BI173" ca="1" si="1367">+BI223</f>
        <v>#NAME?</v>
      </c>
      <c r="BJ173" s="23" t="e">
        <f ca="1">+'QTR Raw'!AD83</f>
        <v>#NAME?</v>
      </c>
      <c r="BK173" s="23" t="e">
        <f t="shared" ref="BK173" ca="1" si="1368">+BK223</f>
        <v>#NAME?</v>
      </c>
      <c r="BL173" s="23" t="e">
        <f ca="1">+'QTR Raw'!AF83</f>
        <v>#NAME?</v>
      </c>
      <c r="BM173" s="23" t="e">
        <f t="shared" ref="BM173" ca="1" si="1369">+BM223</f>
        <v>#NAME?</v>
      </c>
      <c r="BN173" s="23" t="e">
        <f ca="1">+'QTR Raw'!AH83</f>
        <v>#NAME?</v>
      </c>
      <c r="BO173" s="23" t="e">
        <f t="shared" ref="BO173" ca="1" si="1370">+BO223</f>
        <v>#NAME?</v>
      </c>
      <c r="BP173" s="23" t="e">
        <f ca="1">+'QTR Raw'!AJ83</f>
        <v>#NAME?</v>
      </c>
      <c r="BQ173" s="23" t="e">
        <f t="shared" ref="BQ173" ca="1" si="1371">+BQ223</f>
        <v>#NAME?</v>
      </c>
      <c r="BR173" s="23" t="e">
        <f ca="1">+'QTR Raw'!AL83</f>
        <v>#NAME?</v>
      </c>
      <c r="BS173" s="23" t="e">
        <f t="shared" ref="BS173" ca="1" si="1372">+BS223</f>
        <v>#NAME?</v>
      </c>
      <c r="BT173" s="23" t="e">
        <f ca="1">+'QTR Raw'!AN83</f>
        <v>#NAME?</v>
      </c>
      <c r="BU173" s="23" t="e">
        <f t="shared" ref="BU173" ca="1" si="1373">+BU223</f>
        <v>#NAME?</v>
      </c>
      <c r="BV173" s="23" t="e">
        <f ca="1">+'QTR Raw'!AP83</f>
        <v>#NAME?</v>
      </c>
      <c r="BW173" s="23" t="e">
        <f t="shared" ref="BW173" ca="1" si="1374">+BW223</f>
        <v>#NAME?</v>
      </c>
      <c r="BX173" s="23" t="e">
        <f ca="1">+'QTR Raw'!AR83</f>
        <v>#NAME?</v>
      </c>
      <c r="BY173" s="23" t="e">
        <f t="shared" ref="BY173" ca="1" si="1375">+BY223</f>
        <v>#NAME?</v>
      </c>
      <c r="BZ173" s="23" t="e">
        <f ca="1">+'QTR Raw'!AT83</f>
        <v>#NAME?</v>
      </c>
      <c r="CA173" s="23" t="e">
        <f t="shared" ref="CA173" ca="1" si="1376">+CA223</f>
        <v>#NAME?</v>
      </c>
      <c r="CB173" s="23" t="e">
        <f ca="1">+'QTR Raw'!AV83</f>
        <v>#NAME?</v>
      </c>
      <c r="CC173" s="23" t="e">
        <f t="shared" ref="CC173" ca="1" si="1377">+CC223</f>
        <v>#NAME?</v>
      </c>
      <c r="CD173" s="23" t="e">
        <f ca="1">+'QTR Raw'!AX83</f>
        <v>#NAME?</v>
      </c>
      <c r="CE173" s="23" t="e">
        <f t="shared" ref="CE173" ca="1" si="1378">+CE223</f>
        <v>#NAME?</v>
      </c>
      <c r="CF173" s="23" t="e">
        <f ca="1">+'QTR Raw'!AZ83</f>
        <v>#NAME?</v>
      </c>
      <c r="CG173" s="23" t="e">
        <f t="shared" ref="CG173:CI173" ca="1" si="1379">+CG223</f>
        <v>#NAME?</v>
      </c>
      <c r="CH173" s="23" t="e">
        <f t="shared" ca="1" si="1355"/>
        <v>#NAME?</v>
      </c>
      <c r="CI173" s="23" t="e">
        <f t="shared" ca="1" si="1379"/>
        <v>#NAME?</v>
      </c>
      <c r="CJ173" s="23" t="e">
        <f ca="1">+'QTR Raw'!BD83</f>
        <v>#NAME?</v>
      </c>
      <c r="CK173" s="23" t="e">
        <f t="shared" ref="CK173:DB173" ca="1" si="1380">+CK223</f>
        <v>#NAME?</v>
      </c>
      <c r="CL173" s="23" t="e">
        <f ca="1">+'QTR Raw'!BF83</f>
        <v>#NAME?</v>
      </c>
      <c r="CM173" s="24" t="e">
        <f t="shared" ca="1" si="1380"/>
        <v>#NAME?</v>
      </c>
      <c r="CN173" s="24" t="e">
        <f t="shared" ca="1" si="1380"/>
        <v>#NAME?</v>
      </c>
      <c r="CO173" s="24" t="e">
        <f t="shared" ca="1" si="1380"/>
        <v>#NAME?</v>
      </c>
      <c r="CP173" s="24" t="e">
        <f t="shared" ca="1" si="1380"/>
        <v>#NAME?</v>
      </c>
      <c r="CQ173" s="24" t="e">
        <f t="shared" ca="1" si="1380"/>
        <v>#NAME?</v>
      </c>
      <c r="CR173" s="24" t="e">
        <f t="shared" ca="1" si="1380"/>
        <v>#NAME?</v>
      </c>
      <c r="CS173" s="24" t="e">
        <f t="shared" ca="1" si="1380"/>
        <v>#NAME?</v>
      </c>
      <c r="CT173" s="24" t="e">
        <f t="shared" ca="1" si="1380"/>
        <v>#NAME?</v>
      </c>
      <c r="CU173" s="24" t="e">
        <f t="shared" ca="1" si="1380"/>
        <v>#NAME?</v>
      </c>
      <c r="CV173" s="24" t="e">
        <f t="shared" ca="1" si="1380"/>
        <v>#NAME?</v>
      </c>
      <c r="CW173" s="24" t="e">
        <f t="shared" ca="1" si="1380"/>
        <v>#NAME?</v>
      </c>
      <c r="CX173" s="24" t="e">
        <f t="shared" ca="1" si="1380"/>
        <v>#NAME?</v>
      </c>
      <c r="CY173" s="24" t="e">
        <f t="shared" ca="1" si="1380"/>
        <v>#NAME?</v>
      </c>
      <c r="CZ173" s="24" t="e">
        <f t="shared" ca="1" si="1380"/>
        <v>#NAME?</v>
      </c>
      <c r="DA173" s="24" t="e">
        <f t="shared" ca="1" si="1380"/>
        <v>#NAME?</v>
      </c>
      <c r="DB173" s="24" t="e">
        <f t="shared" ca="1" si="1380"/>
        <v>#NAME?</v>
      </c>
      <c r="DE173" s="123"/>
      <c r="DF173" s="23">
        <v>958.6</v>
      </c>
    </row>
    <row r="174" spans="1:110" s="22" customFormat="1" x14ac:dyDescent="0.2">
      <c r="A174" s="22" t="s">
        <v>77</v>
      </c>
      <c r="B174" s="22" t="e">
        <f ca="1">B172+B173</f>
        <v>#NAME?</v>
      </c>
      <c r="C174" s="22" t="e">
        <f t="shared" ref="C174:V174" ca="1" si="1381">C172+C173</f>
        <v>#NAME?</v>
      </c>
      <c r="D174" s="22" t="e">
        <f t="shared" ca="1" si="1381"/>
        <v>#NAME?</v>
      </c>
      <c r="E174" s="22" t="e">
        <f t="shared" ca="1" si="1381"/>
        <v>#NAME?</v>
      </c>
      <c r="F174" s="22" t="e">
        <f t="shared" ca="1" si="1381"/>
        <v>#NAME?</v>
      </c>
      <c r="G174" s="22" t="e">
        <f t="shared" ca="1" si="1381"/>
        <v>#NAME?</v>
      </c>
      <c r="H174" s="22" t="e">
        <f t="shared" ca="1" si="1381"/>
        <v>#NAME?</v>
      </c>
      <c r="I174" s="22" t="e">
        <f t="shared" ca="1" si="1381"/>
        <v>#NAME?</v>
      </c>
      <c r="J174" s="22" t="e">
        <f t="shared" ca="1" si="1381"/>
        <v>#NAME?</v>
      </c>
      <c r="K174" s="22" t="e">
        <f t="shared" ca="1" si="1381"/>
        <v>#NAME?</v>
      </c>
      <c r="L174" s="22" t="e">
        <f t="shared" ca="1" si="1381"/>
        <v>#NAME?</v>
      </c>
      <c r="M174" s="22" t="e">
        <f t="shared" ca="1" si="1381"/>
        <v>#NAME?</v>
      </c>
      <c r="N174" s="22" t="e">
        <f t="shared" ca="1" si="1381"/>
        <v>#NAME?</v>
      </c>
      <c r="O174" s="22" t="e">
        <f t="shared" ca="1" si="1381"/>
        <v>#NAME?</v>
      </c>
      <c r="P174" s="22" t="e">
        <f t="shared" ca="1" si="1381"/>
        <v>#NAME?</v>
      </c>
      <c r="Q174" s="22" t="e">
        <f t="shared" ca="1" si="1381"/>
        <v>#NAME?</v>
      </c>
      <c r="R174" s="22" t="e">
        <f t="shared" ca="1" si="1381"/>
        <v>#NAME?</v>
      </c>
      <c r="S174" s="22" t="e">
        <f t="shared" ca="1" si="1381"/>
        <v>#NAME?</v>
      </c>
      <c r="T174" s="22" t="e">
        <f t="shared" ca="1" si="1381"/>
        <v>#NAME?</v>
      </c>
      <c r="U174" s="22" t="e">
        <f t="shared" ca="1" si="1381"/>
        <v>#NAME?</v>
      </c>
      <c r="V174" s="22" t="e">
        <f t="shared" ca="1" si="1381"/>
        <v>#NAME?</v>
      </c>
      <c r="W174" s="22" t="e">
        <f t="shared" ref="W174" ca="1" si="1382">W172+W173</f>
        <v>#NAME?</v>
      </c>
      <c r="X174" s="22" t="e">
        <f t="shared" ref="X174:Y174" ca="1" si="1383">X172+X173</f>
        <v>#NAME?</v>
      </c>
      <c r="Y174" s="22" t="e">
        <f t="shared" ca="1" si="1383"/>
        <v>#NAME?</v>
      </c>
      <c r="Z174" s="22" t="e">
        <f t="shared" ref="Z174:AA174" ca="1" si="1384">Z172+Z173</f>
        <v>#NAME?</v>
      </c>
      <c r="AA174" s="22" t="e">
        <f t="shared" ca="1" si="1384"/>
        <v>#NAME?</v>
      </c>
      <c r="AB174" s="21" t="e">
        <f t="shared" ref="AA174:AD174" ca="1" si="1385">AB172+AB173</f>
        <v>#NAME?</v>
      </c>
      <c r="AC174" s="21" t="e">
        <f t="shared" ca="1" si="1385"/>
        <v>#NAME?</v>
      </c>
      <c r="AD174" s="21" t="e">
        <f t="shared" ca="1" si="1385"/>
        <v>#NAME?</v>
      </c>
      <c r="AE174" s="21" t="e">
        <f t="shared" ref="AE174" ca="1" si="1386">AE172+AE173</f>
        <v>#NAME?</v>
      </c>
      <c r="AJ174" s="22" t="e">
        <f t="shared" ref="AJ174" ca="1" si="1387">AJ172+AJ173</f>
        <v>#NAME?</v>
      </c>
      <c r="AK174" s="22" t="e">
        <f t="shared" ref="AK174" ca="1" si="1388">AK172+AK173</f>
        <v>#NAME?</v>
      </c>
      <c r="AL174" s="22" t="e">
        <f t="shared" ref="AL174:AM174" ca="1" si="1389">AL172+AL173</f>
        <v>#NAME?</v>
      </c>
      <c r="AM174" s="22" t="e">
        <f t="shared" ca="1" si="1389"/>
        <v>#NAME?</v>
      </c>
      <c r="AN174" s="22" t="e">
        <f t="shared" ref="AN174:AO174" ca="1" si="1390">AN172+AN173</f>
        <v>#NAME?</v>
      </c>
      <c r="AO174" s="22" t="e">
        <f t="shared" ca="1" si="1390"/>
        <v>#NAME?</v>
      </c>
      <c r="AP174" s="22" t="e">
        <f t="shared" ref="AP174:CE174" ca="1" si="1391">AP172+AP173</f>
        <v>#NAME?</v>
      </c>
      <c r="AQ174" s="22" t="e">
        <f t="shared" ca="1" si="1391"/>
        <v>#NAME?</v>
      </c>
      <c r="AR174" s="22" t="e">
        <f t="shared" ca="1" si="1391"/>
        <v>#NAME?</v>
      </c>
      <c r="AS174" s="22" t="e">
        <f t="shared" ca="1" si="1391"/>
        <v>#NAME?</v>
      </c>
      <c r="AT174" s="22" t="e">
        <f t="shared" ca="1" si="1391"/>
        <v>#NAME?</v>
      </c>
      <c r="AU174" s="22" t="e">
        <f t="shared" ca="1" si="1391"/>
        <v>#NAME?</v>
      </c>
      <c r="AV174" s="22" t="e">
        <f t="shared" ca="1" si="1391"/>
        <v>#NAME?</v>
      </c>
      <c r="AW174" s="22" t="e">
        <f t="shared" ca="1" si="1391"/>
        <v>#NAME?</v>
      </c>
      <c r="AX174" s="22" t="e">
        <f t="shared" ca="1" si="1391"/>
        <v>#NAME?</v>
      </c>
      <c r="AY174" s="22" t="e">
        <f t="shared" ca="1" si="1391"/>
        <v>#NAME?</v>
      </c>
      <c r="AZ174" s="22" t="e">
        <f t="shared" ca="1" si="1391"/>
        <v>#NAME?</v>
      </c>
      <c r="BA174" s="22" t="e">
        <f t="shared" ca="1" si="1391"/>
        <v>#NAME?</v>
      </c>
      <c r="BB174" s="22" t="e">
        <f t="shared" ca="1" si="1391"/>
        <v>#NAME?</v>
      </c>
      <c r="BC174" s="22" t="e">
        <f t="shared" ca="1" si="1391"/>
        <v>#NAME?</v>
      </c>
      <c r="BD174" s="22" t="e">
        <f t="shared" ca="1" si="1391"/>
        <v>#NAME?</v>
      </c>
      <c r="BE174" s="22" t="e">
        <f t="shared" ca="1" si="1391"/>
        <v>#NAME?</v>
      </c>
      <c r="BF174" s="22" t="e">
        <f t="shared" ca="1" si="1391"/>
        <v>#NAME?</v>
      </c>
      <c r="BG174" s="22" t="e">
        <f t="shared" ca="1" si="1391"/>
        <v>#NAME?</v>
      </c>
      <c r="BH174" s="22" t="e">
        <f t="shared" ca="1" si="1391"/>
        <v>#NAME?</v>
      </c>
      <c r="BI174" s="22" t="e">
        <f t="shared" ca="1" si="1391"/>
        <v>#NAME?</v>
      </c>
      <c r="BJ174" s="22" t="e">
        <f t="shared" ca="1" si="1391"/>
        <v>#NAME?</v>
      </c>
      <c r="BK174" s="22" t="e">
        <f t="shared" ca="1" si="1391"/>
        <v>#NAME?</v>
      </c>
      <c r="BL174" s="22" t="e">
        <f t="shared" ca="1" si="1391"/>
        <v>#NAME?</v>
      </c>
      <c r="BM174" s="22" t="e">
        <f t="shared" ca="1" si="1391"/>
        <v>#NAME?</v>
      </c>
      <c r="BN174" s="22" t="e">
        <f t="shared" ca="1" si="1391"/>
        <v>#NAME?</v>
      </c>
      <c r="BO174" s="22" t="e">
        <f t="shared" ca="1" si="1391"/>
        <v>#NAME?</v>
      </c>
      <c r="BP174" s="22" t="e">
        <f t="shared" ca="1" si="1391"/>
        <v>#NAME?</v>
      </c>
      <c r="BQ174" s="22" t="e">
        <f t="shared" ca="1" si="1391"/>
        <v>#NAME?</v>
      </c>
      <c r="BR174" s="22" t="e">
        <f t="shared" ca="1" si="1391"/>
        <v>#NAME?</v>
      </c>
      <c r="BS174" s="22" t="e">
        <f t="shared" ca="1" si="1391"/>
        <v>#NAME?</v>
      </c>
      <c r="BT174" s="22" t="e">
        <f t="shared" ca="1" si="1391"/>
        <v>#NAME?</v>
      </c>
      <c r="BU174" s="22" t="e">
        <f t="shared" ca="1" si="1391"/>
        <v>#NAME?</v>
      </c>
      <c r="BV174" s="22" t="e">
        <f t="shared" ca="1" si="1391"/>
        <v>#NAME?</v>
      </c>
      <c r="BW174" s="22" t="e">
        <f t="shared" ca="1" si="1391"/>
        <v>#NAME?</v>
      </c>
      <c r="BX174" s="22" t="e">
        <f t="shared" ca="1" si="1391"/>
        <v>#NAME?</v>
      </c>
      <c r="BY174" s="22" t="e">
        <f t="shared" ca="1" si="1391"/>
        <v>#NAME?</v>
      </c>
      <c r="BZ174" s="22" t="e">
        <f t="shared" ca="1" si="1391"/>
        <v>#NAME?</v>
      </c>
      <c r="CA174" s="22" t="e">
        <f t="shared" ca="1" si="1391"/>
        <v>#NAME?</v>
      </c>
      <c r="CB174" s="22" t="e">
        <f t="shared" ca="1" si="1391"/>
        <v>#NAME?</v>
      </c>
      <c r="CC174" s="22" t="e">
        <f t="shared" ca="1" si="1391"/>
        <v>#NAME?</v>
      </c>
      <c r="CD174" s="22" t="e">
        <f t="shared" ca="1" si="1391"/>
        <v>#NAME?</v>
      </c>
      <c r="CE174" s="22" t="e">
        <f t="shared" ca="1" si="1391"/>
        <v>#NAME?</v>
      </c>
      <c r="CF174" s="22" t="e">
        <f t="shared" ref="CF174:CG174" ca="1" si="1392">CF172+CF173</f>
        <v>#NAME?</v>
      </c>
      <c r="CG174" s="22" t="e">
        <f t="shared" ca="1" si="1392"/>
        <v>#NAME?</v>
      </c>
      <c r="CH174" s="22" t="e">
        <f t="shared" ref="CH174:CI174" ca="1" si="1393">CH172+CH173</f>
        <v>#NAME?</v>
      </c>
      <c r="CI174" s="22" t="e">
        <f t="shared" ca="1" si="1393"/>
        <v>#NAME?</v>
      </c>
      <c r="CJ174" s="22" t="e">
        <f t="shared" ref="CJ174:DB174" ca="1" si="1394">CJ172+CJ173</f>
        <v>#NAME?</v>
      </c>
      <c r="CK174" s="22" t="e">
        <f t="shared" ca="1" si="1394"/>
        <v>#NAME?</v>
      </c>
      <c r="CL174" s="22" t="e">
        <f t="shared" ref="CL174" ca="1" si="1395">CL172+CL173</f>
        <v>#NAME?</v>
      </c>
      <c r="CM174" s="21" t="e">
        <f t="shared" ca="1" si="1394"/>
        <v>#NAME?</v>
      </c>
      <c r="CN174" s="21" t="e">
        <f t="shared" ca="1" si="1394"/>
        <v>#NAME?</v>
      </c>
      <c r="CO174" s="21" t="e">
        <f t="shared" ca="1" si="1394"/>
        <v>#NAME?</v>
      </c>
      <c r="CP174" s="21" t="e">
        <f t="shared" ca="1" si="1394"/>
        <v>#NAME?</v>
      </c>
      <c r="CQ174" s="21" t="e">
        <f t="shared" ca="1" si="1394"/>
        <v>#NAME?</v>
      </c>
      <c r="CR174" s="21" t="e">
        <f t="shared" ca="1" si="1394"/>
        <v>#NAME?</v>
      </c>
      <c r="CS174" s="21" t="e">
        <f t="shared" ca="1" si="1394"/>
        <v>#NAME?</v>
      </c>
      <c r="CT174" s="21" t="e">
        <f t="shared" ca="1" si="1394"/>
        <v>#NAME?</v>
      </c>
      <c r="CU174" s="21" t="e">
        <f t="shared" ca="1" si="1394"/>
        <v>#NAME?</v>
      </c>
      <c r="CV174" s="21" t="e">
        <f t="shared" ca="1" si="1394"/>
        <v>#NAME?</v>
      </c>
      <c r="CW174" s="21" t="e">
        <f t="shared" ca="1" si="1394"/>
        <v>#NAME?</v>
      </c>
      <c r="CX174" s="21" t="e">
        <f t="shared" ca="1" si="1394"/>
        <v>#NAME?</v>
      </c>
      <c r="CY174" s="21" t="e">
        <f t="shared" ca="1" si="1394"/>
        <v>#NAME?</v>
      </c>
      <c r="CZ174" s="21" t="e">
        <f t="shared" ca="1" si="1394"/>
        <v>#NAME?</v>
      </c>
      <c r="DA174" s="21" t="e">
        <f t="shared" ca="1" si="1394"/>
        <v>#NAME?</v>
      </c>
      <c r="DB174" s="21" t="e">
        <f t="shared" ca="1" si="1394"/>
        <v>#NAME?</v>
      </c>
      <c r="DE174" s="126"/>
      <c r="DF174" s="22">
        <v>958.6</v>
      </c>
    </row>
    <row r="175" spans="1:110" s="23" customFormat="1" x14ac:dyDescent="0.2">
      <c r="AB175" s="24"/>
      <c r="AC175" s="24"/>
      <c r="AD175" s="24"/>
      <c r="AE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</row>
    <row r="176" spans="1:110" s="23" customFormat="1" x14ac:dyDescent="0.2">
      <c r="A176" s="23" t="s">
        <v>78</v>
      </c>
      <c r="B176" s="23" t="e">
        <f ca="1">-'Annual Raw'!C49</f>
        <v>#NAME?</v>
      </c>
      <c r="C176" s="23" t="e">
        <f ca="1">-'Annual Raw'!D49</f>
        <v>#NAME?</v>
      </c>
      <c r="D176" s="23" t="e">
        <f ca="1">-'Annual Raw'!E49</f>
        <v>#NAME?</v>
      </c>
      <c r="E176" s="23" t="e">
        <f ca="1">-'Annual Raw'!F49</f>
        <v>#NAME?</v>
      </c>
      <c r="F176" s="23" t="e">
        <f ca="1">-'Annual Raw'!G49</f>
        <v>#NAME?</v>
      </c>
      <c r="G176" s="23" t="e">
        <f ca="1">-'Annual Raw'!H49</f>
        <v>#NAME?</v>
      </c>
      <c r="H176" s="23" t="e">
        <f ca="1">-'Annual Raw'!I49</f>
        <v>#NAME?</v>
      </c>
      <c r="I176" s="23" t="e">
        <f ca="1">-'Annual Raw'!J49</f>
        <v>#NAME?</v>
      </c>
      <c r="J176" s="23" t="e">
        <f ca="1">-'Annual Raw'!K49</f>
        <v>#NAME?</v>
      </c>
      <c r="K176" s="23" t="e">
        <f ca="1">-'Annual Raw'!L49</f>
        <v>#NAME?</v>
      </c>
      <c r="L176" s="23" t="e">
        <f ca="1">-'Annual Raw'!M49</f>
        <v>#NAME?</v>
      </c>
      <c r="M176" s="23" t="e">
        <f ca="1">-'Annual Raw'!N49</f>
        <v>#NAME?</v>
      </c>
      <c r="N176" s="23" t="e">
        <f ca="1">-'Annual Raw'!O49</f>
        <v>#NAME?</v>
      </c>
      <c r="O176" s="23" t="e">
        <f ca="1">-'Annual Raw'!P49</f>
        <v>#NAME?</v>
      </c>
      <c r="P176" s="23" t="e">
        <f ca="1">-'Annual Raw'!Q49</f>
        <v>#NAME?</v>
      </c>
      <c r="Q176" s="23" t="e">
        <f ca="1">-'Annual Raw'!R49</f>
        <v>#NAME?</v>
      </c>
      <c r="R176" s="23" t="e">
        <f ca="1">-'Annual Raw'!S49</f>
        <v>#NAME?</v>
      </c>
      <c r="S176" s="23" t="e">
        <f ca="1">-'Annual Raw'!T49</f>
        <v>#NAME?</v>
      </c>
      <c r="T176" s="23" t="e">
        <f ca="1">-'Annual Raw'!U49</f>
        <v>#NAME?</v>
      </c>
      <c r="U176" s="23" t="e">
        <f ca="1">-'Annual Raw'!V49</f>
        <v>#NAME?</v>
      </c>
      <c r="V176" s="23" t="e">
        <f ca="1">-'Annual Raw'!W49</f>
        <v>#NAME?</v>
      </c>
      <c r="W176" s="23" t="e">
        <f ca="1">-'Annual Raw'!X49</f>
        <v>#NAME?</v>
      </c>
      <c r="X176" s="23" t="e">
        <f ca="1">-'Annual Raw'!Y49</f>
        <v>#NAME?</v>
      </c>
      <c r="Y176" s="23" t="e">
        <f ca="1">-'Annual Raw'!Z49</f>
        <v>#NAME?</v>
      </c>
      <c r="Z176" s="23" t="e">
        <f ca="1">-'Annual Raw'!AA49</f>
        <v>#NAME?</v>
      </c>
      <c r="AA176" s="23" t="e">
        <f ca="1">-'Annual Raw'!AB49</f>
        <v>#NAME?</v>
      </c>
      <c r="AB176" s="24" t="e">
        <f t="shared" ref="AB176:AB177" ca="1" si="1396">+CP176</f>
        <v>#NAME?</v>
      </c>
      <c r="AC176" s="24" t="e">
        <f t="shared" ref="AC176:AC177" ca="1" si="1397">+CT176</f>
        <v>#NAME?</v>
      </c>
      <c r="AD176" s="24" t="e">
        <f t="shared" ref="AD176:AD177" ca="1" si="1398">+CX176</f>
        <v>#NAME?</v>
      </c>
      <c r="AE176" s="24" t="e">
        <f t="shared" ref="AE176:AE177" ca="1" si="1399">+DB176</f>
        <v>#NAME?</v>
      </c>
      <c r="AJ176" s="23" t="e">
        <f ca="1">+'QTR Raw'!D96</f>
        <v>#NAME?</v>
      </c>
      <c r="AK176" s="23" t="e">
        <f t="shared" ref="AK176:CE176" ca="1" si="1400">+AJ176</f>
        <v>#NAME?</v>
      </c>
      <c r="AL176" s="23" t="e">
        <f ca="1">+'QTR Raw'!F96</f>
        <v>#NAME?</v>
      </c>
      <c r="AM176" s="23" t="e">
        <f t="shared" ca="1" si="1400"/>
        <v>#NAME?</v>
      </c>
      <c r="AN176" s="23" t="e">
        <f ca="1">+'QTR Raw'!H96</f>
        <v>#NAME?</v>
      </c>
      <c r="AO176" s="23" t="e">
        <f t="shared" ca="1" si="1400"/>
        <v>#NAME?</v>
      </c>
      <c r="AP176" s="23" t="e">
        <f ca="1">+'QTR Raw'!J96</f>
        <v>#NAME?</v>
      </c>
      <c r="AQ176" s="23" t="e">
        <f t="shared" ca="1" si="1400"/>
        <v>#NAME?</v>
      </c>
      <c r="AR176" s="23" t="e">
        <f ca="1">+'QTR Raw'!L96</f>
        <v>#NAME?</v>
      </c>
      <c r="AS176" s="23" t="e">
        <f t="shared" ca="1" si="1400"/>
        <v>#NAME?</v>
      </c>
      <c r="AT176" s="23" t="e">
        <f ca="1">+'QTR Raw'!N96</f>
        <v>#NAME?</v>
      </c>
      <c r="AU176" s="23" t="e">
        <f t="shared" ca="1" si="1400"/>
        <v>#NAME?</v>
      </c>
      <c r="AV176" s="23" t="e">
        <f ca="1">+'QTR Raw'!P96</f>
        <v>#NAME?</v>
      </c>
      <c r="AW176" s="23" t="e">
        <f t="shared" ca="1" si="1400"/>
        <v>#NAME?</v>
      </c>
      <c r="AX176" s="23" t="e">
        <f ca="1">+'QTR Raw'!R96</f>
        <v>#NAME?</v>
      </c>
      <c r="AY176" s="23" t="e">
        <f t="shared" ca="1" si="1400"/>
        <v>#NAME?</v>
      </c>
      <c r="AZ176" s="23" t="e">
        <f ca="1">+'QTR Raw'!T96</f>
        <v>#NAME?</v>
      </c>
      <c r="BA176" s="23" t="e">
        <f t="shared" ca="1" si="1400"/>
        <v>#NAME?</v>
      </c>
      <c r="BB176" s="23" t="e">
        <f ca="1">+'QTR Raw'!V96</f>
        <v>#NAME?</v>
      </c>
      <c r="BC176" s="23" t="e">
        <f t="shared" ca="1" si="1400"/>
        <v>#NAME?</v>
      </c>
      <c r="BD176" s="23" t="e">
        <f ca="1">+'QTR Raw'!X96</f>
        <v>#NAME?</v>
      </c>
      <c r="BE176" s="23" t="e">
        <f t="shared" ca="1" si="1400"/>
        <v>#NAME?</v>
      </c>
      <c r="BF176" s="23" t="e">
        <f ca="1">+'QTR Raw'!Z96</f>
        <v>#NAME?</v>
      </c>
      <c r="BG176" s="23" t="e">
        <f t="shared" ca="1" si="1400"/>
        <v>#NAME?</v>
      </c>
      <c r="BH176" s="23" t="e">
        <f ca="1">+'QTR Raw'!AB96</f>
        <v>#NAME?</v>
      </c>
      <c r="BI176" s="23" t="e">
        <f t="shared" ca="1" si="1400"/>
        <v>#NAME?</v>
      </c>
      <c r="BJ176" s="23" t="e">
        <f ca="1">+'QTR Raw'!AD96</f>
        <v>#NAME?</v>
      </c>
      <c r="BK176" s="23" t="e">
        <f t="shared" ca="1" si="1400"/>
        <v>#NAME?</v>
      </c>
      <c r="BL176" s="23" t="e">
        <f ca="1">+'QTR Raw'!AF96</f>
        <v>#NAME?</v>
      </c>
      <c r="BM176" s="23" t="e">
        <f t="shared" ca="1" si="1400"/>
        <v>#NAME?</v>
      </c>
      <c r="BN176" s="23" t="e">
        <f ca="1">+'QTR Raw'!AH96</f>
        <v>#NAME?</v>
      </c>
      <c r="BO176" s="23" t="e">
        <f t="shared" ca="1" si="1400"/>
        <v>#NAME?</v>
      </c>
      <c r="BP176" s="23" t="e">
        <f ca="1">+'QTR Raw'!AJ96</f>
        <v>#NAME?</v>
      </c>
      <c r="BQ176" s="23" t="e">
        <f t="shared" ca="1" si="1400"/>
        <v>#NAME?</v>
      </c>
      <c r="BR176" s="23" t="e">
        <f ca="1">+'QTR Raw'!AL96</f>
        <v>#NAME?</v>
      </c>
      <c r="BS176" s="23" t="e">
        <f t="shared" ca="1" si="1400"/>
        <v>#NAME?</v>
      </c>
      <c r="BT176" s="23" t="e">
        <f ca="1">+'QTR Raw'!AN96</f>
        <v>#NAME?</v>
      </c>
      <c r="BU176" s="23" t="e">
        <f t="shared" ca="1" si="1400"/>
        <v>#NAME?</v>
      </c>
      <c r="BV176" s="23" t="e">
        <f ca="1">+'QTR Raw'!AP96</f>
        <v>#NAME?</v>
      </c>
      <c r="BW176" s="23" t="e">
        <f t="shared" ca="1" si="1400"/>
        <v>#NAME?</v>
      </c>
      <c r="BX176" s="23" t="e">
        <f ca="1">+'QTR Raw'!AR96</f>
        <v>#NAME?</v>
      </c>
      <c r="BY176" s="23" t="e">
        <f t="shared" ca="1" si="1400"/>
        <v>#NAME?</v>
      </c>
      <c r="BZ176" s="23" t="e">
        <f ca="1">+'QTR Raw'!AT96</f>
        <v>#NAME?</v>
      </c>
      <c r="CA176" s="23" t="e">
        <f t="shared" ca="1" si="1400"/>
        <v>#NAME?</v>
      </c>
      <c r="CB176" s="23" t="e">
        <f ca="1">+'QTR Raw'!AV96</f>
        <v>#NAME?</v>
      </c>
      <c r="CC176" s="23" t="e">
        <f t="shared" ca="1" si="1400"/>
        <v>#NAME?</v>
      </c>
      <c r="CD176" s="23" t="e">
        <f ca="1">+'QTR Raw'!AX96</f>
        <v>#NAME?</v>
      </c>
      <c r="CE176" s="23" t="e">
        <f t="shared" ca="1" si="1400"/>
        <v>#NAME?</v>
      </c>
      <c r="CF176" s="23" t="e">
        <f ca="1">+'QTR Raw'!AZ96</f>
        <v>#NAME?</v>
      </c>
      <c r="CG176" s="23" t="e">
        <f t="shared" ref="CG176:CI177" ca="1" si="1401">+CF176</f>
        <v>#NAME?</v>
      </c>
      <c r="CH176" s="23" t="e">
        <f t="shared" ref="CH176:CH177" ca="1" si="1402">Z176</f>
        <v>#NAME?</v>
      </c>
      <c r="CI176" s="23" t="e">
        <f t="shared" ca="1" si="1401"/>
        <v>#NAME?</v>
      </c>
      <c r="CJ176" s="23" t="e">
        <f ca="1">+'QTR Raw'!BD96</f>
        <v>#NAME?</v>
      </c>
      <c r="CK176" s="23" t="e">
        <f t="shared" ref="CK176:CK177" ca="1" si="1403">+CJ176</f>
        <v>#NAME?</v>
      </c>
      <c r="CL176" s="23" t="e">
        <f ca="1">+'QTR Raw'!BF96</f>
        <v>#NAME?</v>
      </c>
      <c r="CM176" s="24" t="e">
        <f t="shared" ref="CM176:CM177" ca="1" si="1404">+CL176</f>
        <v>#NAME?</v>
      </c>
      <c r="CN176" s="24" t="e">
        <f t="shared" ref="CN176:CN177" ca="1" si="1405">+CM176</f>
        <v>#NAME?</v>
      </c>
      <c r="CO176" s="24" t="e">
        <f t="shared" ref="CO176:CO177" ca="1" si="1406">+CN176</f>
        <v>#NAME?</v>
      </c>
      <c r="CP176" s="24" t="e">
        <f t="shared" ref="CP176:CP177" ca="1" si="1407">+CO176</f>
        <v>#NAME?</v>
      </c>
      <c r="CQ176" s="24" t="e">
        <f t="shared" ref="CQ176:CQ177" ca="1" si="1408">+CP176</f>
        <v>#NAME?</v>
      </c>
      <c r="CR176" s="24" t="e">
        <f t="shared" ref="CR176:CR177" ca="1" si="1409">+CQ176</f>
        <v>#NAME?</v>
      </c>
      <c r="CS176" s="24" t="e">
        <f t="shared" ref="CS176:CS177" ca="1" si="1410">+CR176</f>
        <v>#NAME?</v>
      </c>
      <c r="CT176" s="24" t="e">
        <f t="shared" ref="CT176:CT177" ca="1" si="1411">+CS176</f>
        <v>#NAME?</v>
      </c>
      <c r="CU176" s="24" t="e">
        <f t="shared" ref="CU176:CU177" ca="1" si="1412">+CT176</f>
        <v>#NAME?</v>
      </c>
      <c r="CV176" s="24" t="e">
        <f t="shared" ref="CV176:CV177" ca="1" si="1413">+CU176</f>
        <v>#NAME?</v>
      </c>
      <c r="CW176" s="24" t="e">
        <f t="shared" ref="CW176:CW177" ca="1" si="1414">+CV176</f>
        <v>#NAME?</v>
      </c>
      <c r="CX176" s="24" t="e">
        <f t="shared" ref="CX176:CX177" ca="1" si="1415">+CW176</f>
        <v>#NAME?</v>
      </c>
      <c r="CY176" s="24" t="e">
        <f t="shared" ref="CY176:CY177" ca="1" si="1416">+CX176</f>
        <v>#NAME?</v>
      </c>
      <c r="CZ176" s="24" t="e">
        <f t="shared" ref="CZ176:CZ177" ca="1" si="1417">+CY176</f>
        <v>#NAME?</v>
      </c>
      <c r="DA176" s="24" t="e">
        <f t="shared" ref="DA176:DA177" ca="1" si="1418">+CZ176</f>
        <v>#NAME?</v>
      </c>
      <c r="DB176" s="24" t="e">
        <f t="shared" ref="DB176:DB177" ca="1" si="1419">+DA176</f>
        <v>#NAME?</v>
      </c>
      <c r="DE176" s="123"/>
      <c r="DF176" s="23">
        <v>-3433.67</v>
      </c>
    </row>
    <row r="177" spans="1:110" s="23" customFormat="1" x14ac:dyDescent="0.2">
      <c r="A177" s="23" t="s">
        <v>79</v>
      </c>
      <c r="B177" s="23" t="e">
        <f ca="1">'Annual Raw'!C83</f>
        <v>#NAME?</v>
      </c>
      <c r="C177" s="23" t="e">
        <f ca="1">'Annual Raw'!D83</f>
        <v>#NAME?</v>
      </c>
      <c r="D177" s="23" t="e">
        <f ca="1">'Annual Raw'!E83</f>
        <v>#NAME?</v>
      </c>
      <c r="E177" s="23" t="e">
        <f ca="1">'Annual Raw'!F83</f>
        <v>#NAME?</v>
      </c>
      <c r="F177" s="23" t="e">
        <f ca="1">'Annual Raw'!G83</f>
        <v>#NAME?</v>
      </c>
      <c r="G177" s="23" t="e">
        <f ca="1">'Annual Raw'!H83</f>
        <v>#NAME?</v>
      </c>
      <c r="H177" s="23" t="e">
        <f ca="1">'Annual Raw'!I83</f>
        <v>#NAME?</v>
      </c>
      <c r="I177" s="23" t="e">
        <f ca="1">'Annual Raw'!J83</f>
        <v>#NAME?</v>
      </c>
      <c r="J177" s="23" t="e">
        <f ca="1">'Annual Raw'!K83</f>
        <v>#NAME?</v>
      </c>
      <c r="K177" s="23" t="e">
        <f ca="1">'Annual Raw'!L83</f>
        <v>#NAME?</v>
      </c>
      <c r="L177" s="23" t="e">
        <f ca="1">'Annual Raw'!M83</f>
        <v>#NAME?</v>
      </c>
      <c r="M177" s="23" t="e">
        <f ca="1">'Annual Raw'!N83</f>
        <v>#NAME?</v>
      </c>
      <c r="N177" s="23" t="e">
        <f ca="1">'Annual Raw'!O83</f>
        <v>#NAME?</v>
      </c>
      <c r="O177" s="23" t="e">
        <f ca="1">'Annual Raw'!P83</f>
        <v>#NAME?</v>
      </c>
      <c r="P177" s="23" t="e">
        <f ca="1">'Annual Raw'!Q83</f>
        <v>#NAME?</v>
      </c>
      <c r="Q177" s="23" t="e">
        <f ca="1">'Annual Raw'!R83</f>
        <v>#NAME?</v>
      </c>
      <c r="R177" s="23" t="e">
        <f ca="1">'Annual Raw'!S83</f>
        <v>#NAME?</v>
      </c>
      <c r="S177" s="23" t="e">
        <f ca="1">'Annual Raw'!T83</f>
        <v>#NAME?</v>
      </c>
      <c r="T177" s="23" t="e">
        <f ca="1">'Annual Raw'!U83</f>
        <v>#NAME?</v>
      </c>
      <c r="U177" s="23" t="e">
        <f ca="1">'Annual Raw'!V83</f>
        <v>#NAME?</v>
      </c>
      <c r="V177" s="23" t="e">
        <f ca="1">'Annual Raw'!W83</f>
        <v>#NAME?</v>
      </c>
      <c r="W177" s="23" t="e">
        <f ca="1">'Annual Raw'!X83</f>
        <v>#NAME?</v>
      </c>
      <c r="X177" s="23" t="e">
        <f ca="1">'Annual Raw'!Y83</f>
        <v>#NAME?</v>
      </c>
      <c r="Y177" s="23" t="e">
        <f ca="1">'Annual Raw'!Z83</f>
        <v>#NAME?</v>
      </c>
      <c r="Z177" s="23" t="e">
        <f ca="1">'Annual Raw'!AA83</f>
        <v>#NAME?</v>
      </c>
      <c r="AA177" s="23" t="e">
        <f ca="1">'Annual Raw'!AB83</f>
        <v>#NAME?</v>
      </c>
      <c r="AB177" s="24" t="e">
        <f t="shared" ca="1" si="1396"/>
        <v>#NAME?</v>
      </c>
      <c r="AC177" s="24" t="e">
        <f t="shared" ca="1" si="1397"/>
        <v>#NAME?</v>
      </c>
      <c r="AD177" s="24" t="e">
        <f t="shared" ca="1" si="1398"/>
        <v>#NAME?</v>
      </c>
      <c r="AE177" s="24" t="e">
        <f t="shared" ca="1" si="1399"/>
        <v>#NAME?</v>
      </c>
      <c r="AJ177" s="23" t="e">
        <f ca="1">+'QTR Raw'!D95</f>
        <v>#NAME?</v>
      </c>
      <c r="AK177" s="23" t="e">
        <f t="shared" ref="AK177:CE177" ca="1" si="1420">+AJ177</f>
        <v>#NAME?</v>
      </c>
      <c r="AL177" s="23" t="e">
        <f ca="1">+'QTR Raw'!F95</f>
        <v>#NAME?</v>
      </c>
      <c r="AM177" s="23" t="e">
        <f t="shared" ca="1" si="1420"/>
        <v>#NAME?</v>
      </c>
      <c r="AN177" s="23" t="e">
        <f ca="1">+'QTR Raw'!H95</f>
        <v>#NAME?</v>
      </c>
      <c r="AO177" s="23" t="e">
        <f t="shared" ca="1" si="1420"/>
        <v>#NAME?</v>
      </c>
      <c r="AP177" s="23" t="e">
        <f ca="1">+'QTR Raw'!J95</f>
        <v>#NAME?</v>
      </c>
      <c r="AQ177" s="23" t="e">
        <f t="shared" ca="1" si="1420"/>
        <v>#NAME?</v>
      </c>
      <c r="AR177" s="23" t="e">
        <f ca="1">+'QTR Raw'!L95</f>
        <v>#NAME?</v>
      </c>
      <c r="AS177" s="23" t="e">
        <f t="shared" ca="1" si="1420"/>
        <v>#NAME?</v>
      </c>
      <c r="AT177" s="23" t="e">
        <f ca="1">+'QTR Raw'!N95</f>
        <v>#NAME?</v>
      </c>
      <c r="AU177" s="23" t="e">
        <f t="shared" ca="1" si="1420"/>
        <v>#NAME?</v>
      </c>
      <c r="AV177" s="23" t="e">
        <f ca="1">+'QTR Raw'!P95</f>
        <v>#NAME?</v>
      </c>
      <c r="AW177" s="23" t="e">
        <f t="shared" ca="1" si="1420"/>
        <v>#NAME?</v>
      </c>
      <c r="AX177" s="23" t="e">
        <f ca="1">+'QTR Raw'!R95</f>
        <v>#NAME?</v>
      </c>
      <c r="AY177" s="23" t="e">
        <f t="shared" ca="1" si="1420"/>
        <v>#NAME?</v>
      </c>
      <c r="AZ177" s="23" t="e">
        <f ca="1">+'QTR Raw'!T95</f>
        <v>#NAME?</v>
      </c>
      <c r="BA177" s="23" t="e">
        <f t="shared" ca="1" si="1420"/>
        <v>#NAME?</v>
      </c>
      <c r="BB177" s="23" t="e">
        <f ca="1">+'QTR Raw'!V95</f>
        <v>#NAME?</v>
      </c>
      <c r="BC177" s="23" t="e">
        <f t="shared" ca="1" si="1420"/>
        <v>#NAME?</v>
      </c>
      <c r="BD177" s="23" t="e">
        <f ca="1">+'QTR Raw'!X95</f>
        <v>#NAME?</v>
      </c>
      <c r="BE177" s="23" t="e">
        <f t="shared" ca="1" si="1420"/>
        <v>#NAME?</v>
      </c>
      <c r="BF177" s="23" t="e">
        <f ca="1">+'QTR Raw'!Z95</f>
        <v>#NAME?</v>
      </c>
      <c r="BG177" s="23" t="e">
        <f t="shared" ca="1" si="1420"/>
        <v>#NAME?</v>
      </c>
      <c r="BH177" s="23" t="e">
        <f ca="1">+'QTR Raw'!AB95</f>
        <v>#NAME?</v>
      </c>
      <c r="BI177" s="23" t="e">
        <f t="shared" ca="1" si="1420"/>
        <v>#NAME?</v>
      </c>
      <c r="BJ177" s="23" t="e">
        <f ca="1">+'QTR Raw'!AD95</f>
        <v>#NAME?</v>
      </c>
      <c r="BK177" s="23" t="e">
        <f t="shared" ca="1" si="1420"/>
        <v>#NAME?</v>
      </c>
      <c r="BL177" s="23" t="e">
        <f ca="1">+'QTR Raw'!AF95</f>
        <v>#NAME?</v>
      </c>
      <c r="BM177" s="23" t="e">
        <f t="shared" ca="1" si="1420"/>
        <v>#NAME?</v>
      </c>
      <c r="BN177" s="23" t="e">
        <f ca="1">+'QTR Raw'!AH95</f>
        <v>#NAME?</v>
      </c>
      <c r="BO177" s="23" t="e">
        <f t="shared" ca="1" si="1420"/>
        <v>#NAME?</v>
      </c>
      <c r="BP177" s="23" t="e">
        <f ca="1">+'QTR Raw'!AJ95</f>
        <v>#NAME?</v>
      </c>
      <c r="BQ177" s="23" t="e">
        <f t="shared" ca="1" si="1420"/>
        <v>#NAME?</v>
      </c>
      <c r="BR177" s="23" t="e">
        <f ca="1">+'QTR Raw'!AL95</f>
        <v>#NAME?</v>
      </c>
      <c r="BS177" s="23" t="e">
        <f t="shared" ca="1" si="1420"/>
        <v>#NAME?</v>
      </c>
      <c r="BT177" s="23" t="e">
        <f ca="1">+'QTR Raw'!AN95</f>
        <v>#NAME?</v>
      </c>
      <c r="BU177" s="23" t="e">
        <f t="shared" ca="1" si="1420"/>
        <v>#NAME?</v>
      </c>
      <c r="BV177" s="23" t="e">
        <f ca="1">+'QTR Raw'!AP95</f>
        <v>#NAME?</v>
      </c>
      <c r="BW177" s="23" t="e">
        <f t="shared" ca="1" si="1420"/>
        <v>#NAME?</v>
      </c>
      <c r="BX177" s="23" t="e">
        <f ca="1">+'QTR Raw'!AR95</f>
        <v>#NAME?</v>
      </c>
      <c r="BY177" s="23" t="e">
        <f t="shared" ca="1" si="1420"/>
        <v>#NAME?</v>
      </c>
      <c r="BZ177" s="23" t="e">
        <f ca="1">+'QTR Raw'!AT95</f>
        <v>#NAME?</v>
      </c>
      <c r="CA177" s="23" t="e">
        <f t="shared" ca="1" si="1420"/>
        <v>#NAME?</v>
      </c>
      <c r="CB177" s="23" t="e">
        <f ca="1">+'QTR Raw'!AV95</f>
        <v>#NAME?</v>
      </c>
      <c r="CC177" s="23" t="e">
        <f t="shared" ca="1" si="1420"/>
        <v>#NAME?</v>
      </c>
      <c r="CD177" s="23" t="e">
        <f ca="1">+'QTR Raw'!AX95</f>
        <v>#NAME?</v>
      </c>
      <c r="CE177" s="23" t="e">
        <f t="shared" ca="1" si="1420"/>
        <v>#NAME?</v>
      </c>
      <c r="CF177" s="23" t="e">
        <f ca="1">+'QTR Raw'!AZ95</f>
        <v>#NAME?</v>
      </c>
      <c r="CG177" s="23" t="e">
        <f t="shared" ca="1" si="1401"/>
        <v>#NAME?</v>
      </c>
      <c r="CH177" s="23" t="e">
        <f t="shared" ca="1" si="1402"/>
        <v>#NAME?</v>
      </c>
      <c r="CI177" s="23" t="e">
        <f t="shared" ca="1" si="1401"/>
        <v>#NAME?</v>
      </c>
      <c r="CJ177" s="23" t="e">
        <f ca="1">+'QTR Raw'!BD95</f>
        <v>#NAME?</v>
      </c>
      <c r="CK177" s="23" t="e">
        <f t="shared" ca="1" si="1403"/>
        <v>#NAME?</v>
      </c>
      <c r="CL177" s="23" t="e">
        <f ca="1">+'QTR Raw'!BF95</f>
        <v>#NAME?</v>
      </c>
      <c r="CM177" s="24" t="e">
        <f t="shared" ca="1" si="1404"/>
        <v>#NAME?</v>
      </c>
      <c r="CN177" s="24" t="e">
        <f t="shared" ca="1" si="1405"/>
        <v>#NAME?</v>
      </c>
      <c r="CO177" s="24" t="e">
        <f t="shared" ca="1" si="1406"/>
        <v>#NAME?</v>
      </c>
      <c r="CP177" s="24" t="e">
        <f t="shared" ca="1" si="1407"/>
        <v>#NAME?</v>
      </c>
      <c r="CQ177" s="24" t="e">
        <f t="shared" ca="1" si="1408"/>
        <v>#NAME?</v>
      </c>
      <c r="CR177" s="24" t="e">
        <f t="shared" ca="1" si="1409"/>
        <v>#NAME?</v>
      </c>
      <c r="CS177" s="24" t="e">
        <f t="shared" ca="1" si="1410"/>
        <v>#NAME?</v>
      </c>
      <c r="CT177" s="24" t="e">
        <f t="shared" ca="1" si="1411"/>
        <v>#NAME?</v>
      </c>
      <c r="CU177" s="24" t="e">
        <f t="shared" ca="1" si="1412"/>
        <v>#NAME?</v>
      </c>
      <c r="CV177" s="24" t="e">
        <f t="shared" ca="1" si="1413"/>
        <v>#NAME?</v>
      </c>
      <c r="CW177" s="24" t="e">
        <f t="shared" ca="1" si="1414"/>
        <v>#NAME?</v>
      </c>
      <c r="CX177" s="24" t="e">
        <f t="shared" ca="1" si="1415"/>
        <v>#NAME?</v>
      </c>
      <c r="CY177" s="24" t="e">
        <f t="shared" ca="1" si="1416"/>
        <v>#NAME?</v>
      </c>
      <c r="CZ177" s="24" t="e">
        <f t="shared" ca="1" si="1417"/>
        <v>#NAME?</v>
      </c>
      <c r="DA177" s="24" t="e">
        <f t="shared" ca="1" si="1418"/>
        <v>#NAME?</v>
      </c>
      <c r="DB177" s="24" t="e">
        <f t="shared" ca="1" si="1419"/>
        <v>#NAME?</v>
      </c>
      <c r="DE177" s="123"/>
      <c r="DF177" s="23">
        <v>0</v>
      </c>
    </row>
    <row r="178" spans="1:110" s="26" customFormat="1" x14ac:dyDescent="0.2">
      <c r="A178" s="26" t="s">
        <v>438</v>
      </c>
      <c r="B178" s="26" t="e">
        <f t="shared" ref="B178:W178" ca="1" si="1421">B176+B174+B170+B153+B151+B177</f>
        <v>#NAME?</v>
      </c>
      <c r="C178" s="26" t="e">
        <f t="shared" ca="1" si="1421"/>
        <v>#NAME?</v>
      </c>
      <c r="D178" s="26" t="e">
        <f t="shared" ca="1" si="1421"/>
        <v>#NAME?</v>
      </c>
      <c r="E178" s="26" t="e">
        <f t="shared" ca="1" si="1421"/>
        <v>#NAME?</v>
      </c>
      <c r="F178" s="26" t="e">
        <f t="shared" ca="1" si="1421"/>
        <v>#NAME?</v>
      </c>
      <c r="G178" s="26" t="e">
        <f t="shared" ca="1" si="1421"/>
        <v>#NAME?</v>
      </c>
      <c r="H178" s="26" t="e">
        <f t="shared" ca="1" si="1421"/>
        <v>#NAME?</v>
      </c>
      <c r="I178" s="26" t="e">
        <f t="shared" ca="1" si="1421"/>
        <v>#NAME?</v>
      </c>
      <c r="J178" s="26" t="e">
        <f t="shared" ca="1" si="1421"/>
        <v>#NAME?</v>
      </c>
      <c r="K178" s="26" t="e">
        <f t="shared" ca="1" si="1421"/>
        <v>#NAME?</v>
      </c>
      <c r="L178" s="26" t="e">
        <f t="shared" ca="1" si="1421"/>
        <v>#NAME?</v>
      </c>
      <c r="M178" s="26" t="e">
        <f t="shared" ca="1" si="1421"/>
        <v>#NAME?</v>
      </c>
      <c r="N178" s="26" t="e">
        <f t="shared" ca="1" si="1421"/>
        <v>#NAME?</v>
      </c>
      <c r="O178" s="26" t="e">
        <f t="shared" ca="1" si="1421"/>
        <v>#NAME?</v>
      </c>
      <c r="P178" s="26" t="e">
        <f t="shared" ca="1" si="1421"/>
        <v>#NAME?</v>
      </c>
      <c r="Q178" s="26" t="e">
        <f t="shared" ca="1" si="1421"/>
        <v>#NAME?</v>
      </c>
      <c r="R178" s="26" t="e">
        <f t="shared" ca="1" si="1421"/>
        <v>#NAME?</v>
      </c>
      <c r="S178" s="26" t="e">
        <f t="shared" ca="1" si="1421"/>
        <v>#NAME?</v>
      </c>
      <c r="T178" s="26" t="e">
        <f t="shared" ca="1" si="1421"/>
        <v>#NAME?</v>
      </c>
      <c r="U178" s="26" t="e">
        <f t="shared" ca="1" si="1421"/>
        <v>#NAME?</v>
      </c>
      <c r="V178" s="26" t="e">
        <f t="shared" ca="1" si="1421"/>
        <v>#NAME?</v>
      </c>
      <c r="W178" s="26" t="e">
        <f t="shared" ca="1" si="1421"/>
        <v>#NAME?</v>
      </c>
      <c r="X178" s="26" t="e">
        <f t="shared" ref="X178:Y178" ca="1" si="1422">X176+X174+X170+X153+X151+X177</f>
        <v>#NAME?</v>
      </c>
      <c r="Y178" s="26" t="e">
        <f t="shared" ca="1" si="1422"/>
        <v>#NAME?</v>
      </c>
      <c r="Z178" s="26" t="e">
        <f t="shared" ref="Z178:AA178" ca="1" si="1423">Z176+Z174+Z170+Z153+Z151+Z177</f>
        <v>#NAME?</v>
      </c>
      <c r="AA178" s="26" t="e">
        <f t="shared" ca="1" si="1423"/>
        <v>#NAME?</v>
      </c>
      <c r="AB178" s="27" t="e">
        <f t="shared" ref="AA178:AD178" ca="1" si="1424">AB176+AB174+AB170+AB153+AB151+AB177</f>
        <v>#NAME?</v>
      </c>
      <c r="AC178" s="27" t="e">
        <f t="shared" ca="1" si="1424"/>
        <v>#NAME?</v>
      </c>
      <c r="AD178" s="27" t="e">
        <f t="shared" ca="1" si="1424"/>
        <v>#NAME?</v>
      </c>
      <c r="AE178" s="27" t="e">
        <f t="shared" ref="AE178" ca="1" si="1425">AE176+AE174+AE170+AE153+AE151+AE177</f>
        <v>#NAME?</v>
      </c>
      <c r="AJ178" s="26" t="e">
        <f t="shared" ref="AJ178" ca="1" si="1426">AJ176+AJ174+AJ170+AJ153+AJ151+AJ177</f>
        <v>#NAME?</v>
      </c>
      <c r="AK178" s="26" t="e">
        <f t="shared" ref="AK178:AL178" ca="1" si="1427">AK176+AK174+AK170+AK153+AK151+AK177</f>
        <v>#NAME?</v>
      </c>
      <c r="AL178" s="26" t="e">
        <f t="shared" ca="1" si="1427"/>
        <v>#NAME?</v>
      </c>
      <c r="AM178" s="26" t="e">
        <f t="shared" ref="AM178:AO178" ca="1" si="1428">AM176+AM174+AM170+AM153+AM151+AM177</f>
        <v>#NAME?</v>
      </c>
      <c r="AN178" s="26" t="e">
        <f t="shared" ca="1" si="1428"/>
        <v>#NAME?</v>
      </c>
      <c r="AO178" s="26" t="e">
        <f t="shared" ca="1" si="1428"/>
        <v>#NAME?</v>
      </c>
      <c r="AP178" s="26" t="e">
        <f t="shared" ref="AP178:CE178" ca="1" si="1429">AP176+AP174+AP170+AP153+AP151+AP177</f>
        <v>#NAME?</v>
      </c>
      <c r="AQ178" s="26" t="e">
        <f t="shared" ca="1" si="1429"/>
        <v>#NAME?</v>
      </c>
      <c r="AR178" s="26" t="e">
        <f t="shared" ca="1" si="1429"/>
        <v>#NAME?</v>
      </c>
      <c r="AS178" s="26" t="e">
        <f t="shared" ca="1" si="1429"/>
        <v>#NAME?</v>
      </c>
      <c r="AT178" s="26" t="e">
        <f t="shared" ca="1" si="1429"/>
        <v>#NAME?</v>
      </c>
      <c r="AU178" s="26" t="e">
        <f t="shared" ca="1" si="1429"/>
        <v>#NAME?</v>
      </c>
      <c r="AV178" s="26" t="e">
        <f t="shared" ca="1" si="1429"/>
        <v>#NAME?</v>
      </c>
      <c r="AW178" s="26" t="e">
        <f t="shared" ca="1" si="1429"/>
        <v>#NAME?</v>
      </c>
      <c r="AX178" s="26" t="e">
        <f t="shared" ca="1" si="1429"/>
        <v>#NAME?</v>
      </c>
      <c r="AY178" s="26" t="e">
        <f t="shared" ca="1" si="1429"/>
        <v>#NAME?</v>
      </c>
      <c r="AZ178" s="26" t="e">
        <f t="shared" ca="1" si="1429"/>
        <v>#NAME?</v>
      </c>
      <c r="BA178" s="26" t="e">
        <f t="shared" ca="1" si="1429"/>
        <v>#NAME?</v>
      </c>
      <c r="BB178" s="26" t="e">
        <f t="shared" ca="1" si="1429"/>
        <v>#NAME?</v>
      </c>
      <c r="BC178" s="26" t="e">
        <f t="shared" ca="1" si="1429"/>
        <v>#NAME?</v>
      </c>
      <c r="BD178" s="26" t="e">
        <f t="shared" ca="1" si="1429"/>
        <v>#NAME?</v>
      </c>
      <c r="BE178" s="26" t="e">
        <f t="shared" ca="1" si="1429"/>
        <v>#NAME?</v>
      </c>
      <c r="BF178" s="26" t="e">
        <f t="shared" ca="1" si="1429"/>
        <v>#NAME?</v>
      </c>
      <c r="BG178" s="26" t="e">
        <f t="shared" ca="1" si="1429"/>
        <v>#NAME?</v>
      </c>
      <c r="BH178" s="26" t="e">
        <f t="shared" ref="BH178" ca="1" si="1430">BH176+BH174+BH170+BH153+BH151+BH177</f>
        <v>#NAME?</v>
      </c>
      <c r="BI178" s="26" t="e">
        <f t="shared" ca="1" si="1429"/>
        <v>#NAME?</v>
      </c>
      <c r="BJ178" s="26" t="e">
        <f t="shared" ca="1" si="1429"/>
        <v>#NAME?</v>
      </c>
      <c r="BK178" s="26" t="e">
        <f t="shared" ca="1" si="1429"/>
        <v>#NAME?</v>
      </c>
      <c r="BL178" s="26" t="e">
        <f t="shared" ca="1" si="1429"/>
        <v>#NAME?</v>
      </c>
      <c r="BM178" s="26" t="e">
        <f t="shared" ca="1" si="1429"/>
        <v>#NAME?</v>
      </c>
      <c r="BN178" s="26" t="e">
        <f t="shared" ca="1" si="1429"/>
        <v>#NAME?</v>
      </c>
      <c r="BO178" s="26" t="e">
        <f t="shared" ca="1" si="1429"/>
        <v>#NAME?</v>
      </c>
      <c r="BP178" s="26" t="e">
        <f t="shared" ca="1" si="1429"/>
        <v>#NAME?</v>
      </c>
      <c r="BQ178" s="26" t="e">
        <f t="shared" ca="1" si="1429"/>
        <v>#NAME?</v>
      </c>
      <c r="BR178" s="26" t="e">
        <f t="shared" ca="1" si="1429"/>
        <v>#NAME?</v>
      </c>
      <c r="BS178" s="26" t="e">
        <f t="shared" ca="1" si="1429"/>
        <v>#NAME?</v>
      </c>
      <c r="BT178" s="26" t="e">
        <f t="shared" ca="1" si="1429"/>
        <v>#NAME?</v>
      </c>
      <c r="BU178" s="26" t="e">
        <f t="shared" ca="1" si="1429"/>
        <v>#NAME?</v>
      </c>
      <c r="BV178" s="26" t="e">
        <f t="shared" ca="1" si="1429"/>
        <v>#NAME?</v>
      </c>
      <c r="BW178" s="26" t="e">
        <f t="shared" ca="1" si="1429"/>
        <v>#NAME?</v>
      </c>
      <c r="BX178" s="26" t="e">
        <f t="shared" ca="1" si="1429"/>
        <v>#NAME?</v>
      </c>
      <c r="BY178" s="26" t="e">
        <f t="shared" ca="1" si="1429"/>
        <v>#NAME?</v>
      </c>
      <c r="BZ178" s="26" t="e">
        <f t="shared" ca="1" si="1429"/>
        <v>#NAME?</v>
      </c>
      <c r="CA178" s="26" t="e">
        <f t="shared" ca="1" si="1429"/>
        <v>#NAME?</v>
      </c>
      <c r="CB178" s="26" t="e">
        <f t="shared" ca="1" si="1429"/>
        <v>#NAME?</v>
      </c>
      <c r="CC178" s="26" t="e">
        <f t="shared" ca="1" si="1429"/>
        <v>#NAME?</v>
      </c>
      <c r="CD178" s="26" t="e">
        <f t="shared" ca="1" si="1429"/>
        <v>#NAME?</v>
      </c>
      <c r="CE178" s="26" t="e">
        <f t="shared" ca="1" si="1429"/>
        <v>#NAME?</v>
      </c>
      <c r="CF178" s="26" t="e">
        <f t="shared" ref="CF178:CG178" ca="1" si="1431">CF176+CF174+CF170+CF153+CF151+CF177</f>
        <v>#NAME?</v>
      </c>
      <c r="CG178" s="26" t="e">
        <f t="shared" ca="1" si="1431"/>
        <v>#NAME?</v>
      </c>
      <c r="CH178" s="26" t="e">
        <f t="shared" ref="CH178:CI178" ca="1" si="1432">CH176+CH174+CH170+CH153+CH151+CH177</f>
        <v>#NAME?</v>
      </c>
      <c r="CI178" s="26" t="e">
        <f t="shared" ca="1" si="1432"/>
        <v>#NAME?</v>
      </c>
      <c r="CJ178" s="26" t="e">
        <f t="shared" ref="CJ178:DB178" ca="1" si="1433">CJ176+CJ174+CJ170+CJ153+CJ151+CJ177</f>
        <v>#NAME?</v>
      </c>
      <c r="CK178" s="26" t="e">
        <f t="shared" ca="1" si="1433"/>
        <v>#NAME?</v>
      </c>
      <c r="CL178" s="26" t="e">
        <f t="shared" ref="CL178" ca="1" si="1434">CL176+CL174+CL170+CL153+CL151+CL177</f>
        <v>#NAME?</v>
      </c>
      <c r="CM178" s="27" t="e">
        <f t="shared" ca="1" si="1433"/>
        <v>#NAME?</v>
      </c>
      <c r="CN178" s="27" t="e">
        <f t="shared" ca="1" si="1433"/>
        <v>#NAME?</v>
      </c>
      <c r="CO178" s="27" t="e">
        <f t="shared" ca="1" si="1433"/>
        <v>#NAME?</v>
      </c>
      <c r="CP178" s="27" t="e">
        <f t="shared" ca="1" si="1433"/>
        <v>#NAME?</v>
      </c>
      <c r="CQ178" s="27" t="e">
        <f t="shared" ca="1" si="1433"/>
        <v>#NAME?</v>
      </c>
      <c r="CR178" s="27" t="e">
        <f t="shared" ca="1" si="1433"/>
        <v>#NAME?</v>
      </c>
      <c r="CS178" s="27" t="e">
        <f t="shared" ca="1" si="1433"/>
        <v>#NAME?</v>
      </c>
      <c r="CT178" s="27" t="e">
        <f t="shared" ca="1" si="1433"/>
        <v>#NAME?</v>
      </c>
      <c r="CU178" s="27" t="e">
        <f t="shared" ca="1" si="1433"/>
        <v>#NAME?</v>
      </c>
      <c r="CV178" s="27" t="e">
        <f t="shared" ca="1" si="1433"/>
        <v>#NAME?</v>
      </c>
      <c r="CW178" s="27" t="e">
        <f t="shared" ca="1" si="1433"/>
        <v>#NAME?</v>
      </c>
      <c r="CX178" s="27" t="e">
        <f t="shared" ca="1" si="1433"/>
        <v>#NAME?</v>
      </c>
      <c r="CY178" s="27" t="e">
        <f t="shared" ca="1" si="1433"/>
        <v>#NAME?</v>
      </c>
      <c r="CZ178" s="27" t="e">
        <f t="shared" ca="1" si="1433"/>
        <v>#NAME?</v>
      </c>
      <c r="DA178" s="27" t="e">
        <f t="shared" ca="1" si="1433"/>
        <v>#NAME?</v>
      </c>
      <c r="DB178" s="27" t="e">
        <f t="shared" ca="1" si="1433"/>
        <v>#NAME?</v>
      </c>
      <c r="DE178" s="121"/>
      <c r="DF178" s="26">
        <v>71899.01999999999</v>
      </c>
    </row>
    <row r="179" spans="1:110" s="23" customFormat="1" x14ac:dyDescent="0.2">
      <c r="A179" s="28" t="s">
        <v>439</v>
      </c>
      <c r="B179" s="23" t="e">
        <f t="shared" ref="B179:W179" ca="1" si="1435">B178-B142</f>
        <v>#NAME?</v>
      </c>
      <c r="C179" s="23" t="e">
        <f t="shared" ca="1" si="1435"/>
        <v>#NAME?</v>
      </c>
      <c r="D179" s="23" t="e">
        <f t="shared" ca="1" si="1435"/>
        <v>#NAME?</v>
      </c>
      <c r="E179" s="23" t="e">
        <f t="shared" ca="1" si="1435"/>
        <v>#NAME?</v>
      </c>
      <c r="F179" s="23" t="e">
        <f t="shared" ca="1" si="1435"/>
        <v>#NAME?</v>
      </c>
      <c r="G179" s="23" t="e">
        <f t="shared" ca="1" si="1435"/>
        <v>#NAME?</v>
      </c>
      <c r="H179" s="23" t="e">
        <f t="shared" ca="1" si="1435"/>
        <v>#NAME?</v>
      </c>
      <c r="I179" s="23" t="e">
        <f t="shared" ca="1" si="1435"/>
        <v>#NAME?</v>
      </c>
      <c r="J179" s="23" t="e">
        <f t="shared" ca="1" si="1435"/>
        <v>#NAME?</v>
      </c>
      <c r="K179" s="23" t="e">
        <f t="shared" ca="1" si="1435"/>
        <v>#NAME?</v>
      </c>
      <c r="L179" s="23" t="e">
        <f t="shared" ca="1" si="1435"/>
        <v>#NAME?</v>
      </c>
      <c r="M179" s="23" t="e">
        <f t="shared" ca="1" si="1435"/>
        <v>#NAME?</v>
      </c>
      <c r="N179" s="23" t="e">
        <f t="shared" ca="1" si="1435"/>
        <v>#NAME?</v>
      </c>
      <c r="O179" s="23" t="e">
        <f t="shared" ca="1" si="1435"/>
        <v>#NAME?</v>
      </c>
      <c r="P179" s="23" t="e">
        <f t="shared" ca="1" si="1435"/>
        <v>#NAME?</v>
      </c>
      <c r="Q179" s="23" t="e">
        <f t="shared" ca="1" si="1435"/>
        <v>#NAME?</v>
      </c>
      <c r="R179" s="23" t="e">
        <f t="shared" ca="1" si="1435"/>
        <v>#NAME?</v>
      </c>
      <c r="S179" s="23" t="e">
        <f t="shared" ca="1" si="1435"/>
        <v>#NAME?</v>
      </c>
      <c r="T179" s="23" t="e">
        <f t="shared" ca="1" si="1435"/>
        <v>#NAME?</v>
      </c>
      <c r="U179" s="23" t="e">
        <f t="shared" ca="1" si="1435"/>
        <v>#NAME?</v>
      </c>
      <c r="V179" s="23" t="e">
        <f t="shared" ca="1" si="1435"/>
        <v>#NAME?</v>
      </c>
      <c r="W179" s="23" t="e">
        <f t="shared" ca="1" si="1435"/>
        <v>#NAME?</v>
      </c>
      <c r="X179" s="23" t="e">
        <f t="shared" ref="X179:Y179" ca="1" si="1436">X178-X142</f>
        <v>#NAME?</v>
      </c>
      <c r="Y179" s="23" t="e">
        <f t="shared" ca="1" si="1436"/>
        <v>#NAME?</v>
      </c>
      <c r="Z179" s="23" t="e">
        <f t="shared" ref="Z179:AA179" ca="1" si="1437">Z178-Z142</f>
        <v>#NAME?</v>
      </c>
      <c r="AA179" s="23" t="e">
        <f t="shared" ca="1" si="1437"/>
        <v>#NAME?</v>
      </c>
      <c r="AB179" s="24" t="e">
        <f t="shared" ref="AA179:AD179" ca="1" si="1438">AB178-AB142</f>
        <v>#NAME?</v>
      </c>
      <c r="AC179" s="24" t="e">
        <f t="shared" ca="1" si="1438"/>
        <v>#NAME?</v>
      </c>
      <c r="AD179" s="24" t="e">
        <f t="shared" ca="1" si="1438"/>
        <v>#NAME?</v>
      </c>
      <c r="AE179" s="24" t="e">
        <f t="shared" ref="AE179" ca="1" si="1439">AE178-AE142</f>
        <v>#NAME?</v>
      </c>
      <c r="AJ179" s="23" t="e">
        <f t="shared" ref="AJ179" ca="1" si="1440">AJ178-AJ142</f>
        <v>#NAME?</v>
      </c>
      <c r="AK179" s="23" t="e">
        <f t="shared" ref="AK179" ca="1" si="1441">AK178-AK142</f>
        <v>#NAME?</v>
      </c>
      <c r="AL179" s="23" t="e">
        <f t="shared" ref="AL179:AM179" ca="1" si="1442">AL178-AL142</f>
        <v>#NAME?</v>
      </c>
      <c r="AM179" s="23" t="e">
        <f t="shared" ca="1" si="1442"/>
        <v>#NAME?</v>
      </c>
      <c r="AN179" s="23" t="e">
        <f t="shared" ref="AN179:AO179" ca="1" si="1443">AN178-AN142</f>
        <v>#NAME?</v>
      </c>
      <c r="AO179" s="23" t="e">
        <f t="shared" ca="1" si="1443"/>
        <v>#NAME?</v>
      </c>
      <c r="AP179" s="23" t="e">
        <f t="shared" ref="AP179:CE179" ca="1" si="1444">AP178-AP142</f>
        <v>#NAME?</v>
      </c>
      <c r="AQ179" s="23" t="e">
        <f t="shared" ca="1" si="1444"/>
        <v>#NAME?</v>
      </c>
      <c r="AR179" s="23" t="e">
        <f t="shared" ca="1" si="1444"/>
        <v>#NAME?</v>
      </c>
      <c r="AS179" s="23" t="e">
        <f t="shared" ca="1" si="1444"/>
        <v>#NAME?</v>
      </c>
      <c r="AT179" s="23" t="e">
        <f t="shared" ca="1" si="1444"/>
        <v>#NAME?</v>
      </c>
      <c r="AU179" s="23" t="e">
        <f t="shared" ca="1" si="1444"/>
        <v>#NAME?</v>
      </c>
      <c r="AV179" s="23" t="e">
        <f t="shared" ca="1" si="1444"/>
        <v>#NAME?</v>
      </c>
      <c r="AW179" s="23" t="e">
        <f t="shared" ca="1" si="1444"/>
        <v>#NAME?</v>
      </c>
      <c r="AX179" s="23" t="e">
        <f t="shared" ca="1" si="1444"/>
        <v>#NAME?</v>
      </c>
      <c r="AY179" s="23" t="e">
        <f t="shared" ca="1" si="1444"/>
        <v>#NAME?</v>
      </c>
      <c r="AZ179" s="23" t="e">
        <f t="shared" ca="1" si="1444"/>
        <v>#NAME?</v>
      </c>
      <c r="BA179" s="23" t="e">
        <f t="shared" ca="1" si="1444"/>
        <v>#NAME?</v>
      </c>
      <c r="BB179" s="23" t="e">
        <f t="shared" ca="1" si="1444"/>
        <v>#NAME?</v>
      </c>
      <c r="BC179" s="23" t="e">
        <f t="shared" ca="1" si="1444"/>
        <v>#NAME?</v>
      </c>
      <c r="BD179" s="23" t="e">
        <f t="shared" ca="1" si="1444"/>
        <v>#NAME?</v>
      </c>
      <c r="BE179" s="23" t="e">
        <f t="shared" ca="1" si="1444"/>
        <v>#NAME?</v>
      </c>
      <c r="BF179" s="23" t="e">
        <f t="shared" ca="1" si="1444"/>
        <v>#NAME?</v>
      </c>
      <c r="BG179" s="23" t="e">
        <f t="shared" ca="1" si="1444"/>
        <v>#NAME?</v>
      </c>
      <c r="BH179" s="23" t="e">
        <f t="shared" ref="BH179" ca="1" si="1445">BH178-BH142</f>
        <v>#NAME?</v>
      </c>
      <c r="BI179" s="23" t="e">
        <f t="shared" ca="1" si="1444"/>
        <v>#NAME?</v>
      </c>
      <c r="BJ179" s="23" t="e">
        <f t="shared" ca="1" si="1444"/>
        <v>#NAME?</v>
      </c>
      <c r="BK179" s="23" t="e">
        <f t="shared" ca="1" si="1444"/>
        <v>#NAME?</v>
      </c>
      <c r="BL179" s="23" t="e">
        <f t="shared" ca="1" si="1444"/>
        <v>#NAME?</v>
      </c>
      <c r="BM179" s="23" t="e">
        <f t="shared" ca="1" si="1444"/>
        <v>#NAME?</v>
      </c>
      <c r="BN179" s="23" t="e">
        <f t="shared" ca="1" si="1444"/>
        <v>#NAME?</v>
      </c>
      <c r="BO179" s="23" t="e">
        <f t="shared" ca="1" si="1444"/>
        <v>#NAME?</v>
      </c>
      <c r="BP179" s="23" t="e">
        <f t="shared" ca="1" si="1444"/>
        <v>#NAME?</v>
      </c>
      <c r="BQ179" s="23" t="e">
        <f t="shared" ca="1" si="1444"/>
        <v>#NAME?</v>
      </c>
      <c r="BR179" s="23" t="e">
        <f t="shared" ca="1" si="1444"/>
        <v>#NAME?</v>
      </c>
      <c r="BS179" s="23" t="e">
        <f t="shared" ca="1" si="1444"/>
        <v>#NAME?</v>
      </c>
      <c r="BT179" s="23" t="e">
        <f t="shared" ca="1" si="1444"/>
        <v>#NAME?</v>
      </c>
      <c r="BU179" s="23" t="e">
        <f t="shared" ca="1" si="1444"/>
        <v>#NAME?</v>
      </c>
      <c r="BV179" s="23" t="e">
        <f t="shared" ca="1" si="1444"/>
        <v>#NAME?</v>
      </c>
      <c r="BW179" s="23" t="e">
        <f t="shared" ca="1" si="1444"/>
        <v>#NAME?</v>
      </c>
      <c r="BX179" s="23" t="e">
        <f t="shared" ca="1" si="1444"/>
        <v>#NAME?</v>
      </c>
      <c r="BY179" s="23" t="e">
        <f t="shared" ca="1" si="1444"/>
        <v>#NAME?</v>
      </c>
      <c r="BZ179" s="23" t="e">
        <f t="shared" ca="1" si="1444"/>
        <v>#NAME?</v>
      </c>
      <c r="CA179" s="23" t="e">
        <f t="shared" ca="1" si="1444"/>
        <v>#NAME?</v>
      </c>
      <c r="CB179" s="23" t="e">
        <f t="shared" ca="1" si="1444"/>
        <v>#NAME?</v>
      </c>
      <c r="CC179" s="23" t="e">
        <f t="shared" ca="1" si="1444"/>
        <v>#NAME?</v>
      </c>
      <c r="CD179" s="23" t="e">
        <f t="shared" ca="1" si="1444"/>
        <v>#NAME?</v>
      </c>
      <c r="CE179" s="23" t="e">
        <f t="shared" ca="1" si="1444"/>
        <v>#NAME?</v>
      </c>
      <c r="CF179" s="23" t="e">
        <f t="shared" ref="CF179:CG179" ca="1" si="1446">CF178-CF142</f>
        <v>#NAME?</v>
      </c>
      <c r="CG179" s="23" t="e">
        <f t="shared" ca="1" si="1446"/>
        <v>#NAME?</v>
      </c>
      <c r="CH179" s="23" t="e">
        <f t="shared" ref="CH179:CI179" ca="1" si="1447">CH178-CH142</f>
        <v>#NAME?</v>
      </c>
      <c r="CI179" s="23" t="e">
        <f t="shared" ca="1" si="1447"/>
        <v>#NAME?</v>
      </c>
      <c r="CJ179" s="23" t="e">
        <f t="shared" ref="CJ179:DB179" ca="1" si="1448">CJ178-CJ142</f>
        <v>#NAME?</v>
      </c>
      <c r="CK179" s="23" t="e">
        <f t="shared" ca="1" si="1448"/>
        <v>#NAME?</v>
      </c>
      <c r="CL179" s="23" t="e">
        <f t="shared" ref="CL179" ca="1" si="1449">CL178-CL142</f>
        <v>#NAME?</v>
      </c>
      <c r="CM179" s="24" t="e">
        <f t="shared" ca="1" si="1448"/>
        <v>#NAME?</v>
      </c>
      <c r="CN179" s="24" t="e">
        <f t="shared" ca="1" si="1448"/>
        <v>#NAME?</v>
      </c>
      <c r="CO179" s="24" t="e">
        <f t="shared" ca="1" si="1448"/>
        <v>#NAME?</v>
      </c>
      <c r="CP179" s="24" t="e">
        <f t="shared" ca="1" si="1448"/>
        <v>#NAME?</v>
      </c>
      <c r="CQ179" s="24" t="e">
        <f t="shared" ca="1" si="1448"/>
        <v>#NAME?</v>
      </c>
      <c r="CR179" s="24" t="e">
        <f t="shared" ca="1" si="1448"/>
        <v>#NAME?</v>
      </c>
      <c r="CS179" s="24" t="e">
        <f t="shared" ca="1" si="1448"/>
        <v>#NAME?</v>
      </c>
      <c r="CT179" s="24" t="e">
        <f t="shared" ca="1" si="1448"/>
        <v>#NAME?</v>
      </c>
      <c r="CU179" s="24" t="e">
        <f t="shared" ca="1" si="1448"/>
        <v>#NAME?</v>
      </c>
      <c r="CV179" s="24" t="e">
        <f t="shared" ca="1" si="1448"/>
        <v>#NAME?</v>
      </c>
      <c r="CW179" s="24" t="e">
        <f t="shared" ca="1" si="1448"/>
        <v>#NAME?</v>
      </c>
      <c r="CX179" s="24" t="e">
        <f t="shared" ca="1" si="1448"/>
        <v>#NAME?</v>
      </c>
      <c r="CY179" s="24" t="e">
        <f t="shared" ca="1" si="1448"/>
        <v>#NAME?</v>
      </c>
      <c r="CZ179" s="24" t="e">
        <f t="shared" ca="1" si="1448"/>
        <v>#NAME?</v>
      </c>
      <c r="DA179" s="24" t="e">
        <f t="shared" ca="1" si="1448"/>
        <v>#NAME?</v>
      </c>
      <c r="DB179" s="24" t="e">
        <f t="shared" ca="1" si="1448"/>
        <v>#NAME?</v>
      </c>
      <c r="DE179" s="123"/>
      <c r="DF179" s="23">
        <v>0</v>
      </c>
    </row>
    <row r="180" spans="1:110" s="23" customFormat="1" x14ac:dyDescent="0.2">
      <c r="A180" s="28"/>
      <c r="AB180" s="24"/>
      <c r="AC180" s="24"/>
      <c r="AD180" s="24"/>
      <c r="AE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E180" s="123"/>
    </row>
    <row r="181" spans="1:110" s="22" customFormat="1" x14ac:dyDescent="0.2">
      <c r="A181" s="22" t="s">
        <v>80</v>
      </c>
      <c r="B181" s="22" t="e">
        <f t="shared" ref="B181:W181" ca="1" si="1450">B141-B174</f>
        <v>#NAME?</v>
      </c>
      <c r="C181" s="22" t="e">
        <f t="shared" ca="1" si="1450"/>
        <v>#NAME?</v>
      </c>
      <c r="D181" s="22" t="e">
        <f t="shared" ca="1" si="1450"/>
        <v>#NAME?</v>
      </c>
      <c r="E181" s="22" t="e">
        <f t="shared" ca="1" si="1450"/>
        <v>#NAME?</v>
      </c>
      <c r="F181" s="22" t="e">
        <f t="shared" ca="1" si="1450"/>
        <v>#NAME?</v>
      </c>
      <c r="G181" s="22" t="e">
        <f t="shared" ca="1" si="1450"/>
        <v>#NAME?</v>
      </c>
      <c r="H181" s="22" t="e">
        <f t="shared" ca="1" si="1450"/>
        <v>#NAME?</v>
      </c>
      <c r="I181" s="22" t="e">
        <f t="shared" ca="1" si="1450"/>
        <v>#NAME?</v>
      </c>
      <c r="J181" s="22" t="e">
        <f t="shared" ca="1" si="1450"/>
        <v>#NAME?</v>
      </c>
      <c r="K181" s="22" t="e">
        <f t="shared" ca="1" si="1450"/>
        <v>#NAME?</v>
      </c>
      <c r="L181" s="22" t="e">
        <f t="shared" ca="1" si="1450"/>
        <v>#NAME?</v>
      </c>
      <c r="M181" s="22" t="e">
        <f t="shared" ca="1" si="1450"/>
        <v>#NAME?</v>
      </c>
      <c r="N181" s="22" t="e">
        <f t="shared" ca="1" si="1450"/>
        <v>#NAME?</v>
      </c>
      <c r="O181" s="22" t="e">
        <f t="shared" ca="1" si="1450"/>
        <v>#NAME?</v>
      </c>
      <c r="P181" s="22" t="e">
        <f t="shared" ca="1" si="1450"/>
        <v>#NAME?</v>
      </c>
      <c r="Q181" s="22" t="e">
        <f t="shared" ca="1" si="1450"/>
        <v>#NAME?</v>
      </c>
      <c r="R181" s="22" t="e">
        <f t="shared" ca="1" si="1450"/>
        <v>#NAME?</v>
      </c>
      <c r="S181" s="22" t="e">
        <f t="shared" ca="1" si="1450"/>
        <v>#NAME?</v>
      </c>
      <c r="T181" s="22" t="e">
        <f t="shared" ca="1" si="1450"/>
        <v>#NAME?</v>
      </c>
      <c r="U181" s="22" t="e">
        <f t="shared" ca="1" si="1450"/>
        <v>#NAME?</v>
      </c>
      <c r="V181" s="22" t="e">
        <f t="shared" ca="1" si="1450"/>
        <v>#NAME?</v>
      </c>
      <c r="W181" s="22" t="e">
        <f t="shared" ca="1" si="1450"/>
        <v>#NAME?</v>
      </c>
      <c r="X181" s="22" t="e">
        <f t="shared" ref="X181:Y181" ca="1" si="1451">X141-X174</f>
        <v>#NAME?</v>
      </c>
      <c r="Y181" s="22" t="e">
        <f t="shared" ca="1" si="1451"/>
        <v>#NAME?</v>
      </c>
      <c r="Z181" s="22" t="e">
        <f t="shared" ref="Z181:AA181" ca="1" si="1452">Z141-Z174</f>
        <v>#NAME?</v>
      </c>
      <c r="AA181" s="22" t="e">
        <f t="shared" ca="1" si="1452"/>
        <v>#NAME?</v>
      </c>
      <c r="AB181" s="21" t="e">
        <f t="shared" ref="AA181:AD181" ca="1" si="1453">AB141-AB174</f>
        <v>#NAME?</v>
      </c>
      <c r="AC181" s="21" t="e">
        <f t="shared" ca="1" si="1453"/>
        <v>#NAME?</v>
      </c>
      <c r="AD181" s="21" t="e">
        <f t="shared" ca="1" si="1453"/>
        <v>#NAME?</v>
      </c>
      <c r="AE181" s="21" t="e">
        <f t="shared" ref="AE181" ca="1" si="1454">AE141-AE174</f>
        <v>#NAME?</v>
      </c>
      <c r="AJ181" s="22" t="e">
        <f t="shared" ref="AJ181:AM181" ca="1" si="1455">AJ141-AJ174</f>
        <v>#NAME?</v>
      </c>
      <c r="AK181" s="22" t="e">
        <f t="shared" ca="1" si="1455"/>
        <v>#NAME?</v>
      </c>
      <c r="AL181" s="22" t="e">
        <f t="shared" ca="1" si="1455"/>
        <v>#NAME?</v>
      </c>
      <c r="AM181" s="22" t="e">
        <f t="shared" ca="1" si="1455"/>
        <v>#NAME?</v>
      </c>
      <c r="AN181" s="22" t="e">
        <f t="shared" ref="AN181:AO181" ca="1" si="1456">AN141-AN174</f>
        <v>#NAME?</v>
      </c>
      <c r="AO181" s="22" t="e">
        <f t="shared" ca="1" si="1456"/>
        <v>#NAME?</v>
      </c>
      <c r="AP181" s="22" t="e">
        <f t="shared" ref="AP181:CE181" ca="1" si="1457">AP141-AP174</f>
        <v>#NAME?</v>
      </c>
      <c r="AQ181" s="22" t="e">
        <f t="shared" ca="1" si="1457"/>
        <v>#NAME?</v>
      </c>
      <c r="AR181" s="22" t="e">
        <f t="shared" ca="1" si="1457"/>
        <v>#NAME?</v>
      </c>
      <c r="AS181" s="22" t="e">
        <f t="shared" ca="1" si="1457"/>
        <v>#NAME?</v>
      </c>
      <c r="AT181" s="22" t="e">
        <f t="shared" ca="1" si="1457"/>
        <v>#NAME?</v>
      </c>
      <c r="AU181" s="22" t="e">
        <f t="shared" ca="1" si="1457"/>
        <v>#NAME?</v>
      </c>
      <c r="AV181" s="22" t="e">
        <f t="shared" ca="1" si="1457"/>
        <v>#NAME?</v>
      </c>
      <c r="AW181" s="22" t="e">
        <f t="shared" ca="1" si="1457"/>
        <v>#NAME?</v>
      </c>
      <c r="AX181" s="22" t="e">
        <f t="shared" ca="1" si="1457"/>
        <v>#NAME?</v>
      </c>
      <c r="AY181" s="22" t="e">
        <f t="shared" ca="1" si="1457"/>
        <v>#NAME?</v>
      </c>
      <c r="AZ181" s="22" t="e">
        <f t="shared" ca="1" si="1457"/>
        <v>#NAME?</v>
      </c>
      <c r="BA181" s="22" t="e">
        <f t="shared" ca="1" si="1457"/>
        <v>#NAME?</v>
      </c>
      <c r="BB181" s="22" t="e">
        <f t="shared" ca="1" si="1457"/>
        <v>#NAME?</v>
      </c>
      <c r="BC181" s="22" t="e">
        <f t="shared" ca="1" si="1457"/>
        <v>#NAME?</v>
      </c>
      <c r="BD181" s="22" t="e">
        <f t="shared" ca="1" si="1457"/>
        <v>#NAME?</v>
      </c>
      <c r="BE181" s="22" t="e">
        <f t="shared" ca="1" si="1457"/>
        <v>#NAME?</v>
      </c>
      <c r="BF181" s="22" t="e">
        <f t="shared" ca="1" si="1457"/>
        <v>#NAME?</v>
      </c>
      <c r="BG181" s="22" t="e">
        <f t="shared" ca="1" si="1457"/>
        <v>#NAME?</v>
      </c>
      <c r="BH181" s="22" t="e">
        <f t="shared" ca="1" si="1457"/>
        <v>#NAME?</v>
      </c>
      <c r="BI181" s="22" t="e">
        <f t="shared" ca="1" si="1457"/>
        <v>#NAME?</v>
      </c>
      <c r="BJ181" s="22" t="e">
        <f t="shared" ca="1" si="1457"/>
        <v>#NAME?</v>
      </c>
      <c r="BK181" s="22" t="e">
        <f t="shared" ca="1" si="1457"/>
        <v>#NAME?</v>
      </c>
      <c r="BL181" s="22" t="e">
        <f t="shared" ca="1" si="1457"/>
        <v>#NAME?</v>
      </c>
      <c r="BM181" s="22" t="e">
        <f t="shared" ca="1" si="1457"/>
        <v>#NAME?</v>
      </c>
      <c r="BN181" s="22" t="e">
        <f t="shared" ca="1" si="1457"/>
        <v>#NAME?</v>
      </c>
      <c r="BO181" s="22" t="e">
        <f t="shared" ca="1" si="1457"/>
        <v>#NAME?</v>
      </c>
      <c r="BP181" s="22" t="e">
        <f t="shared" ca="1" si="1457"/>
        <v>#NAME?</v>
      </c>
      <c r="BQ181" s="22" t="e">
        <f t="shared" ca="1" si="1457"/>
        <v>#NAME?</v>
      </c>
      <c r="BR181" s="22" t="e">
        <f t="shared" ca="1" si="1457"/>
        <v>#NAME?</v>
      </c>
      <c r="BS181" s="22" t="e">
        <f t="shared" ca="1" si="1457"/>
        <v>#NAME?</v>
      </c>
      <c r="BT181" s="22" t="e">
        <f t="shared" ca="1" si="1457"/>
        <v>#NAME?</v>
      </c>
      <c r="BU181" s="22" t="e">
        <f t="shared" ca="1" si="1457"/>
        <v>#NAME?</v>
      </c>
      <c r="BV181" s="22" t="e">
        <f t="shared" ca="1" si="1457"/>
        <v>#NAME?</v>
      </c>
      <c r="BW181" s="22" t="e">
        <f t="shared" ca="1" si="1457"/>
        <v>#NAME?</v>
      </c>
      <c r="BX181" s="22" t="e">
        <f t="shared" ca="1" si="1457"/>
        <v>#NAME?</v>
      </c>
      <c r="BY181" s="22" t="e">
        <f t="shared" ca="1" si="1457"/>
        <v>#NAME?</v>
      </c>
      <c r="BZ181" s="22" t="e">
        <f t="shared" ca="1" si="1457"/>
        <v>#NAME?</v>
      </c>
      <c r="CA181" s="22" t="e">
        <f t="shared" ca="1" si="1457"/>
        <v>#NAME?</v>
      </c>
      <c r="CB181" s="22" t="e">
        <f t="shared" ca="1" si="1457"/>
        <v>#NAME?</v>
      </c>
      <c r="CC181" s="22" t="e">
        <f t="shared" ca="1" si="1457"/>
        <v>#NAME?</v>
      </c>
      <c r="CD181" s="22" t="e">
        <f t="shared" ca="1" si="1457"/>
        <v>#NAME?</v>
      </c>
      <c r="CE181" s="22" t="e">
        <f t="shared" ca="1" si="1457"/>
        <v>#NAME?</v>
      </c>
      <c r="CF181" s="22" t="e">
        <f t="shared" ref="CF181:CG181" ca="1" si="1458">CF141-CF174</f>
        <v>#NAME?</v>
      </c>
      <c r="CG181" s="22" t="e">
        <f t="shared" ca="1" si="1458"/>
        <v>#NAME?</v>
      </c>
      <c r="CH181" s="22" t="e">
        <f t="shared" ref="CH181:CI181" ca="1" si="1459">CH141-CH174</f>
        <v>#NAME?</v>
      </c>
      <c r="CI181" s="22" t="e">
        <f t="shared" ca="1" si="1459"/>
        <v>#NAME?</v>
      </c>
      <c r="CJ181" s="22" t="e">
        <f t="shared" ref="CJ181:DB181" ca="1" si="1460">CJ141-CJ174</f>
        <v>#NAME?</v>
      </c>
      <c r="CK181" s="22" t="e">
        <f t="shared" ca="1" si="1460"/>
        <v>#NAME?</v>
      </c>
      <c r="CL181" s="22" t="e">
        <f t="shared" ref="CL181" ca="1" si="1461">CL141-CL174</f>
        <v>#NAME?</v>
      </c>
      <c r="CM181" s="21" t="e">
        <f t="shared" ca="1" si="1460"/>
        <v>#NAME?</v>
      </c>
      <c r="CN181" s="21" t="e">
        <f t="shared" ca="1" si="1460"/>
        <v>#NAME?</v>
      </c>
      <c r="CO181" s="21" t="e">
        <f t="shared" ca="1" si="1460"/>
        <v>#NAME?</v>
      </c>
      <c r="CP181" s="21" t="e">
        <f t="shared" ca="1" si="1460"/>
        <v>#NAME?</v>
      </c>
      <c r="CQ181" s="21" t="e">
        <f t="shared" ca="1" si="1460"/>
        <v>#NAME?</v>
      </c>
      <c r="CR181" s="21" t="e">
        <f t="shared" ca="1" si="1460"/>
        <v>#NAME?</v>
      </c>
      <c r="CS181" s="21" t="e">
        <f t="shared" ca="1" si="1460"/>
        <v>#NAME?</v>
      </c>
      <c r="CT181" s="21" t="e">
        <f t="shared" ca="1" si="1460"/>
        <v>#NAME?</v>
      </c>
      <c r="CU181" s="21" t="e">
        <f t="shared" ca="1" si="1460"/>
        <v>#NAME?</v>
      </c>
      <c r="CV181" s="21" t="e">
        <f t="shared" ca="1" si="1460"/>
        <v>#NAME?</v>
      </c>
      <c r="CW181" s="21" t="e">
        <f t="shared" ca="1" si="1460"/>
        <v>#NAME?</v>
      </c>
      <c r="CX181" s="21" t="e">
        <f t="shared" ca="1" si="1460"/>
        <v>#NAME?</v>
      </c>
      <c r="CY181" s="21" t="e">
        <f t="shared" ca="1" si="1460"/>
        <v>#NAME?</v>
      </c>
      <c r="CZ181" s="21" t="e">
        <f t="shared" ca="1" si="1460"/>
        <v>#NAME?</v>
      </c>
      <c r="DA181" s="21" t="e">
        <f t="shared" ca="1" si="1460"/>
        <v>#NAME?</v>
      </c>
      <c r="DB181" s="21" t="e">
        <f t="shared" ca="1" si="1460"/>
        <v>#NAME?</v>
      </c>
      <c r="DE181" s="126"/>
      <c r="DF181" s="22">
        <v>-905.82</v>
      </c>
    </row>
    <row r="182" spans="1:110" x14ac:dyDescent="0.2">
      <c r="AA182" s="2"/>
      <c r="CE182" s="111"/>
      <c r="CG182" s="111"/>
      <c r="CL182" s="2"/>
      <c r="CM182" s="24">
        <v>0</v>
      </c>
      <c r="CP182" s="24">
        <v>-800.73159999999996</v>
      </c>
      <c r="CQ182" s="24">
        <v>0</v>
      </c>
      <c r="CR182" s="24">
        <v>0</v>
      </c>
      <c r="CS182" s="24">
        <v>0</v>
      </c>
      <c r="CT182" s="24">
        <v>51.7667</v>
      </c>
    </row>
    <row r="183" spans="1:110" s="49" customFormat="1" x14ac:dyDescent="0.2">
      <c r="A183" s="49" t="s">
        <v>81</v>
      </c>
      <c r="B183" s="49" t="e">
        <f ca="1">'Annual Raw'!C85</f>
        <v>#NAME?</v>
      </c>
      <c r="C183" s="49" t="e">
        <f ca="1">'Annual Raw'!D85</f>
        <v>#NAME?</v>
      </c>
      <c r="D183" s="49" t="e">
        <f ca="1">'Annual Raw'!E85</f>
        <v>#NAME?</v>
      </c>
      <c r="E183" s="49" t="e">
        <f ca="1">'Annual Raw'!F85</f>
        <v>#NAME?</v>
      </c>
      <c r="F183" s="49" t="e">
        <f ca="1">'Annual Raw'!G85</f>
        <v>#NAME?</v>
      </c>
      <c r="G183" s="49" t="e">
        <f ca="1">'Annual Raw'!H85</f>
        <v>#NAME?</v>
      </c>
      <c r="H183" s="49" t="e">
        <f ca="1">'Annual Raw'!I85</f>
        <v>#NAME?</v>
      </c>
      <c r="I183" s="49" t="e">
        <f ca="1">'Annual Raw'!J85</f>
        <v>#NAME?</v>
      </c>
      <c r="J183" s="49" t="e">
        <f ca="1">'Annual Raw'!K85</f>
        <v>#NAME?</v>
      </c>
      <c r="K183" s="49" t="e">
        <f ca="1">'Annual Raw'!L85</f>
        <v>#NAME?</v>
      </c>
      <c r="L183" s="49" t="e">
        <f ca="1">'Annual Raw'!M85</f>
        <v>#NAME?</v>
      </c>
      <c r="M183" s="49" t="e">
        <f ca="1">'Annual Raw'!N85</f>
        <v>#NAME?</v>
      </c>
      <c r="N183" s="49" t="e">
        <f ca="1">'Annual Raw'!O85</f>
        <v>#NAME?</v>
      </c>
      <c r="O183" s="49" t="e">
        <f ca="1">'Annual Raw'!P85</f>
        <v>#NAME?</v>
      </c>
      <c r="P183" s="49" t="e">
        <f ca="1">'Annual Raw'!Q85</f>
        <v>#NAME?</v>
      </c>
      <c r="Q183" s="49" t="e">
        <f ca="1">'Annual Raw'!R85</f>
        <v>#NAME?</v>
      </c>
      <c r="R183" s="49" t="e">
        <f ca="1">'Annual Raw'!S85</f>
        <v>#NAME?</v>
      </c>
      <c r="S183" s="49" t="e">
        <f ca="1">'Annual Raw'!T85</f>
        <v>#NAME?</v>
      </c>
      <c r="T183" s="49" t="e">
        <f ca="1">'Annual Raw'!U85</f>
        <v>#NAME?</v>
      </c>
      <c r="U183" s="49" t="e">
        <f ca="1">'Annual Raw'!V85</f>
        <v>#NAME?</v>
      </c>
      <c r="V183" s="49" t="e">
        <f ca="1">'Annual Raw'!W85</f>
        <v>#NAME?</v>
      </c>
      <c r="W183" s="49" t="e">
        <f ca="1">'Annual Raw'!X85</f>
        <v>#NAME?</v>
      </c>
      <c r="X183" s="49" t="e">
        <f ca="1">'Annual Raw'!Y85</f>
        <v>#NAME?</v>
      </c>
      <c r="Y183" s="49" t="e">
        <f ca="1">'Annual Raw'!Z85</f>
        <v>#NAME?</v>
      </c>
      <c r="Z183" s="49" t="e">
        <f ca="1">'Annual Raw'!AA85</f>
        <v>#NAME?</v>
      </c>
      <c r="AA183" s="49" t="e">
        <f ca="1">'Annual Raw'!AB85</f>
        <v>#NAME?</v>
      </c>
      <c r="AB183" s="50"/>
      <c r="AC183" s="50"/>
      <c r="AD183" s="50"/>
      <c r="AE183" s="50"/>
      <c r="CM183" s="50"/>
      <c r="CN183" s="50"/>
      <c r="CO183" s="50"/>
      <c r="CP183" s="50"/>
      <c r="CQ183" s="50"/>
      <c r="CR183" s="50"/>
      <c r="CS183" s="50"/>
      <c r="CT183" s="50"/>
      <c r="CU183" s="50"/>
      <c r="CV183" s="50"/>
      <c r="CW183" s="50"/>
      <c r="CX183" s="50"/>
      <c r="CY183" s="50"/>
      <c r="CZ183" s="50"/>
      <c r="DA183" s="50"/>
      <c r="DB183" s="50"/>
      <c r="DE183" s="138"/>
    </row>
    <row r="184" spans="1:110" s="29" customFormat="1" x14ac:dyDescent="0.2">
      <c r="A184" s="29" t="s">
        <v>82</v>
      </c>
      <c r="B184" s="29" t="e">
        <f ca="1">'Annual Raw'!C95</f>
        <v>#NAME?</v>
      </c>
      <c r="C184" s="29" t="e">
        <f ca="1">'Annual Raw'!D95</f>
        <v>#NAME?</v>
      </c>
      <c r="D184" s="29" t="e">
        <f ca="1">'Annual Raw'!E95</f>
        <v>#NAME?</v>
      </c>
      <c r="E184" s="29" t="e">
        <f ca="1">'Annual Raw'!F95</f>
        <v>#NAME?</v>
      </c>
      <c r="F184" s="29" t="e">
        <f ca="1">'Annual Raw'!G95</f>
        <v>#NAME?</v>
      </c>
      <c r="G184" s="29" t="e">
        <f ca="1">'Annual Raw'!H95</f>
        <v>#NAME?</v>
      </c>
      <c r="H184" s="29" t="e">
        <f ca="1">'Annual Raw'!I95</f>
        <v>#NAME?</v>
      </c>
      <c r="I184" s="29" t="e">
        <f ca="1">'Annual Raw'!J95</f>
        <v>#NAME?</v>
      </c>
      <c r="J184" s="29" t="e">
        <f ca="1">'Annual Raw'!K95</f>
        <v>#NAME?</v>
      </c>
      <c r="K184" s="29" t="e">
        <f ca="1">'Annual Raw'!L95</f>
        <v>#NAME?</v>
      </c>
      <c r="L184" s="29" t="e">
        <f ca="1">'Annual Raw'!M95</f>
        <v>#NAME?</v>
      </c>
      <c r="M184" s="29" t="e">
        <f ca="1">'Annual Raw'!N95</f>
        <v>#NAME?</v>
      </c>
      <c r="N184" s="29" t="e">
        <f ca="1">'Annual Raw'!O95</f>
        <v>#NAME?</v>
      </c>
      <c r="O184" s="29" t="e">
        <f ca="1">'Annual Raw'!P95</f>
        <v>#NAME?</v>
      </c>
      <c r="P184" s="29" t="e">
        <f ca="1">'Annual Raw'!Q95</f>
        <v>#NAME?</v>
      </c>
      <c r="Q184" s="29" t="e">
        <f ca="1">'Annual Raw'!R95</f>
        <v>#NAME?</v>
      </c>
      <c r="R184" s="29" t="e">
        <f ca="1">'Annual Raw'!S95</f>
        <v>#NAME?</v>
      </c>
      <c r="S184" s="29" t="e">
        <f ca="1">'Annual Raw'!T95</f>
        <v>#NAME?</v>
      </c>
      <c r="T184" s="29" t="e">
        <f ca="1">'Annual Raw'!U95</f>
        <v>#NAME?</v>
      </c>
      <c r="U184" s="29" t="e">
        <f ca="1">'Annual Raw'!V95</f>
        <v>#NAME?</v>
      </c>
      <c r="V184" s="29" t="e">
        <f ca="1">'Annual Raw'!W95</f>
        <v>#NAME?</v>
      </c>
      <c r="W184" s="29" t="e">
        <f ca="1">'Annual Raw'!X95</f>
        <v>#NAME?</v>
      </c>
      <c r="X184" s="29" t="e">
        <f ca="1">'Annual Raw'!Y95</f>
        <v>#NAME?</v>
      </c>
      <c r="Y184" s="29" t="e">
        <f ca="1">'Annual Raw'!Z95</f>
        <v>#NAME?</v>
      </c>
      <c r="Z184" s="29" t="e">
        <f ca="1">'Annual Raw'!AA95</f>
        <v>#NAME?</v>
      </c>
      <c r="AA184" s="29" t="e">
        <f ca="1">'Annual Raw'!AB95</f>
        <v>#NAME?</v>
      </c>
      <c r="AB184" s="30"/>
      <c r="AC184" s="30"/>
      <c r="AD184" s="30"/>
      <c r="AE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</row>
    <row r="185" spans="1:110" s="29" customFormat="1" x14ac:dyDescent="0.2">
      <c r="A185" s="29" t="s">
        <v>83</v>
      </c>
      <c r="B185" s="29" t="e">
        <f ca="1">'Annual Raw'!C93</f>
        <v>#NAME?</v>
      </c>
      <c r="C185" s="29" t="e">
        <f ca="1">'Annual Raw'!D93</f>
        <v>#NAME?</v>
      </c>
      <c r="D185" s="29" t="e">
        <f ca="1">'Annual Raw'!E93</f>
        <v>#NAME?</v>
      </c>
      <c r="E185" s="29" t="e">
        <f ca="1">'Annual Raw'!F93</f>
        <v>#NAME?</v>
      </c>
      <c r="F185" s="29" t="e">
        <f ca="1">'Annual Raw'!G93</f>
        <v>#NAME?</v>
      </c>
      <c r="G185" s="29" t="e">
        <f ca="1">'Annual Raw'!H93</f>
        <v>#NAME?</v>
      </c>
      <c r="H185" s="29" t="e">
        <f ca="1">'Annual Raw'!I93</f>
        <v>#NAME?</v>
      </c>
      <c r="I185" s="29" t="e">
        <f ca="1">'Annual Raw'!J93</f>
        <v>#NAME?</v>
      </c>
      <c r="J185" s="29" t="e">
        <f ca="1">'Annual Raw'!K93</f>
        <v>#NAME?</v>
      </c>
      <c r="K185" s="29" t="e">
        <f ca="1">'Annual Raw'!L93</f>
        <v>#NAME?</v>
      </c>
      <c r="L185" s="29" t="e">
        <f ca="1">'Annual Raw'!M93</f>
        <v>#NAME?</v>
      </c>
      <c r="M185" s="29" t="e">
        <f ca="1">'Annual Raw'!N93</f>
        <v>#NAME?</v>
      </c>
      <c r="N185" s="29" t="e">
        <f ca="1">'Annual Raw'!O93</f>
        <v>#NAME?</v>
      </c>
      <c r="O185" s="29" t="e">
        <f ca="1">'Annual Raw'!P93</f>
        <v>#NAME?</v>
      </c>
      <c r="P185" s="29" t="e">
        <f ca="1">'Annual Raw'!Q93</f>
        <v>#NAME?</v>
      </c>
      <c r="Q185" s="29" t="e">
        <f ca="1">'Annual Raw'!R93</f>
        <v>#NAME?</v>
      </c>
      <c r="R185" s="29" t="e">
        <f ca="1">'Annual Raw'!S93</f>
        <v>#NAME?</v>
      </c>
      <c r="S185" s="29" t="e">
        <f ca="1">'Annual Raw'!T93</f>
        <v>#NAME?</v>
      </c>
      <c r="T185" s="29" t="e">
        <f ca="1">'Annual Raw'!U93</f>
        <v>#NAME?</v>
      </c>
      <c r="U185" s="29" t="e">
        <f ca="1">'Annual Raw'!V93</f>
        <v>#NAME?</v>
      </c>
      <c r="V185" s="29" t="e">
        <f ca="1">'Annual Raw'!W93</f>
        <v>#NAME?</v>
      </c>
      <c r="W185" s="29" t="e">
        <f ca="1">'Annual Raw'!X93</f>
        <v>#NAME?</v>
      </c>
      <c r="X185" s="29" t="e">
        <f ca="1">'Annual Raw'!Y93</f>
        <v>#NAME?</v>
      </c>
      <c r="Y185" s="29" t="e">
        <f ca="1">'Annual Raw'!Z93</f>
        <v>#NAME?</v>
      </c>
      <c r="Z185" s="29" t="e">
        <f ca="1">'Annual Raw'!AA93</f>
        <v>#NAME?</v>
      </c>
      <c r="AA185" s="29" t="e">
        <f ca="1">'Annual Raw'!AB93</f>
        <v>#NAME?</v>
      </c>
      <c r="AB185" s="30"/>
      <c r="AC185" s="30"/>
      <c r="AD185" s="30"/>
      <c r="AE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9"/>
    </row>
    <row r="186" spans="1:110" s="29" customFormat="1" x14ac:dyDescent="0.2">
      <c r="A186" s="29" t="s">
        <v>84</v>
      </c>
      <c r="B186" s="29" t="e">
        <f t="shared" ref="B186:V186" ca="1" si="1462">B183-B184-B185</f>
        <v>#NAME?</v>
      </c>
      <c r="C186" s="29" t="e">
        <f t="shared" ca="1" si="1462"/>
        <v>#NAME?</v>
      </c>
      <c r="D186" s="29" t="e">
        <f t="shared" ca="1" si="1462"/>
        <v>#NAME?</v>
      </c>
      <c r="E186" s="29" t="e">
        <f t="shared" ca="1" si="1462"/>
        <v>#NAME?</v>
      </c>
      <c r="F186" s="29" t="e">
        <f t="shared" ca="1" si="1462"/>
        <v>#NAME?</v>
      </c>
      <c r="G186" s="29" t="e">
        <f t="shared" ca="1" si="1462"/>
        <v>#NAME?</v>
      </c>
      <c r="H186" s="29" t="e">
        <f t="shared" ca="1" si="1462"/>
        <v>#NAME?</v>
      </c>
      <c r="I186" s="29" t="e">
        <f t="shared" ca="1" si="1462"/>
        <v>#NAME?</v>
      </c>
      <c r="J186" s="29" t="e">
        <f t="shared" ca="1" si="1462"/>
        <v>#NAME?</v>
      </c>
      <c r="K186" s="29" t="e">
        <f t="shared" ca="1" si="1462"/>
        <v>#NAME?</v>
      </c>
      <c r="L186" s="29" t="e">
        <f t="shared" ca="1" si="1462"/>
        <v>#NAME?</v>
      </c>
      <c r="M186" s="29" t="e">
        <f t="shared" ca="1" si="1462"/>
        <v>#NAME?</v>
      </c>
      <c r="N186" s="29" t="e">
        <f t="shared" ca="1" si="1462"/>
        <v>#NAME?</v>
      </c>
      <c r="O186" s="29" t="e">
        <f t="shared" ca="1" si="1462"/>
        <v>#NAME?</v>
      </c>
      <c r="P186" s="29" t="e">
        <f t="shared" ca="1" si="1462"/>
        <v>#NAME?</v>
      </c>
      <c r="Q186" s="29" t="e">
        <f t="shared" ca="1" si="1462"/>
        <v>#NAME?</v>
      </c>
      <c r="R186" s="29" t="e">
        <f t="shared" ca="1" si="1462"/>
        <v>#NAME?</v>
      </c>
      <c r="S186" s="29" t="e">
        <f t="shared" ca="1" si="1462"/>
        <v>#NAME?</v>
      </c>
      <c r="T186" s="29" t="e">
        <f t="shared" ca="1" si="1462"/>
        <v>#NAME?</v>
      </c>
      <c r="U186" s="29" t="e">
        <f t="shared" ca="1" si="1462"/>
        <v>#NAME?</v>
      </c>
      <c r="V186" s="29" t="e">
        <f t="shared" ca="1" si="1462"/>
        <v>#NAME?</v>
      </c>
      <c r="W186" s="29" t="e">
        <f t="shared" ref="W186" ca="1" si="1463">W183-W184-W185</f>
        <v>#NAME?</v>
      </c>
      <c r="X186" s="29" t="e">
        <f t="shared" ref="X186:Y186" ca="1" si="1464">X183-X184-X185</f>
        <v>#NAME?</v>
      </c>
      <c r="Y186" s="29" t="e">
        <f t="shared" ca="1" si="1464"/>
        <v>#NAME?</v>
      </c>
      <c r="Z186" s="29" t="e">
        <f t="shared" ref="Z186:AA186" ca="1" si="1465">Z183-Z184-Z185</f>
        <v>#NAME?</v>
      </c>
      <c r="AA186" s="29" t="e">
        <f t="shared" ca="1" si="1465"/>
        <v>#NAME?</v>
      </c>
      <c r="AB186" s="30">
        <f t="shared" ref="AA186:AD186" si="1466">AB183-AB184-AB185</f>
        <v>0</v>
      </c>
      <c r="AC186" s="30">
        <f t="shared" si="1466"/>
        <v>0</v>
      </c>
      <c r="AD186" s="30">
        <f t="shared" si="1466"/>
        <v>0</v>
      </c>
      <c r="AE186" s="30">
        <f t="shared" ref="AE186" si="1467">AE183-AE184-AE185</f>
        <v>0</v>
      </c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  <c r="DF186" s="29">
        <v>0</v>
      </c>
    </row>
    <row r="187" spans="1:110" s="5" customFormat="1" x14ac:dyDescent="0.2">
      <c r="AB187" s="63"/>
      <c r="AC187" s="63"/>
      <c r="AD187" s="63"/>
      <c r="AE187" s="63"/>
      <c r="CE187" s="112"/>
      <c r="CG187" s="112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</row>
    <row r="188" spans="1:110" s="95" customFormat="1" x14ac:dyDescent="0.2">
      <c r="A188" s="95" t="s">
        <v>85</v>
      </c>
      <c r="B188" s="95" t="e">
        <f t="shared" ref="B188:W188" ca="1" si="1468">B183/B133</f>
        <v>#NAME?</v>
      </c>
      <c r="C188" s="95" t="e">
        <f t="shared" ca="1" si="1468"/>
        <v>#NAME?</v>
      </c>
      <c r="D188" s="95" t="e">
        <f t="shared" ca="1" si="1468"/>
        <v>#NAME?</v>
      </c>
      <c r="E188" s="95" t="e">
        <f t="shared" ca="1" si="1468"/>
        <v>#NAME?</v>
      </c>
      <c r="F188" s="95" t="e">
        <f t="shared" ca="1" si="1468"/>
        <v>#NAME?</v>
      </c>
      <c r="G188" s="95" t="e">
        <f t="shared" ca="1" si="1468"/>
        <v>#NAME?</v>
      </c>
      <c r="H188" s="95" t="e">
        <f t="shared" ca="1" si="1468"/>
        <v>#NAME?</v>
      </c>
      <c r="I188" s="95" t="e">
        <f t="shared" ca="1" si="1468"/>
        <v>#NAME?</v>
      </c>
      <c r="J188" s="95" t="e">
        <f t="shared" ca="1" si="1468"/>
        <v>#NAME?</v>
      </c>
      <c r="K188" s="95" t="e">
        <f t="shared" ca="1" si="1468"/>
        <v>#NAME?</v>
      </c>
      <c r="L188" s="95" t="e">
        <f t="shared" ca="1" si="1468"/>
        <v>#NAME?</v>
      </c>
      <c r="M188" s="95" t="e">
        <f t="shared" ca="1" si="1468"/>
        <v>#NAME?</v>
      </c>
      <c r="N188" s="95" t="e">
        <f t="shared" ca="1" si="1468"/>
        <v>#NAME?</v>
      </c>
      <c r="O188" s="95" t="e">
        <f t="shared" ca="1" si="1468"/>
        <v>#NAME?</v>
      </c>
      <c r="P188" s="95" t="e">
        <f t="shared" ca="1" si="1468"/>
        <v>#NAME?</v>
      </c>
      <c r="Q188" s="95" t="e">
        <f t="shared" ca="1" si="1468"/>
        <v>#NAME?</v>
      </c>
      <c r="R188" s="95" t="e">
        <f t="shared" ca="1" si="1468"/>
        <v>#NAME?</v>
      </c>
      <c r="S188" s="95" t="e">
        <f t="shared" ca="1" si="1468"/>
        <v>#NAME?</v>
      </c>
      <c r="T188" s="95" t="e">
        <f t="shared" ca="1" si="1468"/>
        <v>#NAME?</v>
      </c>
      <c r="U188" s="95" t="e">
        <f t="shared" ca="1" si="1468"/>
        <v>#NAME?</v>
      </c>
      <c r="V188" s="95" t="e">
        <f t="shared" ca="1" si="1468"/>
        <v>#NAME?</v>
      </c>
      <c r="W188" s="95" t="e">
        <f t="shared" ca="1" si="1468"/>
        <v>#NAME?</v>
      </c>
      <c r="X188" s="95" t="e">
        <f t="shared" ref="X188:Y188" ca="1" si="1469">X183/X133</f>
        <v>#NAME?</v>
      </c>
      <c r="Y188" s="95" t="e">
        <f t="shared" ca="1" si="1469"/>
        <v>#NAME?</v>
      </c>
      <c r="Z188" s="95" t="e">
        <f t="shared" ref="Z188:AA188" ca="1" si="1470">Z183/Z133</f>
        <v>#NAME?</v>
      </c>
      <c r="AA188" s="95" t="e">
        <f t="shared" ca="1" si="1470"/>
        <v>#NAME?</v>
      </c>
      <c r="AB188" s="87" t="e">
        <f t="shared" ref="AA188:AD188" ca="1" si="1471">AB183/AB133</f>
        <v>#NAME?</v>
      </c>
      <c r="AC188" s="87" t="e">
        <f t="shared" ca="1" si="1471"/>
        <v>#NAME?</v>
      </c>
      <c r="AD188" s="87" t="e">
        <f t="shared" ca="1" si="1471"/>
        <v>#NAME?</v>
      </c>
      <c r="AE188" s="87" t="e">
        <f t="shared" ref="AE188" ca="1" si="1472">AE183/AE133</f>
        <v>#NAME?</v>
      </c>
      <c r="CM188" s="96"/>
      <c r="CN188" s="96"/>
      <c r="CO188" s="96"/>
      <c r="CP188" s="96"/>
      <c r="CQ188" s="96"/>
      <c r="CR188" s="96"/>
      <c r="CS188" s="96"/>
      <c r="CT188" s="96"/>
      <c r="CU188" s="96"/>
      <c r="CV188" s="96"/>
      <c r="CW188" s="96"/>
      <c r="CX188" s="96"/>
      <c r="CY188" s="96"/>
      <c r="CZ188" s="96"/>
      <c r="DA188" s="96"/>
      <c r="DB188" s="96"/>
      <c r="DE188" s="140"/>
      <c r="DF188" s="95">
        <v>0</v>
      </c>
    </row>
    <row r="189" spans="1:110" x14ac:dyDescent="0.2">
      <c r="A189" s="152" t="s">
        <v>492</v>
      </c>
      <c r="AA189" s="2"/>
      <c r="CE189" s="111"/>
      <c r="CG189" s="111"/>
      <c r="CL189" s="2"/>
    </row>
    <row r="190" spans="1:110" s="6" customFormat="1" x14ac:dyDescent="0.2">
      <c r="AB190" s="19"/>
      <c r="AC190" s="19"/>
      <c r="AD190" s="19"/>
      <c r="AE190" s="19"/>
      <c r="CE190" s="113"/>
      <c r="CG190" s="113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E190" s="123"/>
    </row>
    <row r="191" spans="1:110" s="62" customFormat="1" x14ac:dyDescent="0.2">
      <c r="A191" s="153" t="s">
        <v>493</v>
      </c>
      <c r="AB191" s="63"/>
      <c r="AC191" s="63"/>
      <c r="AD191" s="63"/>
      <c r="AE191" s="63"/>
      <c r="CE191" s="114"/>
      <c r="CG191" s="114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E191" s="139"/>
    </row>
    <row r="192" spans="1:110" s="62" customFormat="1" outlineLevel="1" x14ac:dyDescent="0.2">
      <c r="A192" s="68" t="s">
        <v>464</v>
      </c>
      <c r="B192" s="67" t="e">
        <f t="shared" ref="B192:AE192" ca="1" si="1473">B157/B16*365</f>
        <v>#NAME?</v>
      </c>
      <c r="C192" s="67" t="e">
        <f t="shared" ca="1" si="1473"/>
        <v>#NAME?</v>
      </c>
      <c r="D192" s="67" t="e">
        <f t="shared" ca="1" si="1473"/>
        <v>#NAME?</v>
      </c>
      <c r="E192" s="67" t="e">
        <f t="shared" ca="1" si="1473"/>
        <v>#NAME?</v>
      </c>
      <c r="F192" s="67" t="e">
        <f t="shared" ca="1" si="1473"/>
        <v>#NAME?</v>
      </c>
      <c r="G192" s="67" t="e">
        <f t="shared" ca="1" si="1473"/>
        <v>#NAME?</v>
      </c>
      <c r="H192" s="67" t="e">
        <f t="shared" ca="1" si="1473"/>
        <v>#NAME?</v>
      </c>
      <c r="I192" s="67" t="e">
        <f t="shared" ca="1" si="1473"/>
        <v>#NAME?</v>
      </c>
      <c r="J192" s="67" t="e">
        <f t="shared" ca="1" si="1473"/>
        <v>#NAME?</v>
      </c>
      <c r="K192" s="67" t="e">
        <f t="shared" ca="1" si="1473"/>
        <v>#NAME?</v>
      </c>
      <c r="L192" s="67" t="e">
        <f t="shared" ca="1" si="1473"/>
        <v>#NAME?</v>
      </c>
      <c r="M192" s="67" t="e">
        <f t="shared" ca="1" si="1473"/>
        <v>#NAME?</v>
      </c>
      <c r="N192" s="67" t="e">
        <f t="shared" ca="1" si="1473"/>
        <v>#NAME?</v>
      </c>
      <c r="O192" s="67" t="e">
        <f t="shared" ca="1" si="1473"/>
        <v>#NAME?</v>
      </c>
      <c r="P192" s="67" t="e">
        <f t="shared" ca="1" si="1473"/>
        <v>#NAME?</v>
      </c>
      <c r="Q192" s="67" t="e">
        <f t="shared" ca="1" si="1473"/>
        <v>#NAME?</v>
      </c>
      <c r="R192" s="67" t="e">
        <f t="shared" ca="1" si="1473"/>
        <v>#NAME?</v>
      </c>
      <c r="S192" s="67" t="e">
        <f t="shared" ca="1" si="1473"/>
        <v>#NAME?</v>
      </c>
      <c r="T192" s="67" t="e">
        <f t="shared" ca="1" si="1473"/>
        <v>#NAME?</v>
      </c>
      <c r="U192" s="67" t="e">
        <f t="shared" ca="1" si="1473"/>
        <v>#NAME?</v>
      </c>
      <c r="V192" s="67" t="e">
        <f t="shared" ca="1" si="1473"/>
        <v>#NAME?</v>
      </c>
      <c r="W192" s="67" t="e">
        <f t="shared" ca="1" si="1473"/>
        <v>#NAME?</v>
      </c>
      <c r="X192" s="67" t="e">
        <f t="shared" ca="1" si="1473"/>
        <v>#NAME?</v>
      </c>
      <c r="Y192" s="67" t="e">
        <f t="shared" ca="1" si="1473"/>
        <v>#NAME?</v>
      </c>
      <c r="Z192" s="67" t="e">
        <f t="shared" ca="1" si="1473"/>
        <v>#NAME?</v>
      </c>
      <c r="AA192" s="67" t="e">
        <f t="shared" ref="AA192" ca="1" si="1474">AA157/AA16*365</f>
        <v>#NAME?</v>
      </c>
      <c r="AB192" s="18" t="e">
        <f t="shared" ca="1" si="1473"/>
        <v>#NAME?</v>
      </c>
      <c r="AC192" s="18" t="e">
        <f t="shared" ca="1" si="1473"/>
        <v>#NAME?</v>
      </c>
      <c r="AD192" s="18" t="e">
        <f t="shared" ca="1" si="1473"/>
        <v>#NAME?</v>
      </c>
      <c r="AE192" s="18" t="e">
        <f t="shared" ca="1" si="1473"/>
        <v>#NAME?</v>
      </c>
      <c r="AI192" s="67" t="e">
        <f ca="1">AJ157/AI16*90</f>
        <v>#NAME?</v>
      </c>
      <c r="AJ192" s="67" t="e">
        <f ca="1">AJ157/AJ16*90</f>
        <v>#NAME?</v>
      </c>
      <c r="AK192" s="67" t="e">
        <f t="shared" ref="AK192:CE192" ca="1" si="1475">+AJ192</f>
        <v>#NAME?</v>
      </c>
      <c r="AL192" s="67" t="e">
        <f ca="1">AL157/AL16*90</f>
        <v>#NAME?</v>
      </c>
      <c r="AM192" s="67" t="e">
        <f t="shared" ref="AM192:AM193" ca="1" si="1476">+AL192</f>
        <v>#NAME?</v>
      </c>
      <c r="AN192" s="67" t="e">
        <f ca="1">AN157/AN16*90</f>
        <v>#NAME?</v>
      </c>
      <c r="AO192" s="67" t="e">
        <f t="shared" ref="AO192:AO193" ca="1" si="1477">+AN192</f>
        <v>#NAME?</v>
      </c>
      <c r="AP192" s="67" t="e">
        <f ca="1">AP157/AP16*90</f>
        <v>#NAME?</v>
      </c>
      <c r="AQ192" s="67" t="e">
        <f t="shared" ref="AQ192:AQ193" ca="1" si="1478">+AP192</f>
        <v>#NAME?</v>
      </c>
      <c r="AR192" s="67" t="e">
        <f ca="1">AR157/AR16*90</f>
        <v>#NAME?</v>
      </c>
      <c r="AS192" s="67" t="e">
        <f t="shared" ref="AS192:AS193" ca="1" si="1479">+AR192</f>
        <v>#NAME?</v>
      </c>
      <c r="AT192" s="67" t="e">
        <f ca="1">AT157/AT16*90</f>
        <v>#NAME?</v>
      </c>
      <c r="AU192" s="67" t="e">
        <f t="shared" ref="AU192:AU193" ca="1" si="1480">+AT192</f>
        <v>#NAME?</v>
      </c>
      <c r="AV192" s="67" t="e">
        <f ca="1">AV157/AV16*90</f>
        <v>#NAME?</v>
      </c>
      <c r="AW192" s="67" t="e">
        <f t="shared" ref="AW192:AW193" ca="1" si="1481">+AV192</f>
        <v>#NAME?</v>
      </c>
      <c r="AX192" s="67" t="e">
        <f ca="1">AX157/AX16*90</f>
        <v>#NAME?</v>
      </c>
      <c r="AY192" s="67" t="e">
        <f t="shared" ref="AY192:AY193" ca="1" si="1482">+AX192</f>
        <v>#NAME?</v>
      </c>
      <c r="AZ192" s="67" t="e">
        <f ca="1">AZ157/AZ16*90</f>
        <v>#NAME?</v>
      </c>
      <c r="BA192" s="67" t="e">
        <f t="shared" ref="BA192:BA193" ca="1" si="1483">+AZ192</f>
        <v>#NAME?</v>
      </c>
      <c r="BB192" s="67" t="e">
        <f ca="1">BB157/BB16*90</f>
        <v>#NAME?</v>
      </c>
      <c r="BC192" s="67" t="e">
        <f t="shared" ref="BC192:BC193" ca="1" si="1484">+BB192</f>
        <v>#NAME?</v>
      </c>
      <c r="BD192" s="67" t="e">
        <f ca="1">BD157/BD16*90</f>
        <v>#NAME?</v>
      </c>
      <c r="BE192" s="67" t="e">
        <f t="shared" ref="BE192:BE193" ca="1" si="1485">+BD192</f>
        <v>#NAME?</v>
      </c>
      <c r="BF192" s="67" t="e">
        <f ca="1">BF157/BF16*90</f>
        <v>#NAME?</v>
      </c>
      <c r="BG192" s="67" t="e">
        <f t="shared" ref="BG192:BG193" ca="1" si="1486">+BF192</f>
        <v>#NAME?</v>
      </c>
      <c r="BH192" s="67" t="e">
        <f ca="1">BH157/BH16*90</f>
        <v>#NAME?</v>
      </c>
      <c r="BI192" s="67" t="e">
        <f t="shared" ref="BI192:BI193" ca="1" si="1487">+BH192</f>
        <v>#NAME?</v>
      </c>
      <c r="BJ192" s="67" t="e">
        <f ca="1">BJ157/BJ16*90</f>
        <v>#NAME?</v>
      </c>
      <c r="BK192" s="67" t="e">
        <f t="shared" ref="BK192:BK193" ca="1" si="1488">+BJ192</f>
        <v>#NAME?</v>
      </c>
      <c r="BL192" s="67" t="e">
        <f ca="1">BL157/BL16*90</f>
        <v>#NAME?</v>
      </c>
      <c r="BM192" s="67" t="e">
        <f t="shared" ref="BM192:BM193" ca="1" si="1489">+BL192</f>
        <v>#NAME?</v>
      </c>
      <c r="BN192" s="67" t="e">
        <f ca="1">BN157/BN16*90</f>
        <v>#NAME?</v>
      </c>
      <c r="BO192" s="67" t="e">
        <f t="shared" ref="BO192:BO193" ca="1" si="1490">+BN192</f>
        <v>#NAME?</v>
      </c>
      <c r="BP192" s="67" t="e">
        <f ca="1">BP157/BP16*90</f>
        <v>#NAME?</v>
      </c>
      <c r="BQ192" s="67" t="e">
        <f t="shared" ref="BQ192:BQ193" ca="1" si="1491">+BP192</f>
        <v>#NAME?</v>
      </c>
      <c r="BR192" s="67" t="e">
        <f ca="1">BR157/BR16*90</f>
        <v>#NAME?</v>
      </c>
      <c r="BS192" s="67" t="e">
        <f t="shared" ref="BS192:BS193" ca="1" si="1492">+BR192</f>
        <v>#NAME?</v>
      </c>
      <c r="BT192" s="67" t="e">
        <f ca="1">BT157/BT16*90</f>
        <v>#NAME?</v>
      </c>
      <c r="BU192" s="67" t="e">
        <f t="shared" ref="BU192:BU193" ca="1" si="1493">+BT192</f>
        <v>#NAME?</v>
      </c>
      <c r="BV192" s="67" t="e">
        <f ca="1">BV157/BV16*90</f>
        <v>#NAME?</v>
      </c>
      <c r="BW192" s="67" t="e">
        <f t="shared" ref="BW192:BW193" ca="1" si="1494">+BV192</f>
        <v>#NAME?</v>
      </c>
      <c r="BX192" s="67" t="e">
        <f ca="1">BX157/BX16*90</f>
        <v>#NAME?</v>
      </c>
      <c r="BY192" s="67" t="e">
        <f t="shared" ref="BY192:BY193" ca="1" si="1495">+BX192</f>
        <v>#NAME?</v>
      </c>
      <c r="BZ192" s="67" t="e">
        <f ca="1">BZ157/BZ16*90</f>
        <v>#NAME?</v>
      </c>
      <c r="CA192" s="67" t="e">
        <f t="shared" ref="CA192:CA193" ca="1" si="1496">+BZ192</f>
        <v>#NAME?</v>
      </c>
      <c r="CB192" s="67" t="e">
        <f ca="1">CB157/CB16*90</f>
        <v>#NAME?</v>
      </c>
      <c r="CC192" s="67" t="e">
        <f t="shared" ref="CC192:CC193" ca="1" si="1497">+CB192</f>
        <v>#NAME?</v>
      </c>
      <c r="CD192" s="67" t="e">
        <f ca="1">CD157/CD16*90</f>
        <v>#NAME?</v>
      </c>
      <c r="CE192" s="67" t="e">
        <f t="shared" ca="1" si="1475"/>
        <v>#NAME?</v>
      </c>
      <c r="CF192" s="67" t="e">
        <f ca="1">CF157/CF16*90</f>
        <v>#NAME?</v>
      </c>
      <c r="CG192" s="67" t="e">
        <f t="shared" ref="CG192:CI193" ca="1" si="1498">+CF192</f>
        <v>#NAME?</v>
      </c>
      <c r="CH192" s="67" t="e">
        <f ca="1">CH157/CH16*90</f>
        <v>#NAME?</v>
      </c>
      <c r="CI192" s="67" t="e">
        <f t="shared" ca="1" si="1498"/>
        <v>#NAME?</v>
      </c>
      <c r="CJ192" s="67" t="e">
        <f ca="1">CJ157/CJ16*90</f>
        <v>#NAME?</v>
      </c>
      <c r="CK192" s="67" t="e">
        <f t="shared" ref="CK192:CK193" ca="1" si="1499">+CJ192</f>
        <v>#NAME?</v>
      </c>
      <c r="CL192" s="67" t="e">
        <f ca="1">CL157/CL16*90</f>
        <v>#NAME?</v>
      </c>
      <c r="CM192" s="30" t="e">
        <f t="shared" ref="CM192:CP192" ca="1" si="1500">+CL192+1</f>
        <v>#NAME?</v>
      </c>
      <c r="CN192" s="30" t="e">
        <f t="shared" ca="1" si="1500"/>
        <v>#NAME?</v>
      </c>
      <c r="CO192" s="30" t="e">
        <f t="shared" ca="1" si="1500"/>
        <v>#NAME?</v>
      </c>
      <c r="CP192" s="30" t="e">
        <f t="shared" ca="1" si="1500"/>
        <v>#NAME?</v>
      </c>
      <c r="CQ192" s="30" t="e">
        <f ca="1">+CP192+5</f>
        <v>#NAME?</v>
      </c>
      <c r="CR192" s="30" t="e">
        <f t="shared" ref="CR192:CT192" ca="1" si="1501">+CQ192+5</f>
        <v>#NAME?</v>
      </c>
      <c r="CS192" s="30" t="e">
        <f t="shared" ca="1" si="1501"/>
        <v>#NAME?</v>
      </c>
      <c r="CT192" s="30" t="e">
        <f t="shared" ca="1" si="1501"/>
        <v>#NAME?</v>
      </c>
      <c r="CU192" s="30" t="e">
        <f t="shared" ref="CU192:CU193" ca="1" si="1502">+CT192</f>
        <v>#NAME?</v>
      </c>
      <c r="CV192" s="30" t="e">
        <f t="shared" ref="CV192:CV193" ca="1" si="1503">+CU192</f>
        <v>#NAME?</v>
      </c>
      <c r="CW192" s="30" t="e">
        <f t="shared" ref="CW192:CW193" ca="1" si="1504">+CV192</f>
        <v>#NAME?</v>
      </c>
      <c r="CX192" s="30" t="e">
        <f t="shared" ref="CX192:CX193" ca="1" si="1505">+CW192</f>
        <v>#NAME?</v>
      </c>
      <c r="CY192" s="30" t="e">
        <f t="shared" ref="CY192:CY193" ca="1" si="1506">+CX192</f>
        <v>#NAME?</v>
      </c>
      <c r="CZ192" s="30" t="e">
        <f t="shared" ref="CZ192:CZ193" ca="1" si="1507">+CY192</f>
        <v>#NAME?</v>
      </c>
      <c r="DA192" s="30" t="e">
        <f t="shared" ref="DA192:DA193" ca="1" si="1508">+CZ192</f>
        <v>#NAME?</v>
      </c>
      <c r="DB192" s="30" t="e">
        <f t="shared" ref="DB192:DB193" ca="1" si="1509">+DA192</f>
        <v>#NAME?</v>
      </c>
      <c r="DE192" s="139"/>
      <c r="DF192" s="62">
        <v>40.870069077678686</v>
      </c>
    </row>
    <row r="193" spans="1:110" s="62" customFormat="1" outlineLevel="1" x14ac:dyDescent="0.2">
      <c r="A193" s="68" t="s">
        <v>465</v>
      </c>
      <c r="B193" s="67" t="e">
        <f t="shared" ref="B193:AE193" ca="1" si="1510">B158/B16*365</f>
        <v>#NAME?</v>
      </c>
      <c r="C193" s="67" t="e">
        <f t="shared" ca="1" si="1510"/>
        <v>#NAME?</v>
      </c>
      <c r="D193" s="67" t="e">
        <f t="shared" ca="1" si="1510"/>
        <v>#NAME?</v>
      </c>
      <c r="E193" s="67" t="e">
        <f t="shared" ca="1" si="1510"/>
        <v>#NAME?</v>
      </c>
      <c r="F193" s="67" t="e">
        <f t="shared" ca="1" si="1510"/>
        <v>#NAME?</v>
      </c>
      <c r="G193" s="67" t="e">
        <f t="shared" ca="1" si="1510"/>
        <v>#NAME?</v>
      </c>
      <c r="H193" s="67" t="e">
        <f t="shared" ca="1" si="1510"/>
        <v>#NAME?</v>
      </c>
      <c r="I193" s="67" t="e">
        <f t="shared" ca="1" si="1510"/>
        <v>#NAME?</v>
      </c>
      <c r="J193" s="67" t="e">
        <f t="shared" ca="1" si="1510"/>
        <v>#NAME?</v>
      </c>
      <c r="K193" s="67" t="e">
        <f t="shared" ca="1" si="1510"/>
        <v>#NAME?</v>
      </c>
      <c r="L193" s="67" t="e">
        <f t="shared" ca="1" si="1510"/>
        <v>#NAME?</v>
      </c>
      <c r="M193" s="67" t="e">
        <f t="shared" ca="1" si="1510"/>
        <v>#NAME?</v>
      </c>
      <c r="N193" s="67" t="e">
        <f t="shared" ca="1" si="1510"/>
        <v>#NAME?</v>
      </c>
      <c r="O193" s="67" t="e">
        <f t="shared" ca="1" si="1510"/>
        <v>#NAME?</v>
      </c>
      <c r="P193" s="67" t="e">
        <f t="shared" ca="1" si="1510"/>
        <v>#NAME?</v>
      </c>
      <c r="Q193" s="67" t="e">
        <f t="shared" ca="1" si="1510"/>
        <v>#NAME?</v>
      </c>
      <c r="R193" s="67" t="e">
        <f t="shared" ca="1" si="1510"/>
        <v>#NAME?</v>
      </c>
      <c r="S193" s="67" t="e">
        <f t="shared" ca="1" si="1510"/>
        <v>#NAME?</v>
      </c>
      <c r="T193" s="67" t="e">
        <f t="shared" ca="1" si="1510"/>
        <v>#NAME?</v>
      </c>
      <c r="U193" s="67" t="e">
        <f t="shared" ca="1" si="1510"/>
        <v>#NAME?</v>
      </c>
      <c r="V193" s="67" t="e">
        <f t="shared" ca="1" si="1510"/>
        <v>#NAME?</v>
      </c>
      <c r="W193" s="67" t="e">
        <f t="shared" ca="1" si="1510"/>
        <v>#NAME?</v>
      </c>
      <c r="X193" s="67" t="e">
        <f t="shared" ca="1" si="1510"/>
        <v>#NAME?</v>
      </c>
      <c r="Y193" s="67" t="e">
        <f t="shared" ca="1" si="1510"/>
        <v>#NAME?</v>
      </c>
      <c r="Z193" s="67" t="e">
        <f t="shared" ca="1" si="1510"/>
        <v>#NAME?</v>
      </c>
      <c r="AA193" s="67" t="e">
        <f t="shared" ref="AA193" ca="1" si="1511">AA158/AA16*365</f>
        <v>#NAME?</v>
      </c>
      <c r="AB193" s="18" t="e">
        <f t="shared" ca="1" si="1510"/>
        <v>#NAME?</v>
      </c>
      <c r="AC193" s="18" t="e">
        <f t="shared" ca="1" si="1510"/>
        <v>#NAME?</v>
      </c>
      <c r="AD193" s="18" t="e">
        <f t="shared" ca="1" si="1510"/>
        <v>#NAME?</v>
      </c>
      <c r="AE193" s="18" t="e">
        <f t="shared" ca="1" si="1510"/>
        <v>#NAME?</v>
      </c>
      <c r="AI193" s="67" t="e">
        <f ca="1">AJ158/AI16*90</f>
        <v>#NAME?</v>
      </c>
      <c r="AJ193" s="67" t="e">
        <f ca="1">AJ158/AJ16*90</f>
        <v>#NAME?</v>
      </c>
      <c r="AK193" s="67" t="e">
        <f ca="1">+AJ193</f>
        <v>#NAME?</v>
      </c>
      <c r="AL193" s="67" t="e">
        <f ca="1">AL158/AL16*90</f>
        <v>#NAME?</v>
      </c>
      <c r="AM193" s="67" t="e">
        <f t="shared" ca="1" si="1476"/>
        <v>#NAME?</v>
      </c>
      <c r="AN193" s="67" t="e">
        <f ca="1">AN158/AN16*90</f>
        <v>#NAME?</v>
      </c>
      <c r="AO193" s="67" t="e">
        <f t="shared" ca="1" si="1477"/>
        <v>#NAME?</v>
      </c>
      <c r="AP193" s="67" t="e">
        <f ca="1">AP158/AP16*90</f>
        <v>#NAME?</v>
      </c>
      <c r="AQ193" s="67" t="e">
        <f t="shared" ca="1" si="1478"/>
        <v>#NAME?</v>
      </c>
      <c r="AR193" s="67" t="e">
        <f ca="1">AR158/AR16*90</f>
        <v>#NAME?</v>
      </c>
      <c r="AS193" s="67" t="e">
        <f t="shared" ca="1" si="1479"/>
        <v>#NAME?</v>
      </c>
      <c r="AT193" s="67" t="e">
        <f ca="1">AT158/AT16*90</f>
        <v>#NAME?</v>
      </c>
      <c r="AU193" s="67" t="e">
        <f t="shared" ca="1" si="1480"/>
        <v>#NAME?</v>
      </c>
      <c r="AV193" s="67" t="e">
        <f ca="1">AV158/AV16*90</f>
        <v>#NAME?</v>
      </c>
      <c r="AW193" s="67" t="e">
        <f t="shared" ca="1" si="1481"/>
        <v>#NAME?</v>
      </c>
      <c r="AX193" s="67" t="e">
        <f ca="1">AX158/AX16*90</f>
        <v>#NAME?</v>
      </c>
      <c r="AY193" s="67" t="e">
        <f t="shared" ca="1" si="1482"/>
        <v>#NAME?</v>
      </c>
      <c r="AZ193" s="67" t="e">
        <f ca="1">AZ158/AZ16*90</f>
        <v>#NAME?</v>
      </c>
      <c r="BA193" s="67" t="e">
        <f t="shared" ca="1" si="1483"/>
        <v>#NAME?</v>
      </c>
      <c r="BB193" s="67" t="e">
        <f ca="1">BB158/BB16*90</f>
        <v>#NAME?</v>
      </c>
      <c r="BC193" s="67" t="e">
        <f t="shared" ca="1" si="1484"/>
        <v>#NAME?</v>
      </c>
      <c r="BD193" s="67" t="e">
        <f ca="1">BD158/BD16*90</f>
        <v>#NAME?</v>
      </c>
      <c r="BE193" s="67" t="e">
        <f t="shared" ca="1" si="1485"/>
        <v>#NAME?</v>
      </c>
      <c r="BF193" s="67" t="e">
        <f ca="1">BF158/BF16*90</f>
        <v>#NAME?</v>
      </c>
      <c r="BG193" s="67" t="e">
        <f t="shared" ca="1" si="1486"/>
        <v>#NAME?</v>
      </c>
      <c r="BH193" s="67" t="e">
        <f ca="1">BH158/BH16*90</f>
        <v>#NAME?</v>
      </c>
      <c r="BI193" s="67" t="e">
        <f t="shared" ca="1" si="1487"/>
        <v>#NAME?</v>
      </c>
      <c r="BJ193" s="67" t="e">
        <f ca="1">BJ158/BJ16*90</f>
        <v>#NAME?</v>
      </c>
      <c r="BK193" s="67" t="e">
        <f t="shared" ca="1" si="1488"/>
        <v>#NAME?</v>
      </c>
      <c r="BL193" s="67" t="e">
        <f ca="1">BL158/BL16*90</f>
        <v>#NAME?</v>
      </c>
      <c r="BM193" s="67" t="e">
        <f t="shared" ca="1" si="1489"/>
        <v>#NAME?</v>
      </c>
      <c r="BN193" s="67" t="e">
        <f ca="1">BN158/BN16*90</f>
        <v>#NAME?</v>
      </c>
      <c r="BO193" s="67" t="e">
        <f t="shared" ca="1" si="1490"/>
        <v>#NAME?</v>
      </c>
      <c r="BP193" s="67" t="e">
        <f ca="1">BP158/BP16*90</f>
        <v>#NAME?</v>
      </c>
      <c r="BQ193" s="67" t="e">
        <f t="shared" ca="1" si="1491"/>
        <v>#NAME?</v>
      </c>
      <c r="BR193" s="67" t="e">
        <f ca="1">BR158/BR16*90</f>
        <v>#NAME?</v>
      </c>
      <c r="BS193" s="67" t="e">
        <f t="shared" ca="1" si="1492"/>
        <v>#NAME?</v>
      </c>
      <c r="BT193" s="67" t="e">
        <f ca="1">BT158/BT16*90</f>
        <v>#NAME?</v>
      </c>
      <c r="BU193" s="67" t="e">
        <f t="shared" ca="1" si="1493"/>
        <v>#NAME?</v>
      </c>
      <c r="BV193" s="67" t="e">
        <f ca="1">BV158/BV16*90</f>
        <v>#NAME?</v>
      </c>
      <c r="BW193" s="67" t="e">
        <f t="shared" ca="1" si="1494"/>
        <v>#NAME?</v>
      </c>
      <c r="BX193" s="67" t="e">
        <f ca="1">BX158/BX16*90</f>
        <v>#NAME?</v>
      </c>
      <c r="BY193" s="67" t="e">
        <f t="shared" ca="1" si="1495"/>
        <v>#NAME?</v>
      </c>
      <c r="BZ193" s="67" t="e">
        <f ca="1">BZ158/BZ16*90</f>
        <v>#NAME?</v>
      </c>
      <c r="CA193" s="67" t="e">
        <f t="shared" ca="1" si="1496"/>
        <v>#NAME?</v>
      </c>
      <c r="CB193" s="67" t="e">
        <f ca="1">CB158/CB16*90</f>
        <v>#NAME?</v>
      </c>
      <c r="CC193" s="67" t="e">
        <f t="shared" ca="1" si="1497"/>
        <v>#NAME?</v>
      </c>
      <c r="CD193" s="67" t="e">
        <f ca="1">CD158/CD16*90</f>
        <v>#NAME?</v>
      </c>
      <c r="CE193" s="114" t="e">
        <f t="shared" ref="CE193" ca="1" si="1512">+CD193</f>
        <v>#NAME?</v>
      </c>
      <c r="CF193" s="67" t="e">
        <f ca="1">CF158/CF16*90</f>
        <v>#NAME?</v>
      </c>
      <c r="CG193" s="67" t="e">
        <f t="shared" ca="1" si="1498"/>
        <v>#NAME?</v>
      </c>
      <c r="CH193" s="67" t="e">
        <f ca="1">CH158/CH16*90</f>
        <v>#NAME?</v>
      </c>
      <c r="CI193" s="67" t="e">
        <f t="shared" ca="1" si="1498"/>
        <v>#NAME?</v>
      </c>
      <c r="CJ193" s="67" t="e">
        <f ca="1">CJ158/CJ16*90</f>
        <v>#NAME?</v>
      </c>
      <c r="CK193" s="67" t="e">
        <f t="shared" ca="1" si="1499"/>
        <v>#NAME?</v>
      </c>
      <c r="CL193" s="67" t="e">
        <f ca="1">CL158/CL16*90</f>
        <v>#NAME?</v>
      </c>
      <c r="CM193" s="30" t="e">
        <f ca="1">+CL193</f>
        <v>#NAME?</v>
      </c>
      <c r="CN193" s="30" t="e">
        <f t="shared" ref="CN193:CP193" ca="1" si="1513">+CM193+1</f>
        <v>#NAME?</v>
      </c>
      <c r="CO193" s="30" t="e">
        <f t="shared" ca="1" si="1513"/>
        <v>#NAME?</v>
      </c>
      <c r="CP193" s="30" t="e">
        <f t="shared" ca="1" si="1513"/>
        <v>#NAME?</v>
      </c>
      <c r="CQ193" s="30" t="e">
        <f t="shared" ref="CQ193:CT193" ca="1" si="1514">+CP193+5</f>
        <v>#NAME?</v>
      </c>
      <c r="CR193" s="30" t="e">
        <f t="shared" ca="1" si="1514"/>
        <v>#NAME?</v>
      </c>
      <c r="CS193" s="30" t="e">
        <f t="shared" ca="1" si="1514"/>
        <v>#NAME?</v>
      </c>
      <c r="CT193" s="30" t="e">
        <f t="shared" ca="1" si="1514"/>
        <v>#NAME?</v>
      </c>
      <c r="CU193" s="30" t="e">
        <f t="shared" ca="1" si="1502"/>
        <v>#NAME?</v>
      </c>
      <c r="CV193" s="30" t="e">
        <f t="shared" ca="1" si="1503"/>
        <v>#NAME?</v>
      </c>
      <c r="CW193" s="30" t="e">
        <f t="shared" ca="1" si="1504"/>
        <v>#NAME?</v>
      </c>
      <c r="CX193" s="30" t="e">
        <f t="shared" ca="1" si="1505"/>
        <v>#NAME?</v>
      </c>
      <c r="CY193" s="30" t="e">
        <f t="shared" ca="1" si="1506"/>
        <v>#NAME?</v>
      </c>
      <c r="CZ193" s="30" t="e">
        <f t="shared" ca="1" si="1507"/>
        <v>#NAME?</v>
      </c>
      <c r="DA193" s="30" t="e">
        <f t="shared" ca="1" si="1508"/>
        <v>#NAME?</v>
      </c>
      <c r="DB193" s="30" t="e">
        <f t="shared" ca="1" si="1509"/>
        <v>#NAME?</v>
      </c>
      <c r="DE193" s="139"/>
      <c r="DF193" s="62">
        <v>16.774815966674275</v>
      </c>
    </row>
    <row r="194" spans="1:110" s="62" customFormat="1" outlineLevel="1" x14ac:dyDescent="0.2">
      <c r="A194" s="68" t="s">
        <v>466</v>
      </c>
      <c r="B194" s="67" t="e">
        <f ca="1">B195-B193-B192</f>
        <v>#NAME?</v>
      </c>
      <c r="C194" s="67" t="e">
        <f t="shared" ref="C194:U194" ca="1" si="1515">C195-C193-C192</f>
        <v>#NAME?</v>
      </c>
      <c r="D194" s="67" t="e">
        <f t="shared" ca="1" si="1515"/>
        <v>#NAME?</v>
      </c>
      <c r="E194" s="67" t="e">
        <f t="shared" ca="1" si="1515"/>
        <v>#NAME?</v>
      </c>
      <c r="F194" s="67" t="e">
        <f t="shared" ca="1" si="1515"/>
        <v>#NAME?</v>
      </c>
      <c r="G194" s="67" t="e">
        <f t="shared" ca="1" si="1515"/>
        <v>#NAME?</v>
      </c>
      <c r="H194" s="67" t="e">
        <f t="shared" ca="1" si="1515"/>
        <v>#NAME?</v>
      </c>
      <c r="I194" s="67" t="e">
        <f t="shared" ca="1" si="1515"/>
        <v>#NAME?</v>
      </c>
      <c r="J194" s="67" t="e">
        <f t="shared" ca="1" si="1515"/>
        <v>#NAME?</v>
      </c>
      <c r="K194" s="67" t="e">
        <f t="shared" ca="1" si="1515"/>
        <v>#NAME?</v>
      </c>
      <c r="L194" s="67" t="e">
        <f t="shared" ca="1" si="1515"/>
        <v>#NAME?</v>
      </c>
      <c r="M194" s="67" t="e">
        <f t="shared" ca="1" si="1515"/>
        <v>#NAME?</v>
      </c>
      <c r="N194" s="67" t="e">
        <f t="shared" ca="1" si="1515"/>
        <v>#NAME?</v>
      </c>
      <c r="O194" s="67" t="e">
        <f t="shared" ca="1" si="1515"/>
        <v>#NAME?</v>
      </c>
      <c r="P194" s="67" t="e">
        <f t="shared" ca="1" si="1515"/>
        <v>#NAME?</v>
      </c>
      <c r="Q194" s="67" t="e">
        <f t="shared" ca="1" si="1515"/>
        <v>#NAME?</v>
      </c>
      <c r="R194" s="67" t="e">
        <f t="shared" ca="1" si="1515"/>
        <v>#NAME?</v>
      </c>
      <c r="S194" s="67" t="e">
        <f t="shared" ca="1" si="1515"/>
        <v>#NAME?</v>
      </c>
      <c r="T194" s="67" t="e">
        <f t="shared" ca="1" si="1515"/>
        <v>#NAME?</v>
      </c>
      <c r="U194" s="67" t="e">
        <f t="shared" ca="1" si="1515"/>
        <v>#NAME?</v>
      </c>
      <c r="V194" s="67" t="e">
        <f ca="1">V195-V193-V192</f>
        <v>#NAME?</v>
      </c>
      <c r="W194" s="67" t="e">
        <f t="shared" ref="W194" ca="1" si="1516">W195-W193-W192</f>
        <v>#NAME?</v>
      </c>
      <c r="X194" s="67" t="e">
        <f t="shared" ref="X194:Y194" ca="1" si="1517">X195-X193-X192</f>
        <v>#NAME?</v>
      </c>
      <c r="Y194" s="67" t="e">
        <f t="shared" ca="1" si="1517"/>
        <v>#NAME?</v>
      </c>
      <c r="Z194" s="67" t="e">
        <f t="shared" ref="Z194:AA194" ca="1" si="1518">Z195-Z193-Z192</f>
        <v>#NAME?</v>
      </c>
      <c r="AA194" s="67" t="e">
        <f t="shared" ca="1" si="1518"/>
        <v>#NAME?</v>
      </c>
      <c r="AB194" s="18" t="e">
        <f t="shared" ref="AA194:AD194" ca="1" si="1519">AB195-AB193-AB192</f>
        <v>#NAME?</v>
      </c>
      <c r="AC194" s="18" t="e">
        <f t="shared" ca="1" si="1519"/>
        <v>#NAME?</v>
      </c>
      <c r="AD194" s="18" t="e">
        <f t="shared" ca="1" si="1519"/>
        <v>#NAME?</v>
      </c>
      <c r="AE194" s="18" t="e">
        <f t="shared" ref="AE194" ca="1" si="1520">AE195-AE193-AE192</f>
        <v>#NAME?</v>
      </c>
      <c r="AI194" s="67" t="e">
        <f t="shared" ref="AI194:AK194" ca="1" si="1521">AI195-AI193-AI192</f>
        <v>#NAME?</v>
      </c>
      <c r="AJ194" s="67" t="e">
        <f t="shared" ref="AJ194:AM194" ca="1" si="1522">AJ195-AJ193-AJ192</f>
        <v>#NAME?</v>
      </c>
      <c r="AK194" s="67" t="e">
        <f t="shared" ca="1" si="1521"/>
        <v>#NAME?</v>
      </c>
      <c r="AL194" s="67" t="e">
        <f t="shared" ca="1" si="1522"/>
        <v>#NAME?</v>
      </c>
      <c r="AM194" s="67" t="e">
        <f t="shared" ca="1" si="1522"/>
        <v>#NAME?</v>
      </c>
      <c r="AN194" s="67" t="e">
        <f t="shared" ref="AN194:AY194" ca="1" si="1523">AN195-AN193-AN192</f>
        <v>#NAME?</v>
      </c>
      <c r="AO194" s="67" t="e">
        <f t="shared" ca="1" si="1523"/>
        <v>#NAME?</v>
      </c>
      <c r="AP194" s="67" t="e">
        <f t="shared" ca="1" si="1523"/>
        <v>#NAME?</v>
      </c>
      <c r="AQ194" s="67" t="e">
        <f t="shared" ca="1" si="1523"/>
        <v>#NAME?</v>
      </c>
      <c r="AR194" s="67" t="e">
        <f t="shared" ca="1" si="1523"/>
        <v>#NAME?</v>
      </c>
      <c r="AS194" s="67" t="e">
        <f t="shared" ca="1" si="1523"/>
        <v>#NAME?</v>
      </c>
      <c r="AT194" s="67" t="e">
        <f t="shared" ca="1" si="1523"/>
        <v>#NAME?</v>
      </c>
      <c r="AU194" s="67" t="e">
        <f t="shared" ca="1" si="1523"/>
        <v>#NAME?</v>
      </c>
      <c r="AV194" s="67" t="e">
        <f t="shared" ca="1" si="1523"/>
        <v>#NAME?</v>
      </c>
      <c r="AW194" s="67" t="e">
        <f t="shared" ca="1" si="1523"/>
        <v>#NAME?</v>
      </c>
      <c r="AX194" s="67" t="e">
        <f t="shared" ca="1" si="1523"/>
        <v>#NAME?</v>
      </c>
      <c r="AY194" s="67" t="e">
        <f t="shared" ca="1" si="1523"/>
        <v>#NAME?</v>
      </c>
      <c r="AZ194" s="67" t="e">
        <f t="shared" ref="AZ194:BC194" ca="1" si="1524">AZ195-AZ193-AZ192</f>
        <v>#NAME?</v>
      </c>
      <c r="BA194" s="67" t="e">
        <f t="shared" ca="1" si="1524"/>
        <v>#NAME?</v>
      </c>
      <c r="BB194" s="67" t="e">
        <f t="shared" ca="1" si="1524"/>
        <v>#NAME?</v>
      </c>
      <c r="BC194" s="67" t="e">
        <f t="shared" ca="1" si="1524"/>
        <v>#NAME?</v>
      </c>
      <c r="BD194" s="67" t="e">
        <f t="shared" ref="BD194:CE194" ca="1" si="1525">BD195-BD193-BD192</f>
        <v>#NAME?</v>
      </c>
      <c r="BE194" s="67" t="e">
        <f t="shared" ca="1" si="1525"/>
        <v>#NAME?</v>
      </c>
      <c r="BF194" s="67" t="e">
        <f t="shared" ca="1" si="1525"/>
        <v>#NAME?</v>
      </c>
      <c r="BG194" s="67" t="e">
        <f t="shared" ca="1" si="1525"/>
        <v>#NAME?</v>
      </c>
      <c r="BH194" s="67" t="e">
        <f t="shared" ca="1" si="1525"/>
        <v>#NAME?</v>
      </c>
      <c r="BI194" s="67" t="e">
        <f t="shared" ca="1" si="1525"/>
        <v>#NAME?</v>
      </c>
      <c r="BJ194" s="67" t="e">
        <f t="shared" ca="1" si="1525"/>
        <v>#NAME?</v>
      </c>
      <c r="BK194" s="67" t="e">
        <f t="shared" ca="1" si="1525"/>
        <v>#NAME?</v>
      </c>
      <c r="BL194" s="67" t="e">
        <f t="shared" ca="1" si="1525"/>
        <v>#NAME?</v>
      </c>
      <c r="BM194" s="67" t="e">
        <f t="shared" ca="1" si="1525"/>
        <v>#NAME?</v>
      </c>
      <c r="BN194" s="67" t="e">
        <f t="shared" ca="1" si="1525"/>
        <v>#NAME?</v>
      </c>
      <c r="BO194" s="67" t="e">
        <f t="shared" ca="1" si="1525"/>
        <v>#NAME?</v>
      </c>
      <c r="BP194" s="67" t="e">
        <f t="shared" ca="1" si="1525"/>
        <v>#NAME?</v>
      </c>
      <c r="BQ194" s="67" t="e">
        <f t="shared" ca="1" si="1525"/>
        <v>#NAME?</v>
      </c>
      <c r="BR194" s="67" t="e">
        <f t="shared" ca="1" si="1525"/>
        <v>#NAME?</v>
      </c>
      <c r="BS194" s="67" t="e">
        <f t="shared" ca="1" si="1525"/>
        <v>#NAME?</v>
      </c>
      <c r="BT194" s="67" t="e">
        <f t="shared" ca="1" si="1525"/>
        <v>#NAME?</v>
      </c>
      <c r="BU194" s="67" t="e">
        <f t="shared" ca="1" si="1525"/>
        <v>#NAME?</v>
      </c>
      <c r="BV194" s="67" t="e">
        <f t="shared" ca="1" si="1525"/>
        <v>#NAME?</v>
      </c>
      <c r="BW194" s="67" t="e">
        <f t="shared" ca="1" si="1525"/>
        <v>#NAME?</v>
      </c>
      <c r="BX194" s="67" t="e">
        <f t="shared" ca="1" si="1525"/>
        <v>#NAME?</v>
      </c>
      <c r="BY194" s="67" t="e">
        <f t="shared" ca="1" si="1525"/>
        <v>#NAME?</v>
      </c>
      <c r="BZ194" s="67" t="e">
        <f t="shared" ca="1" si="1525"/>
        <v>#NAME?</v>
      </c>
      <c r="CA194" s="67" t="e">
        <f t="shared" ca="1" si="1525"/>
        <v>#NAME?</v>
      </c>
      <c r="CB194" s="67" t="e">
        <f t="shared" ca="1" si="1525"/>
        <v>#NAME?</v>
      </c>
      <c r="CC194" s="67" t="e">
        <f t="shared" ca="1" si="1525"/>
        <v>#NAME?</v>
      </c>
      <c r="CD194" s="67" t="e">
        <f t="shared" ca="1" si="1525"/>
        <v>#NAME?</v>
      </c>
      <c r="CE194" s="114" t="e">
        <f t="shared" ca="1" si="1525"/>
        <v>#NAME?</v>
      </c>
      <c r="CF194" s="67" t="e">
        <f t="shared" ref="CF194:CG194" ca="1" si="1526">CF195-CF193-CF192</f>
        <v>#NAME?</v>
      </c>
      <c r="CG194" s="67" t="e">
        <f t="shared" ca="1" si="1526"/>
        <v>#NAME?</v>
      </c>
      <c r="CH194" s="67" t="e">
        <f t="shared" ref="CH194" ca="1" si="1527">CH195-CH193-CH192</f>
        <v>#NAME?</v>
      </c>
      <c r="CI194" s="67" t="e">
        <f ca="1">CH194</f>
        <v>#NAME?</v>
      </c>
      <c r="CJ194" s="67" t="e">
        <f t="shared" ref="CJ194:CL194" ca="1" si="1528">CJ195-CJ193-CJ192</f>
        <v>#NAME?</v>
      </c>
      <c r="CK194" s="67" t="e">
        <f t="shared" ref="CK194:DB194" ca="1" si="1529">CJ194</f>
        <v>#NAME?</v>
      </c>
      <c r="CL194" s="67" t="e">
        <f t="shared" ca="1" si="1528"/>
        <v>#NAME?</v>
      </c>
      <c r="CM194" s="30" t="e">
        <f ca="1">+CL194+5</f>
        <v>#NAME?</v>
      </c>
      <c r="CN194" s="30" t="e">
        <f t="shared" ref="CN194:CP194" ca="1" si="1530">+CM194+5</f>
        <v>#NAME?</v>
      </c>
      <c r="CO194" s="30" t="e">
        <f t="shared" ca="1" si="1530"/>
        <v>#NAME?</v>
      </c>
      <c r="CP194" s="30" t="e">
        <f t="shared" ca="1" si="1530"/>
        <v>#NAME?</v>
      </c>
      <c r="CQ194" s="30" t="e">
        <f t="shared" ca="1" si="1529"/>
        <v>#NAME?</v>
      </c>
      <c r="CR194" s="30" t="e">
        <f t="shared" ca="1" si="1529"/>
        <v>#NAME?</v>
      </c>
      <c r="CS194" s="30" t="e">
        <f t="shared" ca="1" si="1529"/>
        <v>#NAME?</v>
      </c>
      <c r="CT194" s="30" t="e">
        <f t="shared" ca="1" si="1529"/>
        <v>#NAME?</v>
      </c>
      <c r="CU194" s="30" t="e">
        <f t="shared" ca="1" si="1529"/>
        <v>#NAME?</v>
      </c>
      <c r="CV194" s="30" t="e">
        <f t="shared" ca="1" si="1529"/>
        <v>#NAME?</v>
      </c>
      <c r="CW194" s="30" t="e">
        <f t="shared" ca="1" si="1529"/>
        <v>#NAME?</v>
      </c>
      <c r="CX194" s="30" t="e">
        <f t="shared" ca="1" si="1529"/>
        <v>#NAME?</v>
      </c>
      <c r="CY194" s="30" t="e">
        <f t="shared" ca="1" si="1529"/>
        <v>#NAME?</v>
      </c>
      <c r="CZ194" s="30" t="e">
        <f t="shared" ca="1" si="1529"/>
        <v>#NAME?</v>
      </c>
      <c r="DA194" s="30" t="e">
        <f t="shared" ca="1" si="1529"/>
        <v>#NAME?</v>
      </c>
      <c r="DB194" s="30" t="e">
        <f t="shared" ca="1" si="1529"/>
        <v>#NAME?</v>
      </c>
      <c r="DE194" s="139"/>
      <c r="DF194" s="62">
        <v>145.26685201182221</v>
      </c>
    </row>
    <row r="195" spans="1:110" s="7" customFormat="1" outlineLevel="1" x14ac:dyDescent="0.2">
      <c r="A195" s="69" t="s">
        <v>467</v>
      </c>
      <c r="B195" s="70" t="e">
        <f t="shared" ref="B195:AE195" ca="1" si="1531">B161/B16*365</f>
        <v>#NAME?</v>
      </c>
      <c r="C195" s="70" t="e">
        <f t="shared" ca="1" si="1531"/>
        <v>#NAME?</v>
      </c>
      <c r="D195" s="70" t="e">
        <f t="shared" ca="1" si="1531"/>
        <v>#NAME?</v>
      </c>
      <c r="E195" s="70" t="e">
        <f t="shared" ca="1" si="1531"/>
        <v>#NAME?</v>
      </c>
      <c r="F195" s="70" t="e">
        <f t="shared" ca="1" si="1531"/>
        <v>#NAME?</v>
      </c>
      <c r="G195" s="70" t="e">
        <f t="shared" ca="1" si="1531"/>
        <v>#NAME?</v>
      </c>
      <c r="H195" s="70" t="e">
        <f t="shared" ca="1" si="1531"/>
        <v>#NAME?</v>
      </c>
      <c r="I195" s="70" t="e">
        <f t="shared" ca="1" si="1531"/>
        <v>#NAME?</v>
      </c>
      <c r="J195" s="70" t="e">
        <f t="shared" ca="1" si="1531"/>
        <v>#NAME?</v>
      </c>
      <c r="K195" s="70" t="e">
        <f t="shared" ca="1" si="1531"/>
        <v>#NAME?</v>
      </c>
      <c r="L195" s="70" t="e">
        <f t="shared" ca="1" si="1531"/>
        <v>#NAME?</v>
      </c>
      <c r="M195" s="70" t="e">
        <f t="shared" ca="1" si="1531"/>
        <v>#NAME?</v>
      </c>
      <c r="N195" s="70" t="e">
        <f t="shared" ca="1" si="1531"/>
        <v>#NAME?</v>
      </c>
      <c r="O195" s="70" t="e">
        <f t="shared" ca="1" si="1531"/>
        <v>#NAME?</v>
      </c>
      <c r="P195" s="70" t="e">
        <f t="shared" ca="1" si="1531"/>
        <v>#NAME?</v>
      </c>
      <c r="Q195" s="70" t="e">
        <f t="shared" ca="1" si="1531"/>
        <v>#NAME?</v>
      </c>
      <c r="R195" s="70" t="e">
        <f t="shared" ca="1" si="1531"/>
        <v>#NAME?</v>
      </c>
      <c r="S195" s="70" t="e">
        <f t="shared" ca="1" si="1531"/>
        <v>#NAME?</v>
      </c>
      <c r="T195" s="70" t="e">
        <f t="shared" ca="1" si="1531"/>
        <v>#NAME?</v>
      </c>
      <c r="U195" s="70" t="e">
        <f t="shared" ca="1" si="1531"/>
        <v>#NAME?</v>
      </c>
      <c r="V195" s="70" t="e">
        <f t="shared" ca="1" si="1531"/>
        <v>#NAME?</v>
      </c>
      <c r="W195" s="70" t="e">
        <f t="shared" ca="1" si="1531"/>
        <v>#NAME?</v>
      </c>
      <c r="X195" s="70" t="e">
        <f t="shared" ca="1" si="1531"/>
        <v>#NAME?</v>
      </c>
      <c r="Y195" s="70" t="e">
        <f t="shared" ca="1" si="1531"/>
        <v>#NAME?</v>
      </c>
      <c r="Z195" s="70" t="e">
        <f t="shared" ca="1" si="1531"/>
        <v>#NAME?</v>
      </c>
      <c r="AA195" s="70" t="e">
        <f t="shared" ref="AA195" ca="1" si="1532">AA161/AA16*365</f>
        <v>#NAME?</v>
      </c>
      <c r="AB195" s="71" t="e">
        <f t="shared" ca="1" si="1531"/>
        <v>#NAME?</v>
      </c>
      <c r="AC195" s="71" t="e">
        <f t="shared" ca="1" si="1531"/>
        <v>#NAME?</v>
      </c>
      <c r="AD195" s="71" t="e">
        <f t="shared" ca="1" si="1531"/>
        <v>#NAME?</v>
      </c>
      <c r="AE195" s="71" t="e">
        <f t="shared" ca="1" si="1531"/>
        <v>#NAME?</v>
      </c>
      <c r="AI195" s="70" t="e">
        <f t="shared" ref="AI195:CD195" ca="1" si="1533">AI161/AI16*90</f>
        <v>#NAME?</v>
      </c>
      <c r="AJ195" s="70" t="e">
        <f t="shared" ca="1" si="1533"/>
        <v>#NAME?</v>
      </c>
      <c r="AK195" s="70" t="e">
        <f t="shared" ca="1" si="1533"/>
        <v>#NAME?</v>
      </c>
      <c r="AL195" s="70" t="e">
        <f t="shared" ca="1" si="1533"/>
        <v>#NAME?</v>
      </c>
      <c r="AM195" s="70" t="e">
        <f t="shared" ca="1" si="1533"/>
        <v>#NAME?</v>
      </c>
      <c r="AN195" s="70" t="e">
        <f t="shared" ca="1" si="1533"/>
        <v>#NAME?</v>
      </c>
      <c r="AO195" s="70" t="e">
        <f t="shared" ca="1" si="1533"/>
        <v>#NAME?</v>
      </c>
      <c r="AP195" s="70" t="e">
        <f t="shared" ca="1" si="1533"/>
        <v>#NAME?</v>
      </c>
      <c r="AQ195" s="70" t="e">
        <f t="shared" ca="1" si="1533"/>
        <v>#NAME?</v>
      </c>
      <c r="AR195" s="70" t="e">
        <f t="shared" ca="1" si="1533"/>
        <v>#NAME?</v>
      </c>
      <c r="AS195" s="70" t="e">
        <f t="shared" ca="1" si="1533"/>
        <v>#NAME?</v>
      </c>
      <c r="AT195" s="70" t="e">
        <f t="shared" ca="1" si="1533"/>
        <v>#NAME?</v>
      </c>
      <c r="AU195" s="70" t="e">
        <f t="shared" ca="1" si="1533"/>
        <v>#NAME?</v>
      </c>
      <c r="AV195" s="70" t="e">
        <f t="shared" ca="1" si="1533"/>
        <v>#NAME?</v>
      </c>
      <c r="AW195" s="70" t="e">
        <f t="shared" ca="1" si="1533"/>
        <v>#NAME?</v>
      </c>
      <c r="AX195" s="70" t="e">
        <f t="shared" ca="1" si="1533"/>
        <v>#NAME?</v>
      </c>
      <c r="AY195" s="70" t="e">
        <f t="shared" ca="1" si="1533"/>
        <v>#NAME?</v>
      </c>
      <c r="AZ195" s="70" t="e">
        <f t="shared" ca="1" si="1533"/>
        <v>#NAME?</v>
      </c>
      <c r="BA195" s="70" t="e">
        <f t="shared" ca="1" si="1533"/>
        <v>#NAME?</v>
      </c>
      <c r="BB195" s="70" t="e">
        <f t="shared" ca="1" si="1533"/>
        <v>#NAME?</v>
      </c>
      <c r="BC195" s="70" t="e">
        <f t="shared" ca="1" si="1533"/>
        <v>#NAME?</v>
      </c>
      <c r="BD195" s="70" t="e">
        <f t="shared" ca="1" si="1533"/>
        <v>#NAME?</v>
      </c>
      <c r="BE195" s="70" t="e">
        <f t="shared" ca="1" si="1533"/>
        <v>#NAME?</v>
      </c>
      <c r="BF195" s="70" t="e">
        <f t="shared" ca="1" si="1533"/>
        <v>#NAME?</v>
      </c>
      <c r="BG195" s="70" t="e">
        <f t="shared" ca="1" si="1533"/>
        <v>#NAME?</v>
      </c>
      <c r="BH195" s="70" t="e">
        <f t="shared" ca="1" si="1533"/>
        <v>#NAME?</v>
      </c>
      <c r="BI195" s="70" t="e">
        <f t="shared" ca="1" si="1533"/>
        <v>#NAME?</v>
      </c>
      <c r="BJ195" s="70" t="e">
        <f t="shared" ca="1" si="1533"/>
        <v>#NAME?</v>
      </c>
      <c r="BK195" s="70" t="e">
        <f t="shared" ca="1" si="1533"/>
        <v>#NAME?</v>
      </c>
      <c r="BL195" s="70" t="e">
        <f t="shared" ca="1" si="1533"/>
        <v>#NAME?</v>
      </c>
      <c r="BM195" s="70" t="e">
        <f t="shared" ca="1" si="1533"/>
        <v>#NAME?</v>
      </c>
      <c r="BN195" s="70" t="e">
        <f t="shared" ca="1" si="1533"/>
        <v>#NAME?</v>
      </c>
      <c r="BO195" s="70" t="e">
        <f t="shared" ca="1" si="1533"/>
        <v>#NAME?</v>
      </c>
      <c r="BP195" s="70" t="e">
        <f t="shared" ca="1" si="1533"/>
        <v>#NAME?</v>
      </c>
      <c r="BQ195" s="70" t="e">
        <f t="shared" ca="1" si="1533"/>
        <v>#NAME?</v>
      </c>
      <c r="BR195" s="70" t="e">
        <f t="shared" ca="1" si="1533"/>
        <v>#NAME?</v>
      </c>
      <c r="BS195" s="70" t="e">
        <f t="shared" ca="1" si="1533"/>
        <v>#NAME?</v>
      </c>
      <c r="BT195" s="70" t="e">
        <f t="shared" ca="1" si="1533"/>
        <v>#NAME?</v>
      </c>
      <c r="BU195" s="70" t="e">
        <f t="shared" ca="1" si="1533"/>
        <v>#NAME?</v>
      </c>
      <c r="BV195" s="70" t="e">
        <f t="shared" ca="1" si="1533"/>
        <v>#NAME?</v>
      </c>
      <c r="BW195" s="70" t="e">
        <f t="shared" ca="1" si="1533"/>
        <v>#NAME?</v>
      </c>
      <c r="BX195" s="70" t="e">
        <f t="shared" ca="1" si="1533"/>
        <v>#NAME?</v>
      </c>
      <c r="BY195" s="70" t="e">
        <f t="shared" ca="1" si="1533"/>
        <v>#NAME?</v>
      </c>
      <c r="BZ195" s="70" t="e">
        <f t="shared" ca="1" si="1533"/>
        <v>#NAME?</v>
      </c>
      <c r="CA195" s="70" t="e">
        <f t="shared" ca="1" si="1533"/>
        <v>#NAME?</v>
      </c>
      <c r="CB195" s="70" t="e">
        <f t="shared" ca="1" si="1533"/>
        <v>#NAME?</v>
      </c>
      <c r="CC195" s="70" t="e">
        <f t="shared" ca="1" si="1533"/>
        <v>#NAME?</v>
      </c>
      <c r="CD195" s="70" t="e">
        <f t="shared" ca="1" si="1533"/>
        <v>#NAME?</v>
      </c>
      <c r="CE195" s="115" t="e">
        <f ca="1">CE161/CE18*90</f>
        <v>#NAME?</v>
      </c>
      <c r="CF195" s="70" t="e">
        <f ca="1">CF161/CF16*90</f>
        <v>#NAME?</v>
      </c>
      <c r="CG195" s="70" t="e">
        <f ca="1">CG161/CG18*90</f>
        <v>#NAME?</v>
      </c>
      <c r="CH195" s="70" t="e">
        <f ca="1">CH161/CH16*90</f>
        <v>#NAME?</v>
      </c>
      <c r="CI195" s="70" t="e">
        <f ca="1">CI192+CI193+CI194</f>
        <v>#NAME?</v>
      </c>
      <c r="CJ195" s="70" t="e">
        <f ca="1">CJ161/CJ16*90</f>
        <v>#NAME?</v>
      </c>
      <c r="CK195" s="70" t="e">
        <f t="shared" ref="CK195:DB195" ca="1" si="1534">CK192+CK193+CK194</f>
        <v>#NAME?</v>
      </c>
      <c r="CL195" s="70" t="e">
        <f ca="1">CL161/CL16*90</f>
        <v>#NAME?</v>
      </c>
      <c r="CM195" s="50" t="e">
        <f t="shared" ca="1" si="1534"/>
        <v>#NAME?</v>
      </c>
      <c r="CN195" s="50" t="e">
        <f t="shared" ca="1" si="1534"/>
        <v>#NAME?</v>
      </c>
      <c r="CO195" s="50" t="e">
        <f t="shared" ca="1" si="1534"/>
        <v>#NAME?</v>
      </c>
      <c r="CP195" s="50" t="e">
        <f t="shared" ca="1" si="1534"/>
        <v>#NAME?</v>
      </c>
      <c r="CQ195" s="50" t="e">
        <f t="shared" ca="1" si="1534"/>
        <v>#NAME?</v>
      </c>
      <c r="CR195" s="50" t="e">
        <f t="shared" ca="1" si="1534"/>
        <v>#NAME?</v>
      </c>
      <c r="CS195" s="50" t="e">
        <f t="shared" ca="1" si="1534"/>
        <v>#NAME?</v>
      </c>
      <c r="CT195" s="50" t="e">
        <f t="shared" ca="1" si="1534"/>
        <v>#NAME?</v>
      </c>
      <c r="CU195" s="50" t="e">
        <f t="shared" ca="1" si="1534"/>
        <v>#NAME?</v>
      </c>
      <c r="CV195" s="50" t="e">
        <f t="shared" ca="1" si="1534"/>
        <v>#NAME?</v>
      </c>
      <c r="CW195" s="50" t="e">
        <f t="shared" ca="1" si="1534"/>
        <v>#NAME?</v>
      </c>
      <c r="CX195" s="50" t="e">
        <f t="shared" ca="1" si="1534"/>
        <v>#NAME?</v>
      </c>
      <c r="CY195" s="50" t="e">
        <f t="shared" ca="1" si="1534"/>
        <v>#NAME?</v>
      </c>
      <c r="CZ195" s="50" t="e">
        <f t="shared" ca="1" si="1534"/>
        <v>#NAME?</v>
      </c>
      <c r="DA195" s="50" t="e">
        <f t="shared" ca="1" si="1534"/>
        <v>#NAME?</v>
      </c>
      <c r="DB195" s="50" t="e">
        <f t="shared" ca="1" si="1534"/>
        <v>#NAME?</v>
      </c>
      <c r="DE195" s="138"/>
      <c r="DF195" s="7">
        <v>202.91173705617518</v>
      </c>
    </row>
    <row r="196" spans="1:110" s="62" customFormat="1" outlineLevel="1" x14ac:dyDescent="0.2">
      <c r="A196" s="68" t="s">
        <v>468</v>
      </c>
      <c r="B196" s="67" t="e">
        <f t="shared" ref="B196:AE196" ca="1" si="1535">B166/B16*365</f>
        <v>#NAME?</v>
      </c>
      <c r="C196" s="67" t="e">
        <f t="shared" ca="1" si="1535"/>
        <v>#NAME?</v>
      </c>
      <c r="D196" s="67" t="e">
        <f t="shared" ca="1" si="1535"/>
        <v>#NAME?</v>
      </c>
      <c r="E196" s="67" t="e">
        <f t="shared" ca="1" si="1535"/>
        <v>#NAME?</v>
      </c>
      <c r="F196" s="67" t="e">
        <f t="shared" ca="1" si="1535"/>
        <v>#NAME?</v>
      </c>
      <c r="G196" s="67" t="e">
        <f t="shared" ca="1" si="1535"/>
        <v>#NAME?</v>
      </c>
      <c r="H196" s="67" t="e">
        <f t="shared" ca="1" si="1535"/>
        <v>#NAME?</v>
      </c>
      <c r="I196" s="67" t="e">
        <f t="shared" ca="1" si="1535"/>
        <v>#NAME?</v>
      </c>
      <c r="J196" s="67" t="e">
        <f t="shared" ca="1" si="1535"/>
        <v>#NAME?</v>
      </c>
      <c r="K196" s="67" t="e">
        <f t="shared" ca="1" si="1535"/>
        <v>#NAME?</v>
      </c>
      <c r="L196" s="67" t="e">
        <f t="shared" ca="1" si="1535"/>
        <v>#NAME?</v>
      </c>
      <c r="M196" s="67" t="e">
        <f t="shared" ca="1" si="1535"/>
        <v>#NAME?</v>
      </c>
      <c r="N196" s="67" t="e">
        <f t="shared" ca="1" si="1535"/>
        <v>#NAME?</v>
      </c>
      <c r="O196" s="67" t="e">
        <f t="shared" ca="1" si="1535"/>
        <v>#NAME?</v>
      </c>
      <c r="P196" s="67" t="e">
        <f t="shared" ca="1" si="1535"/>
        <v>#NAME?</v>
      </c>
      <c r="Q196" s="67" t="e">
        <f t="shared" ca="1" si="1535"/>
        <v>#NAME?</v>
      </c>
      <c r="R196" s="67" t="e">
        <f t="shared" ca="1" si="1535"/>
        <v>#NAME?</v>
      </c>
      <c r="S196" s="67" t="e">
        <f t="shared" ca="1" si="1535"/>
        <v>#NAME?</v>
      </c>
      <c r="T196" s="67" t="e">
        <f t="shared" ca="1" si="1535"/>
        <v>#NAME?</v>
      </c>
      <c r="U196" s="67" t="e">
        <f t="shared" ca="1" si="1535"/>
        <v>#NAME?</v>
      </c>
      <c r="V196" s="67" t="e">
        <f t="shared" ca="1" si="1535"/>
        <v>#NAME?</v>
      </c>
      <c r="W196" s="67" t="e">
        <f t="shared" ca="1" si="1535"/>
        <v>#NAME?</v>
      </c>
      <c r="X196" s="67" t="e">
        <f t="shared" ca="1" si="1535"/>
        <v>#NAME?</v>
      </c>
      <c r="Y196" s="67" t="e">
        <f t="shared" ca="1" si="1535"/>
        <v>#NAME?</v>
      </c>
      <c r="Z196" s="67" t="e">
        <f t="shared" ca="1" si="1535"/>
        <v>#NAME?</v>
      </c>
      <c r="AA196" s="67" t="e">
        <f t="shared" ref="AA196" ca="1" si="1536">AA166/AA16*365</f>
        <v>#NAME?</v>
      </c>
      <c r="AB196" s="18" t="e">
        <f t="shared" ca="1" si="1535"/>
        <v>#NAME?</v>
      </c>
      <c r="AC196" s="18" t="e">
        <f t="shared" ca="1" si="1535"/>
        <v>#NAME?</v>
      </c>
      <c r="AD196" s="18" t="e">
        <f t="shared" ca="1" si="1535"/>
        <v>#NAME?</v>
      </c>
      <c r="AE196" s="18" t="e">
        <f t="shared" ca="1" si="1535"/>
        <v>#NAME?</v>
      </c>
      <c r="AI196" s="67" t="e">
        <f ca="1">AJ166/AI16*90</f>
        <v>#NAME?</v>
      </c>
      <c r="AJ196" s="67" t="e">
        <f ca="1">AJ166/AJ16*90</f>
        <v>#NAME?</v>
      </c>
      <c r="AK196" s="67" t="e">
        <f t="shared" ref="AK196:CE196" ca="1" si="1537">+AJ196</f>
        <v>#NAME?</v>
      </c>
      <c r="AL196" s="67" t="e">
        <f ca="1">AL166/AL16*90</f>
        <v>#NAME?</v>
      </c>
      <c r="AM196" s="67" t="e">
        <f t="shared" ref="AM196" ca="1" si="1538">+AL196</f>
        <v>#NAME?</v>
      </c>
      <c r="AN196" s="67" t="e">
        <f ca="1">AN166/AN16*90</f>
        <v>#NAME?</v>
      </c>
      <c r="AO196" s="67" t="e">
        <f t="shared" ref="AO196" ca="1" si="1539">+AN196</f>
        <v>#NAME?</v>
      </c>
      <c r="AP196" s="67" t="e">
        <f ca="1">AP166/AP16*90</f>
        <v>#NAME?</v>
      </c>
      <c r="AQ196" s="67" t="e">
        <f t="shared" ref="AQ196" ca="1" si="1540">+AP196</f>
        <v>#NAME?</v>
      </c>
      <c r="AR196" s="67" t="e">
        <f ca="1">AR166/AR16*90</f>
        <v>#NAME?</v>
      </c>
      <c r="AS196" s="67" t="e">
        <f t="shared" ref="AS196" ca="1" si="1541">+AR196</f>
        <v>#NAME?</v>
      </c>
      <c r="AT196" s="67" t="e">
        <f ca="1">AT166/AT16*90</f>
        <v>#NAME?</v>
      </c>
      <c r="AU196" s="67" t="e">
        <f t="shared" ref="AU196" ca="1" si="1542">+AT196</f>
        <v>#NAME?</v>
      </c>
      <c r="AV196" s="67" t="e">
        <f ca="1">AV166/AV16*90</f>
        <v>#NAME?</v>
      </c>
      <c r="AW196" s="67" t="e">
        <f t="shared" ref="AW196" ca="1" si="1543">+AV196</f>
        <v>#NAME?</v>
      </c>
      <c r="AX196" s="67" t="e">
        <f ca="1">AX166/AX16*90</f>
        <v>#NAME?</v>
      </c>
      <c r="AY196" s="67" t="e">
        <f t="shared" ref="AY196" ca="1" si="1544">+AX196</f>
        <v>#NAME?</v>
      </c>
      <c r="AZ196" s="67" t="e">
        <f ca="1">AZ166/AZ16*90</f>
        <v>#NAME?</v>
      </c>
      <c r="BA196" s="67" t="e">
        <f t="shared" ref="BA196" ca="1" si="1545">+AZ196</f>
        <v>#NAME?</v>
      </c>
      <c r="BB196" s="67" t="e">
        <f ca="1">BB166/BB16*90</f>
        <v>#NAME?</v>
      </c>
      <c r="BC196" s="67" t="e">
        <f t="shared" ref="BC196" ca="1" si="1546">+BB196</f>
        <v>#NAME?</v>
      </c>
      <c r="BD196" s="67" t="e">
        <f ca="1">BD166/BD16*90</f>
        <v>#NAME?</v>
      </c>
      <c r="BE196" s="67" t="e">
        <f t="shared" ref="BE196" ca="1" si="1547">+BD196</f>
        <v>#NAME?</v>
      </c>
      <c r="BF196" s="67" t="e">
        <f ca="1">BF166/BF16*90</f>
        <v>#NAME?</v>
      </c>
      <c r="BG196" s="67" t="e">
        <f t="shared" ref="BG196" ca="1" si="1548">+BF196</f>
        <v>#NAME?</v>
      </c>
      <c r="BH196" s="67" t="e">
        <f ca="1">BH166/BH16*90</f>
        <v>#NAME?</v>
      </c>
      <c r="BI196" s="67" t="e">
        <f t="shared" ref="BI196" ca="1" si="1549">+BH196</f>
        <v>#NAME?</v>
      </c>
      <c r="BJ196" s="67" t="e">
        <f ca="1">BJ166/BJ16*90</f>
        <v>#NAME?</v>
      </c>
      <c r="BK196" s="67" t="e">
        <f t="shared" ref="BK196" ca="1" si="1550">+BJ196</f>
        <v>#NAME?</v>
      </c>
      <c r="BL196" s="67" t="e">
        <f ca="1">BL166/BL16*90</f>
        <v>#NAME?</v>
      </c>
      <c r="BM196" s="67" t="e">
        <f t="shared" ref="BM196" ca="1" si="1551">+BL196</f>
        <v>#NAME?</v>
      </c>
      <c r="BN196" s="67" t="e">
        <f ca="1">BN166/BN16*90</f>
        <v>#NAME?</v>
      </c>
      <c r="BO196" s="67" t="e">
        <f t="shared" ref="BO196" ca="1" si="1552">+BN196</f>
        <v>#NAME?</v>
      </c>
      <c r="BP196" s="67" t="e">
        <f ca="1">BP166/BP16*90</f>
        <v>#NAME?</v>
      </c>
      <c r="BQ196" s="67" t="e">
        <f t="shared" ref="BQ196" ca="1" si="1553">+BP196</f>
        <v>#NAME?</v>
      </c>
      <c r="BR196" s="67" t="e">
        <f ca="1">BR166/BR16*90</f>
        <v>#NAME?</v>
      </c>
      <c r="BS196" s="67" t="e">
        <f t="shared" ref="BS196" ca="1" si="1554">+BR196</f>
        <v>#NAME?</v>
      </c>
      <c r="BT196" s="67" t="e">
        <f ca="1">BT166/BT16*90</f>
        <v>#NAME?</v>
      </c>
      <c r="BU196" s="67" t="e">
        <f t="shared" ref="BU196" ca="1" si="1555">+BT196</f>
        <v>#NAME?</v>
      </c>
      <c r="BV196" s="67" t="e">
        <f ca="1">BV166/BV16*90</f>
        <v>#NAME?</v>
      </c>
      <c r="BW196" s="67" t="e">
        <f t="shared" ref="BW196" ca="1" si="1556">+BV196</f>
        <v>#NAME?</v>
      </c>
      <c r="BX196" s="67" t="e">
        <f ca="1">BX166/BX16*90</f>
        <v>#NAME?</v>
      </c>
      <c r="BY196" s="67" t="e">
        <f t="shared" ref="BY196" ca="1" si="1557">+BX196</f>
        <v>#NAME?</v>
      </c>
      <c r="BZ196" s="67" t="e">
        <f ca="1">BZ166/BZ16*90</f>
        <v>#NAME?</v>
      </c>
      <c r="CA196" s="67" t="e">
        <f t="shared" ref="CA196" ca="1" si="1558">+BZ196</f>
        <v>#NAME?</v>
      </c>
      <c r="CB196" s="67" t="e">
        <f ca="1">CB166/CB16*90</f>
        <v>#NAME?</v>
      </c>
      <c r="CC196" s="67" t="e">
        <f t="shared" ref="CC196" ca="1" si="1559">+CB196</f>
        <v>#NAME?</v>
      </c>
      <c r="CD196" s="67" t="e">
        <f ca="1">CD166/CD16*90</f>
        <v>#NAME?</v>
      </c>
      <c r="CE196" s="114" t="e">
        <f t="shared" ca="1" si="1537"/>
        <v>#NAME?</v>
      </c>
      <c r="CF196" s="67" t="e">
        <f ca="1">CF166/CF16*90</f>
        <v>#NAME?</v>
      </c>
      <c r="CG196" s="67" t="e">
        <f t="shared" ref="CG196:CI196" ca="1" si="1560">+CF196</f>
        <v>#NAME?</v>
      </c>
      <c r="CH196" s="67" t="e">
        <f ca="1">CH166/CH16*90</f>
        <v>#NAME?</v>
      </c>
      <c r="CI196" s="67" t="e">
        <f t="shared" ca="1" si="1560"/>
        <v>#NAME?</v>
      </c>
      <c r="CJ196" s="67" t="e">
        <f ca="1">CJ166/CJ16*90</f>
        <v>#NAME?</v>
      </c>
      <c r="CK196" s="67" t="e">
        <f t="shared" ref="CK196" ca="1" si="1561">+CJ196</f>
        <v>#NAME?</v>
      </c>
      <c r="CL196" s="67" t="e">
        <f ca="1">CL166/CL16*90</f>
        <v>#NAME?</v>
      </c>
      <c r="CM196" s="30" t="e">
        <f ca="1">+CL196-1</f>
        <v>#NAME?</v>
      </c>
      <c r="CN196" s="30" t="e">
        <f t="shared" ref="CN196:CP196" ca="1" si="1562">+CM196-1</f>
        <v>#NAME?</v>
      </c>
      <c r="CO196" s="30" t="e">
        <f t="shared" ca="1" si="1562"/>
        <v>#NAME?</v>
      </c>
      <c r="CP196" s="30" t="e">
        <f t="shared" ca="1" si="1562"/>
        <v>#NAME?</v>
      </c>
      <c r="CQ196" s="30" t="e">
        <f ca="1">+CP196-3</f>
        <v>#NAME?</v>
      </c>
      <c r="CR196" s="30" t="e">
        <f t="shared" ref="CR196:CS196" ca="1" si="1563">+CQ196-3</f>
        <v>#NAME?</v>
      </c>
      <c r="CS196" s="30" t="e">
        <f t="shared" ca="1" si="1563"/>
        <v>#NAME?</v>
      </c>
      <c r="CT196" s="30" t="e">
        <f ca="1">+CS196-1</f>
        <v>#NAME?</v>
      </c>
      <c r="CU196" s="30" t="e">
        <f t="shared" ref="CU196" ca="1" si="1564">+CT196</f>
        <v>#NAME?</v>
      </c>
      <c r="CV196" s="30" t="e">
        <f t="shared" ref="CV196" ca="1" si="1565">+CU196</f>
        <v>#NAME?</v>
      </c>
      <c r="CW196" s="30" t="e">
        <f t="shared" ref="CW196" ca="1" si="1566">+CV196</f>
        <v>#NAME?</v>
      </c>
      <c r="CX196" s="30" t="e">
        <f t="shared" ref="CX196" ca="1" si="1567">+CW196</f>
        <v>#NAME?</v>
      </c>
      <c r="CY196" s="30" t="e">
        <f t="shared" ref="CY196" ca="1" si="1568">+CX196</f>
        <v>#NAME?</v>
      </c>
      <c r="CZ196" s="30" t="e">
        <f t="shared" ref="CZ196" ca="1" si="1569">+CY196</f>
        <v>#NAME?</v>
      </c>
      <c r="DA196" s="30" t="e">
        <f t="shared" ref="DA196" ca="1" si="1570">+CZ196</f>
        <v>#NAME?</v>
      </c>
      <c r="DB196" s="30" t="e">
        <f t="shared" ref="DB196" ca="1" si="1571">+DA196</f>
        <v>#NAME?</v>
      </c>
      <c r="DE196" s="139"/>
      <c r="DF196" s="62">
        <v>37.572510163401518</v>
      </c>
    </row>
    <row r="197" spans="1:110" s="62" customFormat="1" outlineLevel="1" x14ac:dyDescent="0.2">
      <c r="A197" s="68" t="s">
        <v>466</v>
      </c>
      <c r="B197" s="67" t="e">
        <f ca="1">B198-B196</f>
        <v>#NAME?</v>
      </c>
      <c r="C197" s="67" t="e">
        <f t="shared" ref="C197:V197" ca="1" si="1572">C198-C196</f>
        <v>#NAME?</v>
      </c>
      <c r="D197" s="67" t="e">
        <f t="shared" ca="1" si="1572"/>
        <v>#NAME?</v>
      </c>
      <c r="E197" s="67" t="e">
        <f t="shared" ca="1" si="1572"/>
        <v>#NAME?</v>
      </c>
      <c r="F197" s="67" t="e">
        <f t="shared" ca="1" si="1572"/>
        <v>#NAME?</v>
      </c>
      <c r="G197" s="67" t="e">
        <f t="shared" ca="1" si="1572"/>
        <v>#NAME?</v>
      </c>
      <c r="H197" s="67" t="e">
        <f t="shared" ca="1" si="1572"/>
        <v>#NAME?</v>
      </c>
      <c r="I197" s="67" t="e">
        <f t="shared" ca="1" si="1572"/>
        <v>#NAME?</v>
      </c>
      <c r="J197" s="67" t="e">
        <f t="shared" ca="1" si="1572"/>
        <v>#NAME?</v>
      </c>
      <c r="K197" s="67" t="e">
        <f t="shared" ca="1" si="1572"/>
        <v>#NAME?</v>
      </c>
      <c r="L197" s="67" t="e">
        <f t="shared" ca="1" si="1572"/>
        <v>#NAME?</v>
      </c>
      <c r="M197" s="67" t="e">
        <f t="shared" ca="1" si="1572"/>
        <v>#NAME?</v>
      </c>
      <c r="N197" s="67" t="e">
        <f t="shared" ca="1" si="1572"/>
        <v>#NAME?</v>
      </c>
      <c r="O197" s="67" t="e">
        <f t="shared" ca="1" si="1572"/>
        <v>#NAME?</v>
      </c>
      <c r="P197" s="67" t="e">
        <f t="shared" ca="1" si="1572"/>
        <v>#NAME?</v>
      </c>
      <c r="Q197" s="67" t="e">
        <f t="shared" ca="1" si="1572"/>
        <v>#NAME?</v>
      </c>
      <c r="R197" s="67" t="e">
        <f t="shared" ca="1" si="1572"/>
        <v>#NAME?</v>
      </c>
      <c r="S197" s="67" t="e">
        <f t="shared" ca="1" si="1572"/>
        <v>#NAME?</v>
      </c>
      <c r="T197" s="67" t="e">
        <f t="shared" ca="1" si="1572"/>
        <v>#NAME?</v>
      </c>
      <c r="U197" s="67" t="e">
        <f t="shared" ca="1" si="1572"/>
        <v>#NAME?</v>
      </c>
      <c r="V197" s="67" t="e">
        <f t="shared" ca="1" si="1572"/>
        <v>#NAME?</v>
      </c>
      <c r="W197" s="67" t="e">
        <f t="shared" ref="W197" ca="1" si="1573">W198-W196</f>
        <v>#NAME?</v>
      </c>
      <c r="X197" s="67" t="e">
        <f t="shared" ref="X197:Y197" ca="1" si="1574">X198-X196</f>
        <v>#NAME?</v>
      </c>
      <c r="Y197" s="67" t="e">
        <f t="shared" ca="1" si="1574"/>
        <v>#NAME?</v>
      </c>
      <c r="Z197" s="67" t="e">
        <f t="shared" ref="Z197:AA197" ca="1" si="1575">Z198-Z196</f>
        <v>#NAME?</v>
      </c>
      <c r="AA197" s="67" t="e">
        <f t="shared" ca="1" si="1575"/>
        <v>#NAME?</v>
      </c>
      <c r="AB197" s="18" t="e">
        <f t="shared" ref="AA197:AD197" ca="1" si="1576">AB198-AB196</f>
        <v>#NAME?</v>
      </c>
      <c r="AC197" s="18" t="e">
        <f t="shared" ca="1" si="1576"/>
        <v>#NAME?</v>
      </c>
      <c r="AD197" s="18" t="e">
        <f t="shared" ca="1" si="1576"/>
        <v>#NAME?</v>
      </c>
      <c r="AE197" s="18" t="e">
        <f t="shared" ref="AE197" ca="1" si="1577">AE198-AE196</f>
        <v>#NAME?</v>
      </c>
      <c r="AI197" s="67" t="e">
        <f t="shared" ref="AI197:AK197" ca="1" si="1578">AI198-AI196</f>
        <v>#NAME?</v>
      </c>
      <c r="AJ197" s="67" t="e">
        <f t="shared" ref="AJ197:AM197" ca="1" si="1579">AJ198-AJ196</f>
        <v>#NAME?</v>
      </c>
      <c r="AK197" s="67" t="e">
        <f t="shared" ca="1" si="1578"/>
        <v>#NAME?</v>
      </c>
      <c r="AL197" s="67" t="e">
        <f t="shared" ca="1" si="1579"/>
        <v>#NAME?</v>
      </c>
      <c r="AM197" s="67" t="e">
        <f t="shared" ca="1" si="1579"/>
        <v>#NAME?</v>
      </c>
      <c r="AN197" s="67" t="e">
        <f t="shared" ref="AN197:AY197" ca="1" si="1580">AN198-AN196</f>
        <v>#NAME?</v>
      </c>
      <c r="AO197" s="67" t="e">
        <f t="shared" ca="1" si="1580"/>
        <v>#NAME?</v>
      </c>
      <c r="AP197" s="67" t="e">
        <f t="shared" ca="1" si="1580"/>
        <v>#NAME?</v>
      </c>
      <c r="AQ197" s="67" t="e">
        <f t="shared" ca="1" si="1580"/>
        <v>#NAME?</v>
      </c>
      <c r="AR197" s="67" t="e">
        <f t="shared" ca="1" si="1580"/>
        <v>#NAME?</v>
      </c>
      <c r="AS197" s="67" t="e">
        <f t="shared" ca="1" si="1580"/>
        <v>#NAME?</v>
      </c>
      <c r="AT197" s="67" t="e">
        <f t="shared" ca="1" si="1580"/>
        <v>#NAME?</v>
      </c>
      <c r="AU197" s="67" t="e">
        <f t="shared" ca="1" si="1580"/>
        <v>#NAME?</v>
      </c>
      <c r="AV197" s="67" t="e">
        <f t="shared" ca="1" si="1580"/>
        <v>#NAME?</v>
      </c>
      <c r="AW197" s="67" t="e">
        <f t="shared" ca="1" si="1580"/>
        <v>#NAME?</v>
      </c>
      <c r="AX197" s="67" t="e">
        <f t="shared" ca="1" si="1580"/>
        <v>#NAME?</v>
      </c>
      <c r="AY197" s="67" t="e">
        <f t="shared" ca="1" si="1580"/>
        <v>#NAME?</v>
      </c>
      <c r="AZ197" s="67" t="e">
        <f t="shared" ref="AZ197:BC197" ca="1" si="1581">AZ198-AZ196</f>
        <v>#NAME?</v>
      </c>
      <c r="BA197" s="67" t="e">
        <f t="shared" ca="1" si="1581"/>
        <v>#NAME?</v>
      </c>
      <c r="BB197" s="67" t="e">
        <f t="shared" ca="1" si="1581"/>
        <v>#NAME?</v>
      </c>
      <c r="BC197" s="67" t="e">
        <f t="shared" ca="1" si="1581"/>
        <v>#NAME?</v>
      </c>
      <c r="BD197" s="67" t="e">
        <f t="shared" ref="BD197:CE197" ca="1" si="1582">BD198-BD196</f>
        <v>#NAME?</v>
      </c>
      <c r="BE197" s="67" t="e">
        <f t="shared" ca="1" si="1582"/>
        <v>#NAME?</v>
      </c>
      <c r="BF197" s="67" t="e">
        <f t="shared" ca="1" si="1582"/>
        <v>#NAME?</v>
      </c>
      <c r="BG197" s="67" t="e">
        <f t="shared" ca="1" si="1582"/>
        <v>#NAME?</v>
      </c>
      <c r="BH197" s="67" t="e">
        <f t="shared" ca="1" si="1582"/>
        <v>#NAME?</v>
      </c>
      <c r="BI197" s="67" t="e">
        <f t="shared" ca="1" si="1582"/>
        <v>#NAME?</v>
      </c>
      <c r="BJ197" s="67" t="e">
        <f t="shared" ca="1" si="1582"/>
        <v>#NAME?</v>
      </c>
      <c r="BK197" s="67" t="e">
        <f t="shared" ca="1" si="1582"/>
        <v>#NAME?</v>
      </c>
      <c r="BL197" s="67" t="e">
        <f t="shared" ca="1" si="1582"/>
        <v>#NAME?</v>
      </c>
      <c r="BM197" s="67" t="e">
        <f t="shared" ca="1" si="1582"/>
        <v>#NAME?</v>
      </c>
      <c r="BN197" s="67" t="e">
        <f t="shared" ca="1" si="1582"/>
        <v>#NAME?</v>
      </c>
      <c r="BO197" s="67" t="e">
        <f t="shared" ca="1" si="1582"/>
        <v>#NAME?</v>
      </c>
      <c r="BP197" s="67" t="e">
        <f t="shared" ca="1" si="1582"/>
        <v>#NAME?</v>
      </c>
      <c r="BQ197" s="67" t="e">
        <f t="shared" ca="1" si="1582"/>
        <v>#NAME?</v>
      </c>
      <c r="BR197" s="67" t="e">
        <f t="shared" ca="1" si="1582"/>
        <v>#NAME?</v>
      </c>
      <c r="BS197" s="67" t="e">
        <f t="shared" ca="1" si="1582"/>
        <v>#NAME?</v>
      </c>
      <c r="BT197" s="67" t="e">
        <f t="shared" ca="1" si="1582"/>
        <v>#NAME?</v>
      </c>
      <c r="BU197" s="67" t="e">
        <f t="shared" ca="1" si="1582"/>
        <v>#NAME?</v>
      </c>
      <c r="BV197" s="67" t="e">
        <f t="shared" ca="1" si="1582"/>
        <v>#NAME?</v>
      </c>
      <c r="BW197" s="67" t="e">
        <f t="shared" ca="1" si="1582"/>
        <v>#NAME?</v>
      </c>
      <c r="BX197" s="67" t="e">
        <f t="shared" ca="1" si="1582"/>
        <v>#NAME?</v>
      </c>
      <c r="BY197" s="67" t="e">
        <f t="shared" ca="1" si="1582"/>
        <v>#NAME?</v>
      </c>
      <c r="BZ197" s="67" t="e">
        <f t="shared" ca="1" si="1582"/>
        <v>#NAME?</v>
      </c>
      <c r="CA197" s="67" t="e">
        <f t="shared" ca="1" si="1582"/>
        <v>#NAME?</v>
      </c>
      <c r="CB197" s="67" t="e">
        <f t="shared" ca="1" si="1582"/>
        <v>#NAME?</v>
      </c>
      <c r="CC197" s="67" t="e">
        <f t="shared" ca="1" si="1582"/>
        <v>#NAME?</v>
      </c>
      <c r="CD197" s="67" t="e">
        <f t="shared" ca="1" si="1582"/>
        <v>#NAME?</v>
      </c>
      <c r="CE197" s="114" t="e">
        <f t="shared" ca="1" si="1582"/>
        <v>#NAME?</v>
      </c>
      <c r="CF197" s="67" t="e">
        <f t="shared" ref="CF197:CG197" ca="1" si="1583">CF198-CF196</f>
        <v>#NAME?</v>
      </c>
      <c r="CG197" s="67" t="e">
        <f t="shared" ca="1" si="1583"/>
        <v>#NAME?</v>
      </c>
      <c r="CH197" s="67" t="e">
        <f t="shared" ref="CH197" ca="1" si="1584">CH198-CH196</f>
        <v>#NAME?</v>
      </c>
      <c r="CI197" s="67" t="e">
        <f ca="1">CH197</f>
        <v>#NAME?</v>
      </c>
      <c r="CJ197" s="67" t="e">
        <f t="shared" ref="CJ197:CL197" ca="1" si="1585">CJ198-CJ196</f>
        <v>#NAME?</v>
      </c>
      <c r="CK197" s="67" t="e">
        <f t="shared" ref="CK197:DB197" ca="1" si="1586">CJ197</f>
        <v>#NAME?</v>
      </c>
      <c r="CL197" s="67" t="e">
        <f t="shared" ca="1" si="1585"/>
        <v>#NAME?</v>
      </c>
      <c r="CM197" s="30" t="e">
        <f ca="1">CL197-5</f>
        <v>#NAME?</v>
      </c>
      <c r="CN197" s="30" t="e">
        <f t="shared" ref="CN197:CP197" ca="1" si="1587">CM197-5</f>
        <v>#NAME?</v>
      </c>
      <c r="CO197" s="30" t="e">
        <f t="shared" ca="1" si="1587"/>
        <v>#NAME?</v>
      </c>
      <c r="CP197" s="30" t="e">
        <f t="shared" ca="1" si="1587"/>
        <v>#NAME?</v>
      </c>
      <c r="CQ197" s="30" t="e">
        <f t="shared" ca="1" si="1586"/>
        <v>#NAME?</v>
      </c>
      <c r="CR197" s="30" t="e">
        <f t="shared" ca="1" si="1586"/>
        <v>#NAME?</v>
      </c>
      <c r="CS197" s="30" t="e">
        <f t="shared" ca="1" si="1586"/>
        <v>#NAME?</v>
      </c>
      <c r="CT197" s="30" t="e">
        <f t="shared" ca="1" si="1586"/>
        <v>#NAME?</v>
      </c>
      <c r="CU197" s="30" t="e">
        <f t="shared" ca="1" si="1586"/>
        <v>#NAME?</v>
      </c>
      <c r="CV197" s="30" t="e">
        <f t="shared" ca="1" si="1586"/>
        <v>#NAME?</v>
      </c>
      <c r="CW197" s="30" t="e">
        <f t="shared" ca="1" si="1586"/>
        <v>#NAME?</v>
      </c>
      <c r="CX197" s="30" t="e">
        <f t="shared" ca="1" si="1586"/>
        <v>#NAME?</v>
      </c>
      <c r="CY197" s="30" t="e">
        <f t="shared" ca="1" si="1586"/>
        <v>#NAME?</v>
      </c>
      <c r="CZ197" s="30" t="e">
        <f t="shared" ca="1" si="1586"/>
        <v>#NAME?</v>
      </c>
      <c r="DA197" s="30" t="e">
        <f t="shared" ca="1" si="1586"/>
        <v>#NAME?</v>
      </c>
      <c r="DB197" s="30" t="e">
        <f t="shared" ca="1" si="1586"/>
        <v>#NAME?</v>
      </c>
      <c r="DE197" s="139"/>
      <c r="DF197" s="62">
        <v>90.283087135672076</v>
      </c>
    </row>
    <row r="198" spans="1:110" s="7" customFormat="1" outlineLevel="1" x14ac:dyDescent="0.2">
      <c r="A198" s="69" t="s">
        <v>469</v>
      </c>
      <c r="B198" s="70" t="e">
        <f t="shared" ref="B198:AE198" ca="1" si="1588">B169/B16*365</f>
        <v>#NAME?</v>
      </c>
      <c r="C198" s="70" t="e">
        <f t="shared" ca="1" si="1588"/>
        <v>#NAME?</v>
      </c>
      <c r="D198" s="70" t="e">
        <f t="shared" ca="1" si="1588"/>
        <v>#NAME?</v>
      </c>
      <c r="E198" s="70" t="e">
        <f t="shared" ca="1" si="1588"/>
        <v>#NAME?</v>
      </c>
      <c r="F198" s="70" t="e">
        <f t="shared" ca="1" si="1588"/>
        <v>#NAME?</v>
      </c>
      <c r="G198" s="70" t="e">
        <f t="shared" ca="1" si="1588"/>
        <v>#NAME?</v>
      </c>
      <c r="H198" s="70" t="e">
        <f t="shared" ca="1" si="1588"/>
        <v>#NAME?</v>
      </c>
      <c r="I198" s="70" t="e">
        <f t="shared" ca="1" si="1588"/>
        <v>#NAME?</v>
      </c>
      <c r="J198" s="70" t="e">
        <f t="shared" ca="1" si="1588"/>
        <v>#NAME?</v>
      </c>
      <c r="K198" s="70" t="e">
        <f t="shared" ca="1" si="1588"/>
        <v>#NAME?</v>
      </c>
      <c r="L198" s="70" t="e">
        <f t="shared" ca="1" si="1588"/>
        <v>#NAME?</v>
      </c>
      <c r="M198" s="70" t="e">
        <f t="shared" ca="1" si="1588"/>
        <v>#NAME?</v>
      </c>
      <c r="N198" s="70" t="e">
        <f t="shared" ca="1" si="1588"/>
        <v>#NAME?</v>
      </c>
      <c r="O198" s="70" t="e">
        <f t="shared" ca="1" si="1588"/>
        <v>#NAME?</v>
      </c>
      <c r="P198" s="70" t="e">
        <f t="shared" ca="1" si="1588"/>
        <v>#NAME?</v>
      </c>
      <c r="Q198" s="70" t="e">
        <f t="shared" ca="1" si="1588"/>
        <v>#NAME?</v>
      </c>
      <c r="R198" s="70" t="e">
        <f t="shared" ca="1" si="1588"/>
        <v>#NAME?</v>
      </c>
      <c r="S198" s="70" t="e">
        <f t="shared" ca="1" si="1588"/>
        <v>#NAME?</v>
      </c>
      <c r="T198" s="70" t="e">
        <f t="shared" ca="1" si="1588"/>
        <v>#NAME?</v>
      </c>
      <c r="U198" s="70" t="e">
        <f t="shared" ca="1" si="1588"/>
        <v>#NAME?</v>
      </c>
      <c r="V198" s="70" t="e">
        <f t="shared" ca="1" si="1588"/>
        <v>#NAME?</v>
      </c>
      <c r="W198" s="70" t="e">
        <f t="shared" ca="1" si="1588"/>
        <v>#NAME?</v>
      </c>
      <c r="X198" s="70" t="e">
        <f t="shared" ca="1" si="1588"/>
        <v>#NAME?</v>
      </c>
      <c r="Y198" s="70" t="e">
        <f t="shared" ca="1" si="1588"/>
        <v>#NAME?</v>
      </c>
      <c r="Z198" s="70" t="e">
        <f t="shared" ca="1" si="1588"/>
        <v>#NAME?</v>
      </c>
      <c r="AA198" s="70" t="e">
        <f t="shared" ref="AA198" ca="1" si="1589">AA169/AA16*365</f>
        <v>#NAME?</v>
      </c>
      <c r="AB198" s="71" t="e">
        <f t="shared" ca="1" si="1588"/>
        <v>#NAME?</v>
      </c>
      <c r="AC198" s="71" t="e">
        <f t="shared" ca="1" si="1588"/>
        <v>#NAME?</v>
      </c>
      <c r="AD198" s="71" t="e">
        <f t="shared" ca="1" si="1588"/>
        <v>#NAME?</v>
      </c>
      <c r="AE198" s="71" t="e">
        <f t="shared" ca="1" si="1588"/>
        <v>#NAME?</v>
      </c>
      <c r="AI198" s="70" t="e">
        <f t="shared" ref="AI198:CD198" ca="1" si="1590">AI169/AI16*90</f>
        <v>#NAME?</v>
      </c>
      <c r="AJ198" s="70" t="e">
        <f t="shared" ca="1" si="1590"/>
        <v>#NAME?</v>
      </c>
      <c r="AK198" s="70" t="e">
        <f ca="1">AK169/AK16*90</f>
        <v>#NAME?</v>
      </c>
      <c r="AL198" s="70" t="e">
        <f t="shared" ca="1" si="1590"/>
        <v>#NAME?</v>
      </c>
      <c r="AM198" s="70" t="e">
        <f t="shared" ca="1" si="1590"/>
        <v>#NAME?</v>
      </c>
      <c r="AN198" s="70" t="e">
        <f t="shared" ca="1" si="1590"/>
        <v>#NAME?</v>
      </c>
      <c r="AO198" s="70" t="e">
        <f t="shared" ca="1" si="1590"/>
        <v>#NAME?</v>
      </c>
      <c r="AP198" s="70" t="e">
        <f t="shared" ca="1" si="1590"/>
        <v>#NAME?</v>
      </c>
      <c r="AQ198" s="70" t="e">
        <f t="shared" ca="1" si="1590"/>
        <v>#NAME?</v>
      </c>
      <c r="AR198" s="70" t="e">
        <f t="shared" ca="1" si="1590"/>
        <v>#NAME?</v>
      </c>
      <c r="AS198" s="70" t="e">
        <f t="shared" ca="1" si="1590"/>
        <v>#NAME?</v>
      </c>
      <c r="AT198" s="70" t="e">
        <f t="shared" ca="1" si="1590"/>
        <v>#NAME?</v>
      </c>
      <c r="AU198" s="70" t="e">
        <f t="shared" ca="1" si="1590"/>
        <v>#NAME?</v>
      </c>
      <c r="AV198" s="70" t="e">
        <f t="shared" ca="1" si="1590"/>
        <v>#NAME?</v>
      </c>
      <c r="AW198" s="70" t="e">
        <f t="shared" ca="1" si="1590"/>
        <v>#NAME?</v>
      </c>
      <c r="AX198" s="70" t="e">
        <f t="shared" ca="1" si="1590"/>
        <v>#NAME?</v>
      </c>
      <c r="AY198" s="70" t="e">
        <f t="shared" ca="1" si="1590"/>
        <v>#NAME?</v>
      </c>
      <c r="AZ198" s="70" t="e">
        <f t="shared" ca="1" si="1590"/>
        <v>#NAME?</v>
      </c>
      <c r="BA198" s="70" t="e">
        <f t="shared" ca="1" si="1590"/>
        <v>#NAME?</v>
      </c>
      <c r="BB198" s="70" t="e">
        <f t="shared" ca="1" si="1590"/>
        <v>#NAME?</v>
      </c>
      <c r="BC198" s="70" t="e">
        <f t="shared" ca="1" si="1590"/>
        <v>#NAME?</v>
      </c>
      <c r="BD198" s="70" t="e">
        <f t="shared" ca="1" si="1590"/>
        <v>#NAME?</v>
      </c>
      <c r="BE198" s="70" t="e">
        <f t="shared" ca="1" si="1590"/>
        <v>#NAME?</v>
      </c>
      <c r="BF198" s="70" t="e">
        <f t="shared" ca="1" si="1590"/>
        <v>#NAME?</v>
      </c>
      <c r="BG198" s="70" t="e">
        <f t="shared" ca="1" si="1590"/>
        <v>#NAME?</v>
      </c>
      <c r="BH198" s="70" t="e">
        <f t="shared" ca="1" si="1590"/>
        <v>#NAME?</v>
      </c>
      <c r="BI198" s="70" t="e">
        <f t="shared" ca="1" si="1590"/>
        <v>#NAME?</v>
      </c>
      <c r="BJ198" s="70" t="e">
        <f t="shared" ca="1" si="1590"/>
        <v>#NAME?</v>
      </c>
      <c r="BK198" s="70" t="e">
        <f t="shared" ca="1" si="1590"/>
        <v>#NAME?</v>
      </c>
      <c r="BL198" s="70" t="e">
        <f t="shared" ca="1" si="1590"/>
        <v>#NAME?</v>
      </c>
      <c r="BM198" s="70" t="e">
        <f t="shared" ca="1" si="1590"/>
        <v>#NAME?</v>
      </c>
      <c r="BN198" s="70" t="e">
        <f t="shared" ca="1" si="1590"/>
        <v>#NAME?</v>
      </c>
      <c r="BO198" s="70" t="e">
        <f t="shared" ca="1" si="1590"/>
        <v>#NAME?</v>
      </c>
      <c r="BP198" s="70" t="e">
        <f t="shared" ca="1" si="1590"/>
        <v>#NAME?</v>
      </c>
      <c r="BQ198" s="70" t="e">
        <f t="shared" ca="1" si="1590"/>
        <v>#NAME?</v>
      </c>
      <c r="BR198" s="70" t="e">
        <f t="shared" ca="1" si="1590"/>
        <v>#NAME?</v>
      </c>
      <c r="BS198" s="70" t="e">
        <f t="shared" ca="1" si="1590"/>
        <v>#NAME?</v>
      </c>
      <c r="BT198" s="70" t="e">
        <f t="shared" ca="1" si="1590"/>
        <v>#NAME?</v>
      </c>
      <c r="BU198" s="70" t="e">
        <f t="shared" ca="1" si="1590"/>
        <v>#NAME?</v>
      </c>
      <c r="BV198" s="70" t="e">
        <f t="shared" ca="1" si="1590"/>
        <v>#NAME?</v>
      </c>
      <c r="BW198" s="70" t="e">
        <f t="shared" ca="1" si="1590"/>
        <v>#NAME?</v>
      </c>
      <c r="BX198" s="70" t="e">
        <f t="shared" ca="1" si="1590"/>
        <v>#NAME?</v>
      </c>
      <c r="BY198" s="70" t="e">
        <f t="shared" ca="1" si="1590"/>
        <v>#NAME?</v>
      </c>
      <c r="BZ198" s="70" t="e">
        <f t="shared" ca="1" si="1590"/>
        <v>#NAME?</v>
      </c>
      <c r="CA198" s="70" t="e">
        <f t="shared" ca="1" si="1590"/>
        <v>#NAME?</v>
      </c>
      <c r="CB198" s="70" t="e">
        <f t="shared" ca="1" si="1590"/>
        <v>#NAME?</v>
      </c>
      <c r="CC198" s="70" t="e">
        <f t="shared" ca="1" si="1590"/>
        <v>#NAME?</v>
      </c>
      <c r="CD198" s="70" t="e">
        <f t="shared" ca="1" si="1590"/>
        <v>#NAME?</v>
      </c>
      <c r="CE198" s="115" t="e">
        <f ca="1">CE169/CE18*90</f>
        <v>#NAME?</v>
      </c>
      <c r="CF198" s="70" t="e">
        <f ca="1">CF169/CF16*90</f>
        <v>#NAME?</v>
      </c>
      <c r="CG198" s="70" t="e">
        <f ca="1">CG169/CG18*90</f>
        <v>#NAME?</v>
      </c>
      <c r="CH198" s="70" t="e">
        <f ca="1">CH169/CH16*90</f>
        <v>#NAME?</v>
      </c>
      <c r="CI198" s="70" t="e">
        <f ca="1">CI196+CI197</f>
        <v>#NAME?</v>
      </c>
      <c r="CJ198" s="70" t="e">
        <f ca="1">CJ169/CJ16*90</f>
        <v>#NAME?</v>
      </c>
      <c r="CK198" s="70" t="e">
        <f t="shared" ref="CK198:DB198" ca="1" si="1591">CK196+CK197</f>
        <v>#NAME?</v>
      </c>
      <c r="CL198" s="70" t="e">
        <f ca="1">CL169/CL16*90</f>
        <v>#NAME?</v>
      </c>
      <c r="CM198" s="50" t="e">
        <f t="shared" ca="1" si="1591"/>
        <v>#NAME?</v>
      </c>
      <c r="CN198" s="50" t="e">
        <f t="shared" ca="1" si="1591"/>
        <v>#NAME?</v>
      </c>
      <c r="CO198" s="50" t="e">
        <f t="shared" ca="1" si="1591"/>
        <v>#NAME?</v>
      </c>
      <c r="CP198" s="50" t="e">
        <f t="shared" ca="1" si="1591"/>
        <v>#NAME?</v>
      </c>
      <c r="CQ198" s="50" t="e">
        <f t="shared" ca="1" si="1591"/>
        <v>#NAME?</v>
      </c>
      <c r="CR198" s="50" t="e">
        <f t="shared" ca="1" si="1591"/>
        <v>#NAME?</v>
      </c>
      <c r="CS198" s="50" t="e">
        <f t="shared" ca="1" si="1591"/>
        <v>#NAME?</v>
      </c>
      <c r="CT198" s="50" t="e">
        <f t="shared" ca="1" si="1591"/>
        <v>#NAME?</v>
      </c>
      <c r="CU198" s="50" t="e">
        <f t="shared" ca="1" si="1591"/>
        <v>#NAME?</v>
      </c>
      <c r="CV198" s="50" t="e">
        <f t="shared" ca="1" si="1591"/>
        <v>#NAME?</v>
      </c>
      <c r="CW198" s="50" t="e">
        <f t="shared" ca="1" si="1591"/>
        <v>#NAME?</v>
      </c>
      <c r="CX198" s="50" t="e">
        <f t="shared" ca="1" si="1591"/>
        <v>#NAME?</v>
      </c>
      <c r="CY198" s="50" t="e">
        <f t="shared" ca="1" si="1591"/>
        <v>#NAME?</v>
      </c>
      <c r="CZ198" s="50" t="e">
        <f t="shared" ca="1" si="1591"/>
        <v>#NAME?</v>
      </c>
      <c r="DA198" s="50" t="e">
        <f t="shared" ca="1" si="1591"/>
        <v>#NAME?</v>
      </c>
      <c r="DB198" s="50" t="e">
        <f t="shared" ca="1" si="1591"/>
        <v>#NAME?</v>
      </c>
      <c r="DE198" s="138"/>
      <c r="DF198" s="7">
        <v>127.85559729907359</v>
      </c>
    </row>
    <row r="199" spans="1:110" s="7" customFormat="1" x14ac:dyDescent="0.2">
      <c r="A199" s="69" t="s">
        <v>470</v>
      </c>
      <c r="B199" s="70" t="e">
        <f ca="1">B195-B198</f>
        <v>#NAME?</v>
      </c>
      <c r="C199" s="70" t="e">
        <f t="shared" ref="C199:V199" ca="1" si="1592">C195-C198</f>
        <v>#NAME?</v>
      </c>
      <c r="D199" s="70" t="e">
        <f t="shared" ca="1" si="1592"/>
        <v>#NAME?</v>
      </c>
      <c r="E199" s="70" t="e">
        <f t="shared" ca="1" si="1592"/>
        <v>#NAME?</v>
      </c>
      <c r="F199" s="70" t="e">
        <f t="shared" ca="1" si="1592"/>
        <v>#NAME?</v>
      </c>
      <c r="G199" s="70" t="e">
        <f t="shared" ca="1" si="1592"/>
        <v>#NAME?</v>
      </c>
      <c r="H199" s="70" t="e">
        <f t="shared" ca="1" si="1592"/>
        <v>#NAME?</v>
      </c>
      <c r="I199" s="70" t="e">
        <f t="shared" ca="1" si="1592"/>
        <v>#NAME?</v>
      </c>
      <c r="J199" s="70" t="e">
        <f t="shared" ca="1" si="1592"/>
        <v>#NAME?</v>
      </c>
      <c r="K199" s="70" t="e">
        <f t="shared" ca="1" si="1592"/>
        <v>#NAME?</v>
      </c>
      <c r="L199" s="70" t="e">
        <f t="shared" ca="1" si="1592"/>
        <v>#NAME?</v>
      </c>
      <c r="M199" s="70" t="e">
        <f t="shared" ca="1" si="1592"/>
        <v>#NAME?</v>
      </c>
      <c r="N199" s="70" t="e">
        <f t="shared" ca="1" si="1592"/>
        <v>#NAME?</v>
      </c>
      <c r="O199" s="70" t="e">
        <f t="shared" ca="1" si="1592"/>
        <v>#NAME?</v>
      </c>
      <c r="P199" s="70" t="e">
        <f t="shared" ca="1" si="1592"/>
        <v>#NAME?</v>
      </c>
      <c r="Q199" s="70" t="e">
        <f t="shared" ca="1" si="1592"/>
        <v>#NAME?</v>
      </c>
      <c r="R199" s="70" t="e">
        <f t="shared" ca="1" si="1592"/>
        <v>#NAME?</v>
      </c>
      <c r="S199" s="70" t="e">
        <f t="shared" ca="1" si="1592"/>
        <v>#NAME?</v>
      </c>
      <c r="T199" s="70" t="e">
        <f t="shared" ca="1" si="1592"/>
        <v>#NAME?</v>
      </c>
      <c r="U199" s="70" t="e">
        <f t="shared" ca="1" si="1592"/>
        <v>#NAME?</v>
      </c>
      <c r="V199" s="70" t="e">
        <f t="shared" ca="1" si="1592"/>
        <v>#NAME?</v>
      </c>
      <c r="W199" s="70" t="e">
        <f t="shared" ref="W199" ca="1" si="1593">W195-W198</f>
        <v>#NAME?</v>
      </c>
      <c r="X199" s="70" t="e">
        <f t="shared" ref="X199:Y199" ca="1" si="1594">X195-X198</f>
        <v>#NAME?</v>
      </c>
      <c r="Y199" s="70" t="e">
        <f t="shared" ca="1" si="1594"/>
        <v>#NAME?</v>
      </c>
      <c r="Z199" s="70" t="e">
        <f t="shared" ref="Z199:AA199" ca="1" si="1595">Z195-Z198</f>
        <v>#NAME?</v>
      </c>
      <c r="AA199" s="70" t="e">
        <f t="shared" ca="1" si="1595"/>
        <v>#NAME?</v>
      </c>
      <c r="AB199" s="71" t="e">
        <f t="shared" ref="AA199:AD199" ca="1" si="1596">AB195-AB198</f>
        <v>#NAME?</v>
      </c>
      <c r="AC199" s="71" t="e">
        <f t="shared" ca="1" si="1596"/>
        <v>#NAME?</v>
      </c>
      <c r="AD199" s="71" t="e">
        <f t="shared" ca="1" si="1596"/>
        <v>#NAME?</v>
      </c>
      <c r="AE199" s="71" t="e">
        <f t="shared" ref="AE199" ca="1" si="1597">AE195-AE198</f>
        <v>#NAME?</v>
      </c>
      <c r="AI199" s="70" t="e">
        <f t="shared" ref="AI199:AK199" ca="1" si="1598">AI195-AI198</f>
        <v>#NAME?</v>
      </c>
      <c r="AJ199" s="70" t="e">
        <f t="shared" ref="AJ199:AM199" ca="1" si="1599">AJ195-AJ198</f>
        <v>#NAME?</v>
      </c>
      <c r="AK199" s="70" t="e">
        <f t="shared" ca="1" si="1598"/>
        <v>#NAME?</v>
      </c>
      <c r="AL199" s="70" t="e">
        <f t="shared" ca="1" si="1599"/>
        <v>#NAME?</v>
      </c>
      <c r="AM199" s="70" t="e">
        <f t="shared" ca="1" si="1599"/>
        <v>#NAME?</v>
      </c>
      <c r="AN199" s="70" t="e">
        <f t="shared" ref="AN199:AY199" ca="1" si="1600">AN195-AN198</f>
        <v>#NAME?</v>
      </c>
      <c r="AO199" s="70" t="e">
        <f t="shared" ca="1" si="1600"/>
        <v>#NAME?</v>
      </c>
      <c r="AP199" s="70" t="e">
        <f t="shared" ca="1" si="1600"/>
        <v>#NAME?</v>
      </c>
      <c r="AQ199" s="70" t="e">
        <f t="shared" ca="1" si="1600"/>
        <v>#NAME?</v>
      </c>
      <c r="AR199" s="70" t="e">
        <f t="shared" ca="1" si="1600"/>
        <v>#NAME?</v>
      </c>
      <c r="AS199" s="70" t="e">
        <f t="shared" ca="1" si="1600"/>
        <v>#NAME?</v>
      </c>
      <c r="AT199" s="70" t="e">
        <f t="shared" ca="1" si="1600"/>
        <v>#NAME?</v>
      </c>
      <c r="AU199" s="70" t="e">
        <f t="shared" ca="1" si="1600"/>
        <v>#NAME?</v>
      </c>
      <c r="AV199" s="70" t="e">
        <f t="shared" ca="1" si="1600"/>
        <v>#NAME?</v>
      </c>
      <c r="AW199" s="70" t="e">
        <f t="shared" ca="1" si="1600"/>
        <v>#NAME?</v>
      </c>
      <c r="AX199" s="70" t="e">
        <f t="shared" ca="1" si="1600"/>
        <v>#NAME?</v>
      </c>
      <c r="AY199" s="70" t="e">
        <f t="shared" ca="1" si="1600"/>
        <v>#NAME?</v>
      </c>
      <c r="AZ199" s="70" t="e">
        <f t="shared" ref="AZ199:BC199" ca="1" si="1601">AZ195-AZ198</f>
        <v>#NAME?</v>
      </c>
      <c r="BA199" s="70" t="e">
        <f t="shared" ca="1" si="1601"/>
        <v>#NAME?</v>
      </c>
      <c r="BB199" s="70" t="e">
        <f t="shared" ca="1" si="1601"/>
        <v>#NAME?</v>
      </c>
      <c r="BC199" s="70" t="e">
        <f t="shared" ca="1" si="1601"/>
        <v>#NAME?</v>
      </c>
      <c r="BD199" s="70" t="e">
        <f t="shared" ref="BD199:CE199" ca="1" si="1602">BD195-BD198</f>
        <v>#NAME?</v>
      </c>
      <c r="BE199" s="70" t="e">
        <f t="shared" ca="1" si="1602"/>
        <v>#NAME?</v>
      </c>
      <c r="BF199" s="70" t="e">
        <f t="shared" ca="1" si="1602"/>
        <v>#NAME?</v>
      </c>
      <c r="BG199" s="70" t="e">
        <f t="shared" ca="1" si="1602"/>
        <v>#NAME?</v>
      </c>
      <c r="BH199" s="70" t="e">
        <f t="shared" ca="1" si="1602"/>
        <v>#NAME?</v>
      </c>
      <c r="BI199" s="70" t="e">
        <f t="shared" ca="1" si="1602"/>
        <v>#NAME?</v>
      </c>
      <c r="BJ199" s="70" t="e">
        <f t="shared" ca="1" si="1602"/>
        <v>#NAME?</v>
      </c>
      <c r="BK199" s="70" t="e">
        <f t="shared" ca="1" si="1602"/>
        <v>#NAME?</v>
      </c>
      <c r="BL199" s="70" t="e">
        <f t="shared" ca="1" si="1602"/>
        <v>#NAME?</v>
      </c>
      <c r="BM199" s="70" t="e">
        <f t="shared" ca="1" si="1602"/>
        <v>#NAME?</v>
      </c>
      <c r="BN199" s="70" t="e">
        <f t="shared" ca="1" si="1602"/>
        <v>#NAME?</v>
      </c>
      <c r="BO199" s="70" t="e">
        <f t="shared" ca="1" si="1602"/>
        <v>#NAME?</v>
      </c>
      <c r="BP199" s="70" t="e">
        <f t="shared" ca="1" si="1602"/>
        <v>#NAME?</v>
      </c>
      <c r="BQ199" s="70" t="e">
        <f t="shared" ca="1" si="1602"/>
        <v>#NAME?</v>
      </c>
      <c r="BR199" s="70" t="e">
        <f t="shared" ca="1" si="1602"/>
        <v>#NAME?</v>
      </c>
      <c r="BS199" s="70" t="e">
        <f t="shared" ca="1" si="1602"/>
        <v>#NAME?</v>
      </c>
      <c r="BT199" s="70" t="e">
        <f t="shared" ca="1" si="1602"/>
        <v>#NAME?</v>
      </c>
      <c r="BU199" s="70" t="e">
        <f t="shared" ca="1" si="1602"/>
        <v>#NAME?</v>
      </c>
      <c r="BV199" s="70" t="e">
        <f t="shared" ca="1" si="1602"/>
        <v>#NAME?</v>
      </c>
      <c r="BW199" s="70" t="e">
        <f t="shared" ca="1" si="1602"/>
        <v>#NAME?</v>
      </c>
      <c r="BX199" s="70" t="e">
        <f t="shared" ca="1" si="1602"/>
        <v>#NAME?</v>
      </c>
      <c r="BY199" s="70" t="e">
        <f t="shared" ca="1" si="1602"/>
        <v>#NAME?</v>
      </c>
      <c r="BZ199" s="70" t="e">
        <f t="shared" ca="1" si="1602"/>
        <v>#NAME?</v>
      </c>
      <c r="CA199" s="70" t="e">
        <f t="shared" ca="1" si="1602"/>
        <v>#NAME?</v>
      </c>
      <c r="CB199" s="70" t="e">
        <f t="shared" ca="1" si="1602"/>
        <v>#NAME?</v>
      </c>
      <c r="CC199" s="70" t="e">
        <f t="shared" ca="1" si="1602"/>
        <v>#NAME?</v>
      </c>
      <c r="CD199" s="70" t="e">
        <f t="shared" ca="1" si="1602"/>
        <v>#NAME?</v>
      </c>
      <c r="CE199" s="115" t="e">
        <f t="shared" ca="1" si="1602"/>
        <v>#NAME?</v>
      </c>
      <c r="CF199" s="70" t="e">
        <f t="shared" ref="CF199:CG199" ca="1" si="1603">CF195-CF198</f>
        <v>#NAME?</v>
      </c>
      <c r="CG199" s="70" t="e">
        <f t="shared" ca="1" si="1603"/>
        <v>#NAME?</v>
      </c>
      <c r="CH199" s="70" t="e">
        <f t="shared" ref="CH199:CI199" ca="1" si="1604">CH195-CH198</f>
        <v>#NAME?</v>
      </c>
      <c r="CI199" s="70" t="e">
        <f t="shared" ca="1" si="1604"/>
        <v>#NAME?</v>
      </c>
      <c r="CJ199" s="70" t="e">
        <f t="shared" ref="CJ199:DB199" ca="1" si="1605">CJ195-CJ198</f>
        <v>#NAME?</v>
      </c>
      <c r="CK199" s="70" t="e">
        <f t="shared" ca="1" si="1605"/>
        <v>#NAME?</v>
      </c>
      <c r="CL199" s="70" t="e">
        <f t="shared" ref="CL199" ca="1" si="1606">CL195-CL198</f>
        <v>#NAME?</v>
      </c>
      <c r="CM199" s="50" t="e">
        <f t="shared" ca="1" si="1605"/>
        <v>#NAME?</v>
      </c>
      <c r="CN199" s="50" t="e">
        <f t="shared" ca="1" si="1605"/>
        <v>#NAME?</v>
      </c>
      <c r="CO199" s="50" t="e">
        <f t="shared" ca="1" si="1605"/>
        <v>#NAME?</v>
      </c>
      <c r="CP199" s="50" t="e">
        <f t="shared" ca="1" si="1605"/>
        <v>#NAME?</v>
      </c>
      <c r="CQ199" s="50" t="e">
        <f t="shared" ca="1" si="1605"/>
        <v>#NAME?</v>
      </c>
      <c r="CR199" s="50" t="e">
        <f t="shared" ca="1" si="1605"/>
        <v>#NAME?</v>
      </c>
      <c r="CS199" s="50" t="e">
        <f t="shared" ca="1" si="1605"/>
        <v>#NAME?</v>
      </c>
      <c r="CT199" s="50" t="e">
        <f t="shared" ca="1" si="1605"/>
        <v>#NAME?</v>
      </c>
      <c r="CU199" s="50" t="e">
        <f t="shared" ca="1" si="1605"/>
        <v>#NAME?</v>
      </c>
      <c r="CV199" s="50" t="e">
        <f t="shared" ca="1" si="1605"/>
        <v>#NAME?</v>
      </c>
      <c r="CW199" s="50" t="e">
        <f t="shared" ca="1" si="1605"/>
        <v>#NAME?</v>
      </c>
      <c r="CX199" s="50" t="e">
        <f t="shared" ca="1" si="1605"/>
        <v>#NAME?</v>
      </c>
      <c r="CY199" s="50" t="e">
        <f t="shared" ca="1" si="1605"/>
        <v>#NAME?</v>
      </c>
      <c r="CZ199" s="50" t="e">
        <f t="shared" ca="1" si="1605"/>
        <v>#NAME?</v>
      </c>
      <c r="DA199" s="50" t="e">
        <f t="shared" ca="1" si="1605"/>
        <v>#NAME?</v>
      </c>
      <c r="DB199" s="50" t="e">
        <f t="shared" ca="1" si="1605"/>
        <v>#NAME?</v>
      </c>
      <c r="DE199" s="138"/>
      <c r="DF199" s="7">
        <v>75.05613975710159</v>
      </c>
    </row>
    <row r="200" spans="1:110" s="7" customFormat="1" x14ac:dyDescent="0.2">
      <c r="A200" s="69" t="s">
        <v>86</v>
      </c>
      <c r="AB200" s="77"/>
      <c r="AC200" s="77"/>
      <c r="AD200" s="77"/>
      <c r="AE200" s="77"/>
      <c r="CE200" s="115"/>
      <c r="CG200" s="115"/>
      <c r="CM200" s="50"/>
      <c r="CN200" s="50"/>
      <c r="CO200" s="50"/>
      <c r="CP200" s="50"/>
      <c r="CQ200" s="50"/>
      <c r="CR200" s="50"/>
      <c r="CS200" s="50"/>
      <c r="CT200" s="50"/>
      <c r="CU200" s="50"/>
      <c r="CV200" s="50"/>
      <c r="CW200" s="50"/>
      <c r="CX200" s="50"/>
      <c r="CY200" s="50"/>
      <c r="CZ200" s="50"/>
      <c r="DA200" s="50"/>
      <c r="DB200" s="50"/>
      <c r="DE200" s="138"/>
    </row>
    <row r="201" spans="1:110" s="86" customFormat="1" x14ac:dyDescent="0.2">
      <c r="A201" s="86" t="s">
        <v>440</v>
      </c>
      <c r="C201" s="86" t="e">
        <f t="shared" ref="C201:Y201" ca="1" si="1607">C18/B18-1</f>
        <v>#NAME?</v>
      </c>
      <c r="D201" s="86" t="e">
        <f t="shared" ca="1" si="1607"/>
        <v>#NAME?</v>
      </c>
      <c r="E201" s="86" t="e">
        <f t="shared" ca="1" si="1607"/>
        <v>#NAME?</v>
      </c>
      <c r="F201" s="86" t="e">
        <f t="shared" ca="1" si="1607"/>
        <v>#NAME?</v>
      </c>
      <c r="G201" s="86" t="e">
        <f t="shared" ca="1" si="1607"/>
        <v>#NAME?</v>
      </c>
      <c r="H201" s="86" t="e">
        <f t="shared" ca="1" si="1607"/>
        <v>#NAME?</v>
      </c>
      <c r="I201" s="86" t="e">
        <f t="shared" ca="1" si="1607"/>
        <v>#NAME?</v>
      </c>
      <c r="J201" s="86" t="e">
        <f t="shared" ca="1" si="1607"/>
        <v>#NAME?</v>
      </c>
      <c r="K201" s="86" t="e">
        <f t="shared" ca="1" si="1607"/>
        <v>#NAME?</v>
      </c>
      <c r="L201" s="86" t="e">
        <f t="shared" ca="1" si="1607"/>
        <v>#NAME?</v>
      </c>
      <c r="M201" s="86" t="e">
        <f t="shared" ca="1" si="1607"/>
        <v>#NAME?</v>
      </c>
      <c r="N201" s="86" t="e">
        <f t="shared" ca="1" si="1607"/>
        <v>#NAME?</v>
      </c>
      <c r="O201" s="86" t="e">
        <f t="shared" ca="1" si="1607"/>
        <v>#NAME?</v>
      </c>
      <c r="P201" s="86" t="e">
        <f t="shared" ca="1" si="1607"/>
        <v>#NAME?</v>
      </c>
      <c r="Q201" s="86" t="e">
        <f t="shared" ca="1" si="1607"/>
        <v>#NAME?</v>
      </c>
      <c r="R201" s="86" t="e">
        <f t="shared" ca="1" si="1607"/>
        <v>#NAME?</v>
      </c>
      <c r="S201" s="86" t="e">
        <f t="shared" ca="1" si="1607"/>
        <v>#NAME?</v>
      </c>
      <c r="T201" s="86" t="e">
        <f t="shared" ca="1" si="1607"/>
        <v>#NAME?</v>
      </c>
      <c r="U201" s="86" t="e">
        <f t="shared" ca="1" si="1607"/>
        <v>#NAME?</v>
      </c>
      <c r="V201" s="86" t="e">
        <f t="shared" ca="1" si="1607"/>
        <v>#NAME?</v>
      </c>
      <c r="W201" s="86" t="e">
        <f t="shared" ca="1" si="1607"/>
        <v>#NAME?</v>
      </c>
      <c r="X201" s="86" t="e">
        <f t="shared" ca="1" si="1607"/>
        <v>#NAME?</v>
      </c>
      <c r="Y201" s="86" t="e">
        <f t="shared" ca="1" si="1607"/>
        <v>#NAME?</v>
      </c>
      <c r="Z201" s="86" t="e">
        <f ca="1">Z18/Y18-1</f>
        <v>#NAME?</v>
      </c>
      <c r="AA201" s="86" t="e">
        <f ca="1">AA18/Z18-1</f>
        <v>#NAME?</v>
      </c>
      <c r="AB201" s="87" t="e">
        <f t="shared" ref="AA201:AE201" ca="1" si="1608">AB18/AA18-1</f>
        <v>#NAME?</v>
      </c>
      <c r="AC201" s="87" t="e">
        <f t="shared" ca="1" si="1608"/>
        <v>#NAME?</v>
      </c>
      <c r="AD201" s="87" t="e">
        <f t="shared" ca="1" si="1608"/>
        <v>#NAME?</v>
      </c>
      <c r="AE201" s="87" t="e">
        <f t="shared" ca="1" si="1608"/>
        <v>#NAME?</v>
      </c>
      <c r="AN201" s="86" t="e">
        <f t="shared" ref="AN201:CI201" ca="1" si="1609">+(AN18+AM18)/(AJ18+AI18)-1</f>
        <v>#NAME?</v>
      </c>
      <c r="AO201" s="86" t="e">
        <f t="shared" ca="1" si="1609"/>
        <v>#NAME?</v>
      </c>
      <c r="AP201" s="86" t="e">
        <f t="shared" ca="1" si="1609"/>
        <v>#NAME?</v>
      </c>
      <c r="AQ201" s="86" t="e">
        <f t="shared" ca="1" si="1609"/>
        <v>#NAME?</v>
      </c>
      <c r="AR201" s="86" t="e">
        <f t="shared" ca="1" si="1609"/>
        <v>#NAME?</v>
      </c>
      <c r="AS201" s="86" t="e">
        <f t="shared" ca="1" si="1609"/>
        <v>#NAME?</v>
      </c>
      <c r="AT201" s="86" t="e">
        <f t="shared" ca="1" si="1609"/>
        <v>#NAME?</v>
      </c>
      <c r="AU201" s="86" t="e">
        <f t="shared" ca="1" si="1609"/>
        <v>#NAME?</v>
      </c>
      <c r="AV201" s="86" t="e">
        <f t="shared" ca="1" si="1609"/>
        <v>#NAME?</v>
      </c>
      <c r="AW201" s="86" t="e">
        <f t="shared" ca="1" si="1609"/>
        <v>#NAME?</v>
      </c>
      <c r="AX201" s="86" t="e">
        <f t="shared" ca="1" si="1609"/>
        <v>#NAME?</v>
      </c>
      <c r="AY201" s="86" t="e">
        <f t="shared" ca="1" si="1609"/>
        <v>#NAME?</v>
      </c>
      <c r="AZ201" s="86" t="e">
        <f t="shared" ca="1" si="1609"/>
        <v>#NAME?</v>
      </c>
      <c r="BA201" s="86" t="e">
        <f t="shared" ca="1" si="1609"/>
        <v>#NAME?</v>
      </c>
      <c r="BB201" s="86" t="e">
        <f t="shared" ca="1" si="1609"/>
        <v>#NAME?</v>
      </c>
      <c r="BC201" s="86" t="e">
        <f t="shared" ca="1" si="1609"/>
        <v>#NAME?</v>
      </c>
      <c r="BD201" s="86" t="e">
        <f t="shared" ca="1" si="1609"/>
        <v>#NAME?</v>
      </c>
      <c r="BE201" s="86" t="e">
        <f t="shared" ca="1" si="1609"/>
        <v>#NAME?</v>
      </c>
      <c r="BF201" s="86" t="e">
        <f t="shared" ca="1" si="1609"/>
        <v>#NAME?</v>
      </c>
      <c r="BG201" s="86" t="e">
        <f t="shared" ca="1" si="1609"/>
        <v>#NAME?</v>
      </c>
      <c r="BH201" s="86" t="e">
        <f t="shared" ca="1" si="1609"/>
        <v>#NAME?</v>
      </c>
      <c r="BI201" s="86" t="e">
        <f t="shared" ca="1" si="1609"/>
        <v>#NAME?</v>
      </c>
      <c r="BJ201" s="86" t="e">
        <f t="shared" ca="1" si="1609"/>
        <v>#NAME?</v>
      </c>
      <c r="BK201" s="86" t="e">
        <f t="shared" ca="1" si="1609"/>
        <v>#NAME?</v>
      </c>
      <c r="BL201" s="86" t="e">
        <f t="shared" ca="1" si="1609"/>
        <v>#NAME?</v>
      </c>
      <c r="BM201" s="86" t="e">
        <f t="shared" ca="1" si="1609"/>
        <v>#NAME?</v>
      </c>
      <c r="BN201" s="86" t="e">
        <f t="shared" ca="1" si="1609"/>
        <v>#NAME?</v>
      </c>
      <c r="BO201" s="86" t="e">
        <f t="shared" ca="1" si="1609"/>
        <v>#NAME?</v>
      </c>
      <c r="BP201" s="86" t="e">
        <f t="shared" ca="1" si="1609"/>
        <v>#NAME?</v>
      </c>
      <c r="BQ201" s="86" t="e">
        <f t="shared" ca="1" si="1609"/>
        <v>#NAME?</v>
      </c>
      <c r="BR201" s="86" t="e">
        <f t="shared" ca="1" si="1609"/>
        <v>#NAME?</v>
      </c>
      <c r="BS201" s="86" t="e">
        <f t="shared" ca="1" si="1609"/>
        <v>#NAME?</v>
      </c>
      <c r="BT201" s="86" t="e">
        <f t="shared" ca="1" si="1609"/>
        <v>#NAME?</v>
      </c>
      <c r="BU201" s="86" t="e">
        <f t="shared" ca="1" si="1609"/>
        <v>#NAME?</v>
      </c>
      <c r="BV201" s="86" t="e">
        <f t="shared" ca="1" si="1609"/>
        <v>#NAME?</v>
      </c>
      <c r="BW201" s="86" t="e">
        <f t="shared" ca="1" si="1609"/>
        <v>#NAME?</v>
      </c>
      <c r="BX201" s="86" t="e">
        <f t="shared" ca="1" si="1609"/>
        <v>#NAME?</v>
      </c>
      <c r="BY201" s="86" t="e">
        <f t="shared" ca="1" si="1609"/>
        <v>#NAME?</v>
      </c>
      <c r="BZ201" s="86" t="e">
        <f t="shared" ca="1" si="1609"/>
        <v>#NAME?</v>
      </c>
      <c r="CA201" s="86" t="e">
        <f t="shared" ca="1" si="1609"/>
        <v>#NAME?</v>
      </c>
      <c r="CB201" s="86" t="e">
        <f t="shared" ca="1" si="1609"/>
        <v>#NAME?</v>
      </c>
      <c r="CC201" s="86" t="e">
        <f t="shared" ca="1" si="1609"/>
        <v>#NAME?</v>
      </c>
      <c r="CD201" s="86" t="e">
        <f t="shared" ca="1" si="1609"/>
        <v>#NAME?</v>
      </c>
      <c r="CE201" s="86" t="e">
        <f t="shared" ca="1" si="1609"/>
        <v>#NAME?</v>
      </c>
      <c r="CF201" s="86" t="e">
        <f t="shared" ca="1" si="1609"/>
        <v>#NAME?</v>
      </c>
      <c r="CG201" s="86" t="e">
        <f t="shared" ca="1" si="1609"/>
        <v>#NAME?</v>
      </c>
      <c r="CH201" s="86" t="e">
        <f t="shared" ca="1" si="1609"/>
        <v>#NAME?</v>
      </c>
      <c r="CI201" s="86" t="e">
        <f t="shared" ca="1" si="1609"/>
        <v>#NAME?</v>
      </c>
      <c r="CJ201" s="86" t="e">
        <f ca="1">+(CJ18+CI18)/(CF18+CE18)-1</f>
        <v>#NAME?</v>
      </c>
      <c r="CL201" s="86" t="e">
        <f ca="1">+(CL18+CK18)/(CH18+CG18)-1</f>
        <v>#NAME?</v>
      </c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E201" s="141"/>
      <c r="DF201" s="86">
        <v>0.16010724570520685</v>
      </c>
    </row>
    <row r="202" spans="1:110" s="86" customFormat="1" x14ac:dyDescent="0.2">
      <c r="A202" s="86" t="s">
        <v>441</v>
      </c>
      <c r="C202" s="86" t="e">
        <f t="shared" ref="C202" ca="1" si="1610">C199/B199-1</f>
        <v>#NAME?</v>
      </c>
      <c r="D202" s="86" t="e">
        <f t="shared" ref="D202" ca="1" si="1611">D199/C199-1</f>
        <v>#NAME?</v>
      </c>
      <c r="E202" s="86" t="e">
        <f ca="1">E199/D199-1</f>
        <v>#NAME?</v>
      </c>
      <c r="F202" s="86" t="e">
        <f t="shared" ref="F202" ca="1" si="1612">F199/E199-1</f>
        <v>#NAME?</v>
      </c>
      <c r="G202" s="86" t="e">
        <f t="shared" ref="G202" ca="1" si="1613">G199/F199-1</f>
        <v>#NAME?</v>
      </c>
      <c r="H202" s="86" t="e">
        <f t="shared" ref="H202" ca="1" si="1614">H199/G199-1</f>
        <v>#NAME?</v>
      </c>
      <c r="I202" s="86" t="e">
        <f t="shared" ref="I202" ca="1" si="1615">I199/H199-1</f>
        <v>#NAME?</v>
      </c>
      <c r="J202" s="86" t="e">
        <f t="shared" ref="J202" ca="1" si="1616">J199/I199-1</f>
        <v>#NAME?</v>
      </c>
      <c r="K202" s="86" t="e">
        <f ca="1">K199/J199-1</f>
        <v>#NAME?</v>
      </c>
      <c r="L202" s="86" t="e">
        <f t="shared" ref="L202" ca="1" si="1617">L199/K199-1</f>
        <v>#NAME?</v>
      </c>
      <c r="M202" s="86" t="e">
        <f t="shared" ref="M202" ca="1" si="1618">M199/L199-1</f>
        <v>#NAME?</v>
      </c>
      <c r="N202" s="86" t="e">
        <f t="shared" ref="N202" ca="1" si="1619">N199/M199-1</f>
        <v>#NAME?</v>
      </c>
      <c r="O202" s="86" t="e">
        <f t="shared" ref="O202" ca="1" si="1620">O199/N199-1</f>
        <v>#NAME?</v>
      </c>
      <c r="P202" s="86" t="e">
        <f t="shared" ref="P202" ca="1" si="1621">P199/O199-1</f>
        <v>#NAME?</v>
      </c>
      <c r="Q202" s="86" t="e">
        <f t="shared" ref="Q202" ca="1" si="1622">Q199/P199-1</f>
        <v>#NAME?</v>
      </c>
      <c r="R202" s="86" t="e">
        <f t="shared" ref="R202" ca="1" si="1623">R199/Q199-1</f>
        <v>#NAME?</v>
      </c>
      <c r="S202" s="86" t="e">
        <f t="shared" ref="S202" ca="1" si="1624">S199/R199-1</f>
        <v>#NAME?</v>
      </c>
      <c r="T202" s="86" t="e">
        <f t="shared" ref="T202" ca="1" si="1625">T199/S199-1</f>
        <v>#NAME?</v>
      </c>
      <c r="U202" s="86" t="e">
        <f t="shared" ref="U202" ca="1" si="1626">U199/T199-1</f>
        <v>#NAME?</v>
      </c>
      <c r="V202" s="86" t="e">
        <f t="shared" ref="V202" ca="1" si="1627">V199/U199-1</f>
        <v>#NAME?</v>
      </c>
      <c r="W202" s="86" t="e">
        <f t="shared" ref="W202:AA202" ca="1" si="1628">W199/V199-1</f>
        <v>#NAME?</v>
      </c>
      <c r="X202" s="86" t="e">
        <f t="shared" ca="1" si="1628"/>
        <v>#NAME?</v>
      </c>
      <c r="Y202" s="86" t="e">
        <f t="shared" ca="1" si="1628"/>
        <v>#NAME?</v>
      </c>
      <c r="Z202" s="86" t="e">
        <f t="shared" ca="1" si="1628"/>
        <v>#NAME?</v>
      </c>
      <c r="AA202" s="86" t="e">
        <f t="shared" ca="1" si="1628"/>
        <v>#NAME?</v>
      </c>
      <c r="AB202" s="87" t="e">
        <f t="shared" ref="AB202" ca="1" si="1629">AB199/AA199-1</f>
        <v>#NAME?</v>
      </c>
      <c r="AC202" s="87" t="e">
        <f t="shared" ref="AC202" ca="1" si="1630">AC199/AB199-1</f>
        <v>#NAME?</v>
      </c>
      <c r="AD202" s="87" t="e">
        <f t="shared" ref="AD202" ca="1" si="1631">AD199/AC199-1</f>
        <v>#NAME?</v>
      </c>
      <c r="AE202" s="87" t="e">
        <f t="shared" ref="AE202" ca="1" si="1632">AE199/AD199-1</f>
        <v>#NAME?</v>
      </c>
      <c r="AN202" s="86" t="e">
        <f t="shared" ref="AN202:CI202" ca="1" si="1633">+AN199/AJ199-1</f>
        <v>#NAME?</v>
      </c>
      <c r="AO202" s="86" t="e">
        <f t="shared" ca="1" si="1633"/>
        <v>#NAME?</v>
      </c>
      <c r="AP202" s="86" t="e">
        <f t="shared" ca="1" si="1633"/>
        <v>#NAME?</v>
      </c>
      <c r="AQ202" s="86" t="e">
        <f t="shared" ca="1" si="1633"/>
        <v>#NAME?</v>
      </c>
      <c r="AR202" s="86" t="e">
        <f t="shared" ca="1" si="1633"/>
        <v>#NAME?</v>
      </c>
      <c r="AS202" s="86" t="e">
        <f t="shared" ca="1" si="1633"/>
        <v>#NAME?</v>
      </c>
      <c r="AT202" s="86" t="e">
        <f t="shared" ca="1" si="1633"/>
        <v>#NAME?</v>
      </c>
      <c r="AU202" s="86" t="e">
        <f t="shared" ca="1" si="1633"/>
        <v>#NAME?</v>
      </c>
      <c r="AV202" s="86" t="e">
        <f t="shared" ca="1" si="1633"/>
        <v>#NAME?</v>
      </c>
      <c r="AW202" s="86" t="e">
        <f t="shared" ca="1" si="1633"/>
        <v>#NAME?</v>
      </c>
      <c r="AX202" s="86" t="e">
        <f t="shared" ca="1" si="1633"/>
        <v>#NAME?</v>
      </c>
      <c r="AY202" s="86" t="e">
        <f t="shared" ca="1" si="1633"/>
        <v>#NAME?</v>
      </c>
      <c r="AZ202" s="86" t="e">
        <f t="shared" ca="1" si="1633"/>
        <v>#NAME?</v>
      </c>
      <c r="BA202" s="86" t="e">
        <f t="shared" ca="1" si="1633"/>
        <v>#NAME?</v>
      </c>
      <c r="BB202" s="86" t="e">
        <f t="shared" ca="1" si="1633"/>
        <v>#NAME?</v>
      </c>
      <c r="BC202" s="86" t="e">
        <f t="shared" ca="1" si="1633"/>
        <v>#NAME?</v>
      </c>
      <c r="BD202" s="86" t="e">
        <f t="shared" ca="1" si="1633"/>
        <v>#NAME?</v>
      </c>
      <c r="BE202" s="86" t="e">
        <f t="shared" ca="1" si="1633"/>
        <v>#NAME?</v>
      </c>
      <c r="BF202" s="86" t="e">
        <f t="shared" ca="1" si="1633"/>
        <v>#NAME?</v>
      </c>
      <c r="BG202" s="86" t="e">
        <f t="shared" ca="1" si="1633"/>
        <v>#NAME?</v>
      </c>
      <c r="BH202" s="86" t="e">
        <f t="shared" ca="1" si="1633"/>
        <v>#NAME?</v>
      </c>
      <c r="BI202" s="86" t="e">
        <f t="shared" ca="1" si="1633"/>
        <v>#NAME?</v>
      </c>
      <c r="BJ202" s="86" t="e">
        <f t="shared" ca="1" si="1633"/>
        <v>#NAME?</v>
      </c>
      <c r="BK202" s="86" t="e">
        <f t="shared" ca="1" si="1633"/>
        <v>#NAME?</v>
      </c>
      <c r="BL202" s="86" t="e">
        <f t="shared" ca="1" si="1633"/>
        <v>#NAME?</v>
      </c>
      <c r="BM202" s="86" t="e">
        <f t="shared" ca="1" si="1633"/>
        <v>#NAME?</v>
      </c>
      <c r="BN202" s="86" t="e">
        <f t="shared" ca="1" si="1633"/>
        <v>#NAME?</v>
      </c>
      <c r="BO202" s="86" t="e">
        <f t="shared" ca="1" si="1633"/>
        <v>#NAME?</v>
      </c>
      <c r="BP202" s="86" t="e">
        <f t="shared" ca="1" si="1633"/>
        <v>#NAME?</v>
      </c>
      <c r="BQ202" s="86" t="e">
        <f t="shared" ca="1" si="1633"/>
        <v>#NAME?</v>
      </c>
      <c r="BR202" s="86" t="e">
        <f t="shared" ca="1" si="1633"/>
        <v>#NAME?</v>
      </c>
      <c r="BS202" s="86" t="e">
        <f t="shared" ca="1" si="1633"/>
        <v>#NAME?</v>
      </c>
      <c r="BT202" s="86" t="e">
        <f t="shared" ca="1" si="1633"/>
        <v>#NAME?</v>
      </c>
      <c r="BU202" s="86" t="e">
        <f t="shared" ca="1" si="1633"/>
        <v>#NAME?</v>
      </c>
      <c r="BV202" s="86" t="e">
        <f t="shared" ca="1" si="1633"/>
        <v>#NAME?</v>
      </c>
      <c r="BW202" s="86" t="e">
        <f t="shared" ca="1" si="1633"/>
        <v>#NAME?</v>
      </c>
      <c r="BX202" s="86" t="e">
        <f t="shared" ca="1" si="1633"/>
        <v>#NAME?</v>
      </c>
      <c r="BY202" s="86" t="e">
        <f t="shared" ca="1" si="1633"/>
        <v>#NAME?</v>
      </c>
      <c r="BZ202" s="86" t="e">
        <f t="shared" ca="1" si="1633"/>
        <v>#NAME?</v>
      </c>
      <c r="CA202" s="86" t="e">
        <f t="shared" ca="1" si="1633"/>
        <v>#NAME?</v>
      </c>
      <c r="CB202" s="86" t="e">
        <f t="shared" ca="1" si="1633"/>
        <v>#NAME?</v>
      </c>
      <c r="CC202" s="86" t="e">
        <f t="shared" ca="1" si="1633"/>
        <v>#NAME?</v>
      </c>
      <c r="CD202" s="86" t="e">
        <f t="shared" ca="1" si="1633"/>
        <v>#NAME?</v>
      </c>
      <c r="CE202" s="86" t="e">
        <f t="shared" ca="1" si="1633"/>
        <v>#NAME?</v>
      </c>
      <c r="CF202" s="86" t="e">
        <f t="shared" ca="1" si="1633"/>
        <v>#NAME?</v>
      </c>
      <c r="CG202" s="86" t="e">
        <f t="shared" ca="1" si="1633"/>
        <v>#NAME?</v>
      </c>
      <c r="CH202" s="86" t="e">
        <f t="shared" ca="1" si="1633"/>
        <v>#NAME?</v>
      </c>
      <c r="CI202" s="86" t="e">
        <f t="shared" ca="1" si="1633"/>
        <v>#NAME?</v>
      </c>
      <c r="CJ202" s="86" t="e">
        <f ca="1">+CJ199/CF199-1</f>
        <v>#NAME?</v>
      </c>
      <c r="CL202" s="86" t="e">
        <f ca="1">+CL199/CH199-1</f>
        <v>#NAME?</v>
      </c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E202" s="141"/>
      <c r="DF202" s="86">
        <v>0.43619826012031493</v>
      </c>
    </row>
    <row r="203" spans="1:110" s="103" customFormat="1" x14ac:dyDescent="0.2">
      <c r="A203" s="147" t="s">
        <v>87</v>
      </c>
      <c r="C203" s="103" t="e">
        <f ca="1">IF(C202&gt;C201,"RF",0)</f>
        <v>#NAME?</v>
      </c>
      <c r="D203" s="103" t="e">
        <f ca="1">IF(D202&gt;D201,"RF",0)</f>
        <v>#NAME?</v>
      </c>
      <c r="E203" s="103" t="e">
        <f t="shared" ref="E203:U203" ca="1" si="1634">IF(E202&gt;E201,"RF",0)</f>
        <v>#NAME?</v>
      </c>
      <c r="F203" s="103" t="e">
        <f t="shared" ca="1" si="1634"/>
        <v>#NAME?</v>
      </c>
      <c r="G203" s="103" t="e">
        <f t="shared" ca="1" si="1634"/>
        <v>#NAME?</v>
      </c>
      <c r="H203" s="103" t="e">
        <f t="shared" ca="1" si="1634"/>
        <v>#NAME?</v>
      </c>
      <c r="I203" s="103" t="e">
        <f t="shared" ca="1" si="1634"/>
        <v>#NAME?</v>
      </c>
      <c r="J203" s="103" t="e">
        <f t="shared" ca="1" si="1634"/>
        <v>#NAME?</v>
      </c>
      <c r="K203" s="103" t="e">
        <f t="shared" ca="1" si="1634"/>
        <v>#NAME?</v>
      </c>
      <c r="L203" s="103" t="e">
        <f t="shared" ca="1" si="1634"/>
        <v>#NAME?</v>
      </c>
      <c r="M203" s="103" t="e">
        <f t="shared" ca="1" si="1634"/>
        <v>#NAME?</v>
      </c>
      <c r="N203" s="103" t="e">
        <f t="shared" ca="1" si="1634"/>
        <v>#NAME?</v>
      </c>
      <c r="O203" s="103" t="e">
        <f t="shared" ca="1" si="1634"/>
        <v>#NAME?</v>
      </c>
      <c r="P203" s="103" t="e">
        <f t="shared" ca="1" si="1634"/>
        <v>#NAME?</v>
      </c>
      <c r="Q203" s="103" t="e">
        <f t="shared" ca="1" si="1634"/>
        <v>#NAME?</v>
      </c>
      <c r="R203" s="103" t="e">
        <f t="shared" ca="1" si="1634"/>
        <v>#NAME?</v>
      </c>
      <c r="S203" s="103" t="e">
        <f t="shared" ca="1" si="1634"/>
        <v>#NAME?</v>
      </c>
      <c r="T203" s="103" t="e">
        <f t="shared" ca="1" si="1634"/>
        <v>#NAME?</v>
      </c>
      <c r="U203" s="103" t="e">
        <f t="shared" ca="1" si="1634"/>
        <v>#NAME?</v>
      </c>
      <c r="V203" s="103" t="e">
        <f ca="1">IF(V202&gt;V201,"RF",0)</f>
        <v>#NAME?</v>
      </c>
      <c r="W203" s="103" t="e">
        <f t="shared" ref="W203" ca="1" si="1635">IF(W202&gt;W201,"RF",0)</f>
        <v>#NAME?</v>
      </c>
      <c r="X203" s="103" t="e">
        <f t="shared" ref="X203:Y203" ca="1" si="1636">IF(X202&gt;X201,"RF",0)</f>
        <v>#NAME?</v>
      </c>
      <c r="Y203" s="103" t="e">
        <f t="shared" ca="1" si="1636"/>
        <v>#NAME?</v>
      </c>
      <c r="Z203" s="103" t="e">
        <f t="shared" ref="Z203:AA203" ca="1" si="1637">IF(Z202&gt;Z201,"RF",0)</f>
        <v>#NAME?</v>
      </c>
      <c r="AA203" s="103" t="e">
        <f t="shared" ca="1" si="1637"/>
        <v>#NAME?</v>
      </c>
      <c r="AB203" s="73" t="e">
        <f t="shared" ref="AA203:AD203" ca="1" si="1638">IF(AB202&gt;AB201,"RF",0)</f>
        <v>#NAME?</v>
      </c>
      <c r="AC203" s="73" t="e">
        <f t="shared" ca="1" si="1638"/>
        <v>#NAME?</v>
      </c>
      <c r="AD203" s="73" t="e">
        <f t="shared" ca="1" si="1638"/>
        <v>#NAME?</v>
      </c>
      <c r="AE203" s="73" t="e">
        <f t="shared" ref="AE203" ca="1" si="1639">IF(AE202&gt;AE201,"RF",0)</f>
        <v>#NAME?</v>
      </c>
      <c r="CM203" s="73"/>
      <c r="CN203" s="73"/>
      <c r="CO203" s="73"/>
      <c r="CP203" s="73"/>
      <c r="CQ203" s="73"/>
      <c r="CR203" s="73"/>
      <c r="CS203" s="73"/>
      <c r="CT203" s="73"/>
      <c r="CU203" s="73"/>
      <c r="CV203" s="73"/>
      <c r="CW203" s="73"/>
      <c r="CX203" s="73"/>
      <c r="CY203" s="73"/>
      <c r="CZ203" s="73"/>
      <c r="DA203" s="73"/>
      <c r="DB203" s="73"/>
      <c r="DE203" s="142"/>
      <c r="DF203" s="103" t="s">
        <v>534</v>
      </c>
    </row>
    <row r="204" spans="1:110" x14ac:dyDescent="0.2">
      <c r="A204" s="153" t="s">
        <v>494</v>
      </c>
      <c r="AA204" s="2"/>
      <c r="CL204" s="2"/>
    </row>
    <row r="205" spans="1:110" x14ac:dyDescent="0.2">
      <c r="A205" s="152" t="s">
        <v>495</v>
      </c>
      <c r="AA205" s="2"/>
      <c r="CL205" s="2"/>
    </row>
    <row r="206" spans="1:110" s="23" customFormat="1" x14ac:dyDescent="0.2">
      <c r="A206" s="23" t="s">
        <v>22</v>
      </c>
      <c r="C206" s="23" t="e">
        <f t="shared" ref="C206:AE206" ca="1" si="1640">C56</f>
        <v>#NAME?</v>
      </c>
      <c r="D206" s="23" t="e">
        <f t="shared" ca="1" si="1640"/>
        <v>#NAME?</v>
      </c>
      <c r="E206" s="23" t="e">
        <f t="shared" ca="1" si="1640"/>
        <v>#NAME?</v>
      </c>
      <c r="F206" s="23" t="e">
        <f t="shared" ca="1" si="1640"/>
        <v>#NAME?</v>
      </c>
      <c r="G206" s="23" t="e">
        <f t="shared" ca="1" si="1640"/>
        <v>#NAME?</v>
      </c>
      <c r="H206" s="23" t="e">
        <f t="shared" ca="1" si="1640"/>
        <v>#NAME?</v>
      </c>
      <c r="I206" s="23" t="e">
        <f t="shared" ca="1" si="1640"/>
        <v>#NAME?</v>
      </c>
      <c r="J206" s="23" t="e">
        <f t="shared" ca="1" si="1640"/>
        <v>#NAME?</v>
      </c>
      <c r="K206" s="23" t="e">
        <f t="shared" ca="1" si="1640"/>
        <v>#NAME?</v>
      </c>
      <c r="L206" s="23" t="e">
        <f t="shared" ca="1" si="1640"/>
        <v>#NAME?</v>
      </c>
      <c r="M206" s="23" t="e">
        <f t="shared" ca="1" si="1640"/>
        <v>#NAME?</v>
      </c>
      <c r="N206" s="23" t="e">
        <f t="shared" ca="1" si="1640"/>
        <v>#NAME?</v>
      </c>
      <c r="O206" s="23" t="e">
        <f t="shared" ca="1" si="1640"/>
        <v>#NAME?</v>
      </c>
      <c r="P206" s="23" t="e">
        <f t="shared" ca="1" si="1640"/>
        <v>#NAME?</v>
      </c>
      <c r="Q206" s="23" t="e">
        <f t="shared" ca="1" si="1640"/>
        <v>#NAME?</v>
      </c>
      <c r="R206" s="23" t="e">
        <f t="shared" ca="1" si="1640"/>
        <v>#NAME?</v>
      </c>
      <c r="S206" s="23" t="e">
        <f t="shared" ca="1" si="1640"/>
        <v>#NAME?</v>
      </c>
      <c r="T206" s="23" t="e">
        <f t="shared" ca="1" si="1640"/>
        <v>#NAME?</v>
      </c>
      <c r="U206" s="23" t="e">
        <f t="shared" ca="1" si="1640"/>
        <v>#NAME?</v>
      </c>
      <c r="V206" s="23" t="e">
        <f t="shared" ca="1" si="1640"/>
        <v>#NAME?</v>
      </c>
      <c r="W206" s="23" t="e">
        <f t="shared" ca="1" si="1640"/>
        <v>#NAME?</v>
      </c>
      <c r="X206" s="23" t="e">
        <f t="shared" ca="1" si="1640"/>
        <v>#NAME?</v>
      </c>
      <c r="Y206" s="23" t="e">
        <f t="shared" ca="1" si="1640"/>
        <v>#NAME?</v>
      </c>
      <c r="Z206" s="23" t="e">
        <f t="shared" ca="1" si="1640"/>
        <v>#NAME?</v>
      </c>
      <c r="AA206" s="23" t="e">
        <f t="shared" ref="AA206" ca="1" si="1641">AA56</f>
        <v>#NAME?</v>
      </c>
      <c r="AB206" s="24" t="e">
        <f t="shared" ca="1" si="1640"/>
        <v>#NAME?</v>
      </c>
      <c r="AC206" s="24" t="e">
        <f t="shared" ca="1" si="1640"/>
        <v>#NAME?</v>
      </c>
      <c r="AD206" s="24" t="e">
        <f t="shared" ca="1" si="1640"/>
        <v>#NAME?</v>
      </c>
      <c r="AE206" s="24" t="e">
        <f t="shared" ca="1" si="1640"/>
        <v>#NAME?</v>
      </c>
      <c r="AI206" s="23" t="e">
        <f t="shared" ref="AI206:BN206" ca="1" si="1642">AI56</f>
        <v>#NAME?</v>
      </c>
      <c r="AJ206" s="23" t="e">
        <f t="shared" ca="1" si="1642"/>
        <v>#NAME?</v>
      </c>
      <c r="AK206" s="23" t="e">
        <f t="shared" ca="1" si="1642"/>
        <v>#NAME?</v>
      </c>
      <c r="AL206" s="23" t="e">
        <f t="shared" ca="1" si="1642"/>
        <v>#NAME?</v>
      </c>
      <c r="AM206" s="23" t="e">
        <f t="shared" ca="1" si="1642"/>
        <v>#NAME?</v>
      </c>
      <c r="AN206" s="23" t="e">
        <f t="shared" ca="1" si="1642"/>
        <v>#NAME?</v>
      </c>
      <c r="AO206" s="23" t="e">
        <f t="shared" ca="1" si="1642"/>
        <v>#NAME?</v>
      </c>
      <c r="AP206" s="23" t="e">
        <f t="shared" ca="1" si="1642"/>
        <v>#NAME?</v>
      </c>
      <c r="AQ206" s="23" t="e">
        <f t="shared" ca="1" si="1642"/>
        <v>#NAME?</v>
      </c>
      <c r="AR206" s="23" t="e">
        <f t="shared" ca="1" si="1642"/>
        <v>#NAME?</v>
      </c>
      <c r="AS206" s="23" t="e">
        <f t="shared" ca="1" si="1642"/>
        <v>#NAME?</v>
      </c>
      <c r="AT206" s="23" t="e">
        <f t="shared" ca="1" si="1642"/>
        <v>#NAME?</v>
      </c>
      <c r="AU206" s="23" t="e">
        <f t="shared" ca="1" si="1642"/>
        <v>#NAME?</v>
      </c>
      <c r="AV206" s="23" t="e">
        <f t="shared" ca="1" si="1642"/>
        <v>#NAME?</v>
      </c>
      <c r="AW206" s="23" t="e">
        <f t="shared" ca="1" si="1642"/>
        <v>#NAME?</v>
      </c>
      <c r="AX206" s="23" t="e">
        <f t="shared" ca="1" si="1642"/>
        <v>#NAME?</v>
      </c>
      <c r="AY206" s="23" t="e">
        <f t="shared" ca="1" si="1642"/>
        <v>#NAME?</v>
      </c>
      <c r="AZ206" s="23" t="e">
        <f t="shared" ca="1" si="1642"/>
        <v>#NAME?</v>
      </c>
      <c r="BA206" s="23" t="e">
        <f t="shared" ca="1" si="1642"/>
        <v>#NAME?</v>
      </c>
      <c r="BB206" s="23" t="e">
        <f t="shared" ca="1" si="1642"/>
        <v>#NAME?</v>
      </c>
      <c r="BC206" s="23" t="e">
        <f t="shared" ca="1" si="1642"/>
        <v>#NAME?</v>
      </c>
      <c r="BD206" s="23" t="e">
        <f t="shared" ca="1" si="1642"/>
        <v>#NAME?</v>
      </c>
      <c r="BE206" s="23" t="e">
        <f t="shared" ca="1" si="1642"/>
        <v>#NAME?</v>
      </c>
      <c r="BF206" s="23" t="e">
        <f t="shared" ca="1" si="1642"/>
        <v>#NAME?</v>
      </c>
      <c r="BG206" s="23" t="e">
        <f t="shared" ca="1" si="1642"/>
        <v>#NAME?</v>
      </c>
      <c r="BH206" s="23" t="e">
        <f t="shared" ca="1" si="1642"/>
        <v>#NAME?</v>
      </c>
      <c r="BI206" s="23" t="e">
        <f t="shared" ca="1" si="1642"/>
        <v>#NAME?</v>
      </c>
      <c r="BJ206" s="23" t="e">
        <f t="shared" ca="1" si="1642"/>
        <v>#NAME?</v>
      </c>
      <c r="BK206" s="23" t="e">
        <f t="shared" ca="1" si="1642"/>
        <v>#NAME?</v>
      </c>
      <c r="BL206" s="23" t="e">
        <f t="shared" ca="1" si="1642"/>
        <v>#NAME?</v>
      </c>
      <c r="BM206" s="23" t="e">
        <f t="shared" ca="1" si="1642"/>
        <v>#NAME?</v>
      </c>
      <c r="BN206" s="23" t="e">
        <f t="shared" ca="1" si="1642"/>
        <v>#NAME?</v>
      </c>
      <c r="BO206" s="23" t="e">
        <f t="shared" ref="BO206:CT206" ca="1" si="1643">BO56</f>
        <v>#NAME?</v>
      </c>
      <c r="BP206" s="23" t="e">
        <f t="shared" ca="1" si="1643"/>
        <v>#NAME?</v>
      </c>
      <c r="BQ206" s="23" t="e">
        <f t="shared" ca="1" si="1643"/>
        <v>#NAME?</v>
      </c>
      <c r="BR206" s="23" t="e">
        <f t="shared" ca="1" si="1643"/>
        <v>#NAME?</v>
      </c>
      <c r="BS206" s="23" t="e">
        <f t="shared" ca="1" si="1643"/>
        <v>#NAME?</v>
      </c>
      <c r="BT206" s="23" t="e">
        <f t="shared" ca="1" si="1643"/>
        <v>#NAME?</v>
      </c>
      <c r="BU206" s="23" t="e">
        <f t="shared" ca="1" si="1643"/>
        <v>#NAME?</v>
      </c>
      <c r="BV206" s="23" t="e">
        <f t="shared" ca="1" si="1643"/>
        <v>#NAME?</v>
      </c>
      <c r="BW206" s="23" t="e">
        <f t="shared" ca="1" si="1643"/>
        <v>#NAME?</v>
      </c>
      <c r="BX206" s="23" t="e">
        <f t="shared" ca="1" si="1643"/>
        <v>#NAME?</v>
      </c>
      <c r="BY206" s="23" t="e">
        <f t="shared" ca="1" si="1643"/>
        <v>#NAME?</v>
      </c>
      <c r="BZ206" s="23" t="e">
        <f t="shared" ca="1" si="1643"/>
        <v>#NAME?</v>
      </c>
      <c r="CA206" s="23" t="e">
        <f t="shared" ca="1" si="1643"/>
        <v>#NAME?</v>
      </c>
      <c r="CB206" s="23" t="e">
        <f t="shared" ca="1" si="1643"/>
        <v>#NAME?</v>
      </c>
      <c r="CC206" s="23" t="e">
        <f t="shared" ca="1" si="1643"/>
        <v>#NAME?</v>
      </c>
      <c r="CD206" s="23" t="e">
        <f t="shared" ca="1" si="1643"/>
        <v>#NAME?</v>
      </c>
      <c r="CE206" s="23" t="e">
        <f t="shared" ca="1" si="1643"/>
        <v>#NAME?</v>
      </c>
      <c r="CF206" s="23" t="e">
        <f t="shared" ca="1" si="1643"/>
        <v>#NAME?</v>
      </c>
      <c r="CG206" s="23" t="e">
        <f t="shared" ca="1" si="1643"/>
        <v>#NAME?</v>
      </c>
      <c r="CH206" s="23" t="e">
        <f t="shared" ca="1" si="1643"/>
        <v>#NAME?</v>
      </c>
      <c r="CI206" s="23" t="e">
        <f t="shared" ca="1" si="1643"/>
        <v>#NAME?</v>
      </c>
      <c r="CJ206" s="23" t="e">
        <f t="shared" ca="1" si="1643"/>
        <v>#NAME?</v>
      </c>
      <c r="CK206" s="23" t="e">
        <f t="shared" ca="1" si="1643"/>
        <v>#NAME?</v>
      </c>
      <c r="CL206" s="23" t="e">
        <f t="shared" ref="CL206" ca="1" si="1644">CL56</f>
        <v>#NAME?</v>
      </c>
      <c r="CM206" s="24" t="e">
        <f t="shared" ca="1" si="1643"/>
        <v>#NAME?</v>
      </c>
      <c r="CN206" s="24" t="e">
        <f t="shared" ca="1" si="1643"/>
        <v>#NAME?</v>
      </c>
      <c r="CO206" s="24" t="e">
        <f t="shared" ca="1" si="1643"/>
        <v>#NAME?</v>
      </c>
      <c r="CP206" s="24" t="e">
        <f t="shared" ca="1" si="1643"/>
        <v>#NAME?</v>
      </c>
      <c r="CQ206" s="24" t="e">
        <f t="shared" ca="1" si="1643"/>
        <v>#NAME?</v>
      </c>
      <c r="CR206" s="24" t="e">
        <f t="shared" ca="1" si="1643"/>
        <v>#NAME?</v>
      </c>
      <c r="CS206" s="24" t="e">
        <f t="shared" ca="1" si="1643"/>
        <v>#NAME?</v>
      </c>
      <c r="CT206" s="24" t="e">
        <f t="shared" ca="1" si="1643"/>
        <v>#NAME?</v>
      </c>
      <c r="CU206" s="24" t="e">
        <f t="shared" ref="CU206:DB206" ca="1" si="1645">CU56</f>
        <v>#NAME?</v>
      </c>
      <c r="CV206" s="24" t="e">
        <f t="shared" ca="1" si="1645"/>
        <v>#NAME?</v>
      </c>
      <c r="CW206" s="24" t="e">
        <f t="shared" ca="1" si="1645"/>
        <v>#NAME?</v>
      </c>
      <c r="CX206" s="24" t="e">
        <f t="shared" ca="1" si="1645"/>
        <v>#NAME?</v>
      </c>
      <c r="CY206" s="24" t="e">
        <f t="shared" ca="1" si="1645"/>
        <v>#NAME?</v>
      </c>
      <c r="CZ206" s="24" t="e">
        <f t="shared" ca="1" si="1645"/>
        <v>#NAME?</v>
      </c>
      <c r="DA206" s="24" t="e">
        <f t="shared" ca="1" si="1645"/>
        <v>#NAME?</v>
      </c>
      <c r="DB206" s="24" t="e">
        <f t="shared" ca="1" si="1645"/>
        <v>#NAME?</v>
      </c>
      <c r="DE206" s="123"/>
      <c r="DF206" s="23">
        <v>4587.4400000000023</v>
      </c>
    </row>
    <row r="207" spans="1:110" s="23" customFormat="1" x14ac:dyDescent="0.2">
      <c r="A207" s="23" t="s">
        <v>88</v>
      </c>
      <c r="C207" s="23" t="e">
        <f t="shared" ref="C207:AE207" ca="1" si="1646">C40</f>
        <v>#NAME?</v>
      </c>
      <c r="D207" s="23" t="e">
        <f t="shared" ca="1" si="1646"/>
        <v>#NAME?</v>
      </c>
      <c r="E207" s="23" t="e">
        <f t="shared" ca="1" si="1646"/>
        <v>#NAME?</v>
      </c>
      <c r="F207" s="23" t="e">
        <f t="shared" ca="1" si="1646"/>
        <v>#NAME?</v>
      </c>
      <c r="G207" s="23" t="e">
        <f t="shared" ca="1" si="1646"/>
        <v>#NAME?</v>
      </c>
      <c r="H207" s="23" t="e">
        <f t="shared" ca="1" si="1646"/>
        <v>#NAME?</v>
      </c>
      <c r="I207" s="23" t="e">
        <f t="shared" ca="1" si="1646"/>
        <v>#NAME?</v>
      </c>
      <c r="J207" s="23" t="e">
        <f t="shared" ca="1" si="1646"/>
        <v>#NAME?</v>
      </c>
      <c r="K207" s="23" t="e">
        <f t="shared" ca="1" si="1646"/>
        <v>#NAME?</v>
      </c>
      <c r="L207" s="23" t="e">
        <f t="shared" ca="1" si="1646"/>
        <v>#NAME?</v>
      </c>
      <c r="M207" s="23" t="e">
        <f t="shared" ca="1" si="1646"/>
        <v>#NAME?</v>
      </c>
      <c r="N207" s="23" t="e">
        <f t="shared" ca="1" si="1646"/>
        <v>#NAME?</v>
      </c>
      <c r="O207" s="23" t="e">
        <f t="shared" ca="1" si="1646"/>
        <v>#NAME?</v>
      </c>
      <c r="P207" s="23" t="e">
        <f t="shared" ca="1" si="1646"/>
        <v>#NAME?</v>
      </c>
      <c r="Q207" s="23" t="e">
        <f t="shared" ca="1" si="1646"/>
        <v>#NAME?</v>
      </c>
      <c r="R207" s="23" t="e">
        <f t="shared" ca="1" si="1646"/>
        <v>#NAME?</v>
      </c>
      <c r="S207" s="23" t="e">
        <f t="shared" ca="1" si="1646"/>
        <v>#NAME?</v>
      </c>
      <c r="T207" s="23" t="e">
        <f t="shared" ca="1" si="1646"/>
        <v>#NAME?</v>
      </c>
      <c r="U207" s="23" t="e">
        <f t="shared" ca="1" si="1646"/>
        <v>#NAME?</v>
      </c>
      <c r="V207" s="23" t="e">
        <f t="shared" ca="1" si="1646"/>
        <v>#NAME?</v>
      </c>
      <c r="W207" s="23" t="e">
        <f t="shared" ca="1" si="1646"/>
        <v>#NAME?</v>
      </c>
      <c r="X207" s="23" t="e">
        <f t="shared" ca="1" si="1646"/>
        <v>#NAME?</v>
      </c>
      <c r="Y207" s="23" t="e">
        <f t="shared" ca="1" si="1646"/>
        <v>#NAME?</v>
      </c>
      <c r="Z207" s="23" t="e">
        <f t="shared" ca="1" si="1646"/>
        <v>#NAME?</v>
      </c>
      <c r="AA207" s="23" t="e">
        <f t="shared" ref="AA207" ca="1" si="1647">AA40</f>
        <v>#NAME?</v>
      </c>
      <c r="AB207" s="24" t="e">
        <f t="shared" ca="1" si="1646"/>
        <v>#NAME?</v>
      </c>
      <c r="AC207" s="24" t="e">
        <f t="shared" ca="1" si="1646"/>
        <v>#NAME?</v>
      </c>
      <c r="AD207" s="24" t="e">
        <f t="shared" ca="1" si="1646"/>
        <v>#NAME?</v>
      </c>
      <c r="AE207" s="24" t="e">
        <f t="shared" ca="1" si="1646"/>
        <v>#NAME?</v>
      </c>
      <c r="AI207" s="23" t="e">
        <f t="shared" ref="AI207:BN207" ca="1" si="1648">AI40</f>
        <v>#NAME?</v>
      </c>
      <c r="AJ207" s="23" t="e">
        <f t="shared" ca="1" si="1648"/>
        <v>#NAME?</v>
      </c>
      <c r="AK207" s="23" t="e">
        <f t="shared" ca="1" si="1648"/>
        <v>#NAME?</v>
      </c>
      <c r="AL207" s="23" t="e">
        <f t="shared" ca="1" si="1648"/>
        <v>#NAME?</v>
      </c>
      <c r="AM207" s="23" t="e">
        <f t="shared" ca="1" si="1648"/>
        <v>#NAME?</v>
      </c>
      <c r="AN207" s="23" t="e">
        <f t="shared" ca="1" si="1648"/>
        <v>#NAME?</v>
      </c>
      <c r="AO207" s="23" t="e">
        <f t="shared" ca="1" si="1648"/>
        <v>#NAME?</v>
      </c>
      <c r="AP207" s="23" t="e">
        <f t="shared" ca="1" si="1648"/>
        <v>#NAME?</v>
      </c>
      <c r="AQ207" s="23" t="e">
        <f t="shared" ca="1" si="1648"/>
        <v>#NAME?</v>
      </c>
      <c r="AR207" s="23" t="e">
        <f t="shared" ca="1" si="1648"/>
        <v>#NAME?</v>
      </c>
      <c r="AS207" s="23" t="e">
        <f t="shared" ca="1" si="1648"/>
        <v>#NAME?</v>
      </c>
      <c r="AT207" s="23" t="e">
        <f t="shared" ca="1" si="1648"/>
        <v>#NAME?</v>
      </c>
      <c r="AU207" s="23" t="e">
        <f t="shared" ca="1" si="1648"/>
        <v>#NAME?</v>
      </c>
      <c r="AV207" s="23" t="e">
        <f t="shared" ca="1" si="1648"/>
        <v>#NAME?</v>
      </c>
      <c r="AW207" s="23" t="e">
        <f t="shared" ca="1" si="1648"/>
        <v>#NAME?</v>
      </c>
      <c r="AX207" s="23" t="e">
        <f t="shared" ca="1" si="1648"/>
        <v>#NAME?</v>
      </c>
      <c r="AY207" s="23" t="e">
        <f t="shared" ca="1" si="1648"/>
        <v>#NAME?</v>
      </c>
      <c r="AZ207" s="23" t="e">
        <f t="shared" ca="1" si="1648"/>
        <v>#NAME?</v>
      </c>
      <c r="BA207" s="23" t="e">
        <f t="shared" ca="1" si="1648"/>
        <v>#NAME?</v>
      </c>
      <c r="BB207" s="23" t="e">
        <f t="shared" ca="1" si="1648"/>
        <v>#NAME?</v>
      </c>
      <c r="BC207" s="23" t="e">
        <f t="shared" ca="1" si="1648"/>
        <v>#NAME?</v>
      </c>
      <c r="BD207" s="23" t="e">
        <f t="shared" ca="1" si="1648"/>
        <v>#NAME?</v>
      </c>
      <c r="BE207" s="23" t="e">
        <f t="shared" ca="1" si="1648"/>
        <v>#NAME?</v>
      </c>
      <c r="BF207" s="23" t="e">
        <f t="shared" ca="1" si="1648"/>
        <v>#NAME?</v>
      </c>
      <c r="BG207" s="23" t="e">
        <f t="shared" ca="1" si="1648"/>
        <v>#NAME?</v>
      </c>
      <c r="BH207" s="23" t="e">
        <f t="shared" ca="1" si="1648"/>
        <v>#NAME?</v>
      </c>
      <c r="BI207" s="23" t="e">
        <f t="shared" ca="1" si="1648"/>
        <v>#NAME?</v>
      </c>
      <c r="BJ207" s="23" t="e">
        <f t="shared" ca="1" si="1648"/>
        <v>#NAME?</v>
      </c>
      <c r="BK207" s="23" t="e">
        <f t="shared" ca="1" si="1648"/>
        <v>#NAME?</v>
      </c>
      <c r="BL207" s="23" t="e">
        <f t="shared" ca="1" si="1648"/>
        <v>#NAME?</v>
      </c>
      <c r="BM207" s="23" t="e">
        <f t="shared" ca="1" si="1648"/>
        <v>#NAME?</v>
      </c>
      <c r="BN207" s="23" t="e">
        <f t="shared" ca="1" si="1648"/>
        <v>#NAME?</v>
      </c>
      <c r="BO207" s="23" t="e">
        <f t="shared" ref="BO207:CT207" ca="1" si="1649">BO40</f>
        <v>#NAME?</v>
      </c>
      <c r="BP207" s="23" t="e">
        <f t="shared" ca="1" si="1649"/>
        <v>#NAME?</v>
      </c>
      <c r="BQ207" s="23" t="e">
        <f t="shared" ca="1" si="1649"/>
        <v>#NAME?</v>
      </c>
      <c r="BR207" s="23" t="e">
        <f t="shared" ca="1" si="1649"/>
        <v>#NAME?</v>
      </c>
      <c r="BS207" s="23" t="e">
        <f t="shared" ca="1" si="1649"/>
        <v>#NAME?</v>
      </c>
      <c r="BT207" s="23" t="e">
        <f t="shared" ca="1" si="1649"/>
        <v>#NAME?</v>
      </c>
      <c r="BU207" s="23" t="e">
        <f t="shared" ca="1" si="1649"/>
        <v>#NAME?</v>
      </c>
      <c r="BV207" s="23" t="e">
        <f t="shared" ca="1" si="1649"/>
        <v>#NAME?</v>
      </c>
      <c r="BW207" s="23" t="e">
        <f t="shared" ca="1" si="1649"/>
        <v>#NAME?</v>
      </c>
      <c r="BX207" s="23" t="e">
        <f t="shared" ca="1" si="1649"/>
        <v>#NAME?</v>
      </c>
      <c r="BY207" s="23" t="e">
        <f t="shared" ca="1" si="1649"/>
        <v>#NAME?</v>
      </c>
      <c r="BZ207" s="23" t="e">
        <f t="shared" ca="1" si="1649"/>
        <v>#NAME?</v>
      </c>
      <c r="CA207" s="23" t="e">
        <f t="shared" ca="1" si="1649"/>
        <v>#NAME?</v>
      </c>
      <c r="CB207" s="23" t="e">
        <f t="shared" ca="1" si="1649"/>
        <v>#NAME?</v>
      </c>
      <c r="CC207" s="23" t="e">
        <f t="shared" ca="1" si="1649"/>
        <v>#NAME?</v>
      </c>
      <c r="CD207" s="23" t="e">
        <f t="shared" ca="1" si="1649"/>
        <v>#NAME?</v>
      </c>
      <c r="CE207" s="23" t="e">
        <f t="shared" ca="1" si="1649"/>
        <v>#NAME?</v>
      </c>
      <c r="CF207" s="23" t="e">
        <f t="shared" ca="1" si="1649"/>
        <v>#NAME?</v>
      </c>
      <c r="CG207" s="23" t="e">
        <f t="shared" ca="1" si="1649"/>
        <v>#NAME?</v>
      </c>
      <c r="CH207" s="23" t="e">
        <f t="shared" ca="1" si="1649"/>
        <v>#NAME?</v>
      </c>
      <c r="CI207" s="23" t="e">
        <f t="shared" ca="1" si="1649"/>
        <v>#NAME?</v>
      </c>
      <c r="CJ207" s="23" t="e">
        <f t="shared" ca="1" si="1649"/>
        <v>#NAME?</v>
      </c>
      <c r="CK207" s="23" t="e">
        <f t="shared" ca="1" si="1649"/>
        <v>#NAME?</v>
      </c>
      <c r="CL207" s="23" t="e">
        <f t="shared" ref="CL207" ca="1" si="1650">CL40</f>
        <v>#NAME?</v>
      </c>
      <c r="CM207" s="24" t="e">
        <f t="shared" ca="1" si="1649"/>
        <v>#NAME?</v>
      </c>
      <c r="CN207" s="24" t="e">
        <f t="shared" ca="1" si="1649"/>
        <v>#NAME?</v>
      </c>
      <c r="CO207" s="24" t="e">
        <f t="shared" ca="1" si="1649"/>
        <v>#NAME?</v>
      </c>
      <c r="CP207" s="24" t="e">
        <f t="shared" ca="1" si="1649"/>
        <v>#NAME?</v>
      </c>
      <c r="CQ207" s="24" t="e">
        <f t="shared" ca="1" si="1649"/>
        <v>#NAME?</v>
      </c>
      <c r="CR207" s="24" t="e">
        <f t="shared" ca="1" si="1649"/>
        <v>#NAME?</v>
      </c>
      <c r="CS207" s="24" t="e">
        <f t="shared" ca="1" si="1649"/>
        <v>#NAME?</v>
      </c>
      <c r="CT207" s="24" t="e">
        <f t="shared" ca="1" si="1649"/>
        <v>#NAME?</v>
      </c>
      <c r="CU207" s="24" t="e">
        <f t="shared" ref="CU207:DB207" ca="1" si="1651">CU40</f>
        <v>#NAME?</v>
      </c>
      <c r="CV207" s="24" t="e">
        <f t="shared" ca="1" si="1651"/>
        <v>#NAME?</v>
      </c>
      <c r="CW207" s="24" t="e">
        <f t="shared" ca="1" si="1651"/>
        <v>#NAME?</v>
      </c>
      <c r="CX207" s="24" t="e">
        <f t="shared" ca="1" si="1651"/>
        <v>#NAME?</v>
      </c>
      <c r="CY207" s="24" t="e">
        <f t="shared" ca="1" si="1651"/>
        <v>#NAME?</v>
      </c>
      <c r="CZ207" s="24" t="e">
        <f t="shared" ca="1" si="1651"/>
        <v>#NAME?</v>
      </c>
      <c r="DA207" s="24" t="e">
        <f t="shared" ca="1" si="1651"/>
        <v>#NAME?</v>
      </c>
      <c r="DB207" s="24" t="e">
        <f t="shared" ca="1" si="1651"/>
        <v>#NAME?</v>
      </c>
      <c r="DE207" s="123"/>
      <c r="DF207" s="23">
        <v>3758.48</v>
      </c>
    </row>
    <row r="208" spans="1:110" s="22" customFormat="1" x14ac:dyDescent="0.2">
      <c r="A208" s="22" t="s">
        <v>89</v>
      </c>
      <c r="C208" s="22" t="e">
        <f t="shared" ref="C208:W208" ca="1" si="1652">C206+C207</f>
        <v>#NAME?</v>
      </c>
      <c r="D208" s="22" t="e">
        <f t="shared" ca="1" si="1652"/>
        <v>#NAME?</v>
      </c>
      <c r="E208" s="22" t="e">
        <f t="shared" ca="1" si="1652"/>
        <v>#NAME?</v>
      </c>
      <c r="F208" s="22" t="e">
        <f t="shared" ca="1" si="1652"/>
        <v>#NAME?</v>
      </c>
      <c r="G208" s="22" t="e">
        <f t="shared" ca="1" si="1652"/>
        <v>#NAME?</v>
      </c>
      <c r="H208" s="22" t="e">
        <f t="shared" ca="1" si="1652"/>
        <v>#NAME?</v>
      </c>
      <c r="I208" s="22" t="e">
        <f t="shared" ca="1" si="1652"/>
        <v>#NAME?</v>
      </c>
      <c r="J208" s="22" t="e">
        <f t="shared" ca="1" si="1652"/>
        <v>#NAME?</v>
      </c>
      <c r="K208" s="22" t="e">
        <f t="shared" ca="1" si="1652"/>
        <v>#NAME?</v>
      </c>
      <c r="L208" s="22" t="e">
        <f t="shared" ca="1" si="1652"/>
        <v>#NAME?</v>
      </c>
      <c r="M208" s="22" t="e">
        <f t="shared" ca="1" si="1652"/>
        <v>#NAME?</v>
      </c>
      <c r="N208" s="22" t="e">
        <f t="shared" ca="1" si="1652"/>
        <v>#NAME?</v>
      </c>
      <c r="O208" s="22" t="e">
        <f t="shared" ca="1" si="1652"/>
        <v>#NAME?</v>
      </c>
      <c r="P208" s="22" t="e">
        <f t="shared" ca="1" si="1652"/>
        <v>#NAME?</v>
      </c>
      <c r="Q208" s="22" t="e">
        <f t="shared" ca="1" si="1652"/>
        <v>#NAME?</v>
      </c>
      <c r="R208" s="22" t="e">
        <f t="shared" ca="1" si="1652"/>
        <v>#NAME?</v>
      </c>
      <c r="S208" s="22" t="e">
        <f t="shared" ca="1" si="1652"/>
        <v>#NAME?</v>
      </c>
      <c r="T208" s="22" t="e">
        <f t="shared" ca="1" si="1652"/>
        <v>#NAME?</v>
      </c>
      <c r="U208" s="22" t="e">
        <f t="shared" ca="1" si="1652"/>
        <v>#NAME?</v>
      </c>
      <c r="V208" s="22" t="e">
        <f t="shared" ca="1" si="1652"/>
        <v>#NAME?</v>
      </c>
      <c r="W208" s="22" t="e">
        <f t="shared" ca="1" si="1652"/>
        <v>#NAME?</v>
      </c>
      <c r="X208" s="22" t="e">
        <f t="shared" ref="X208:Y208" ca="1" si="1653">X206+X207</f>
        <v>#NAME?</v>
      </c>
      <c r="Y208" s="22" t="e">
        <f t="shared" ca="1" si="1653"/>
        <v>#NAME?</v>
      </c>
      <c r="Z208" s="22" t="e">
        <f t="shared" ref="Z208:AA208" ca="1" si="1654">Z206+Z207</f>
        <v>#NAME?</v>
      </c>
      <c r="AA208" s="22" t="e">
        <f t="shared" ca="1" si="1654"/>
        <v>#NAME?</v>
      </c>
      <c r="AB208" s="21" t="e">
        <f t="shared" ref="AA208:AD208" ca="1" si="1655">AB206+AB207</f>
        <v>#NAME?</v>
      </c>
      <c r="AC208" s="21" t="e">
        <f t="shared" ca="1" si="1655"/>
        <v>#NAME?</v>
      </c>
      <c r="AD208" s="21" t="e">
        <f t="shared" ca="1" si="1655"/>
        <v>#NAME?</v>
      </c>
      <c r="AE208" s="21" t="e">
        <f t="shared" ref="AE208" ca="1" si="1656">AE206+AE207</f>
        <v>#NAME?</v>
      </c>
      <c r="AI208" s="22" t="e">
        <f t="shared" ref="AI208" ca="1" si="1657">AI206+AI207</f>
        <v>#NAME?</v>
      </c>
      <c r="AJ208" s="22" t="e">
        <f t="shared" ref="AJ208:AL208" ca="1" si="1658">AJ206+AJ207</f>
        <v>#NAME?</v>
      </c>
      <c r="AK208" s="22" t="e">
        <f t="shared" ca="1" si="1658"/>
        <v>#NAME?</v>
      </c>
      <c r="AL208" s="22" t="e">
        <f t="shared" ca="1" si="1658"/>
        <v>#NAME?</v>
      </c>
      <c r="AM208" s="22" t="e">
        <f t="shared" ref="AM208" ca="1" si="1659">AM206+AM207</f>
        <v>#NAME?</v>
      </c>
      <c r="AN208" s="22" t="e">
        <f t="shared" ref="AN208:CD208" ca="1" si="1660">AN206+AN207</f>
        <v>#NAME?</v>
      </c>
      <c r="AO208" s="22" t="e">
        <f t="shared" ca="1" si="1660"/>
        <v>#NAME?</v>
      </c>
      <c r="AP208" s="22" t="e">
        <f t="shared" ca="1" si="1660"/>
        <v>#NAME?</v>
      </c>
      <c r="AQ208" s="22" t="e">
        <f t="shared" ca="1" si="1660"/>
        <v>#NAME?</v>
      </c>
      <c r="AR208" s="22" t="e">
        <f t="shared" ca="1" si="1660"/>
        <v>#NAME?</v>
      </c>
      <c r="AS208" s="22" t="e">
        <f t="shared" ca="1" si="1660"/>
        <v>#NAME?</v>
      </c>
      <c r="AT208" s="22" t="e">
        <f t="shared" ca="1" si="1660"/>
        <v>#NAME?</v>
      </c>
      <c r="AU208" s="22" t="e">
        <f t="shared" ca="1" si="1660"/>
        <v>#NAME?</v>
      </c>
      <c r="AV208" s="22" t="e">
        <f t="shared" ca="1" si="1660"/>
        <v>#NAME?</v>
      </c>
      <c r="AW208" s="22" t="e">
        <f t="shared" ca="1" si="1660"/>
        <v>#NAME?</v>
      </c>
      <c r="AX208" s="22" t="e">
        <f t="shared" ca="1" si="1660"/>
        <v>#NAME?</v>
      </c>
      <c r="AY208" s="22" t="e">
        <f t="shared" ca="1" si="1660"/>
        <v>#NAME?</v>
      </c>
      <c r="AZ208" s="22" t="e">
        <f t="shared" ca="1" si="1660"/>
        <v>#NAME?</v>
      </c>
      <c r="BA208" s="22" t="e">
        <f t="shared" ca="1" si="1660"/>
        <v>#NAME?</v>
      </c>
      <c r="BB208" s="22" t="e">
        <f t="shared" ca="1" si="1660"/>
        <v>#NAME?</v>
      </c>
      <c r="BC208" s="22" t="e">
        <f t="shared" ca="1" si="1660"/>
        <v>#NAME?</v>
      </c>
      <c r="BD208" s="22" t="e">
        <f t="shared" ca="1" si="1660"/>
        <v>#NAME?</v>
      </c>
      <c r="BE208" s="22" t="e">
        <f t="shared" ca="1" si="1660"/>
        <v>#NAME?</v>
      </c>
      <c r="BF208" s="22" t="e">
        <f t="shared" ca="1" si="1660"/>
        <v>#NAME?</v>
      </c>
      <c r="BG208" s="22" t="e">
        <f t="shared" ca="1" si="1660"/>
        <v>#NAME?</v>
      </c>
      <c r="BH208" s="22" t="e">
        <f t="shared" ca="1" si="1660"/>
        <v>#NAME?</v>
      </c>
      <c r="BI208" s="22" t="e">
        <f t="shared" ca="1" si="1660"/>
        <v>#NAME?</v>
      </c>
      <c r="BJ208" s="22" t="e">
        <f t="shared" ca="1" si="1660"/>
        <v>#NAME?</v>
      </c>
      <c r="BK208" s="22" t="e">
        <f t="shared" ca="1" si="1660"/>
        <v>#NAME?</v>
      </c>
      <c r="BL208" s="22" t="e">
        <f t="shared" ca="1" si="1660"/>
        <v>#NAME?</v>
      </c>
      <c r="BM208" s="22" t="e">
        <f t="shared" ca="1" si="1660"/>
        <v>#NAME?</v>
      </c>
      <c r="BN208" s="22" t="e">
        <f t="shared" ca="1" si="1660"/>
        <v>#NAME?</v>
      </c>
      <c r="BO208" s="22" t="e">
        <f t="shared" ca="1" si="1660"/>
        <v>#NAME?</v>
      </c>
      <c r="BP208" s="22" t="e">
        <f t="shared" ca="1" si="1660"/>
        <v>#NAME?</v>
      </c>
      <c r="BQ208" s="22" t="e">
        <f t="shared" ca="1" si="1660"/>
        <v>#NAME?</v>
      </c>
      <c r="BR208" s="22" t="e">
        <f t="shared" ca="1" si="1660"/>
        <v>#NAME?</v>
      </c>
      <c r="BS208" s="22" t="e">
        <f t="shared" ca="1" si="1660"/>
        <v>#NAME?</v>
      </c>
      <c r="BT208" s="22" t="e">
        <f t="shared" ca="1" si="1660"/>
        <v>#NAME?</v>
      </c>
      <c r="BU208" s="22" t="e">
        <f t="shared" ca="1" si="1660"/>
        <v>#NAME?</v>
      </c>
      <c r="BV208" s="22" t="e">
        <f t="shared" ca="1" si="1660"/>
        <v>#NAME?</v>
      </c>
      <c r="BW208" s="22" t="e">
        <f t="shared" ca="1" si="1660"/>
        <v>#NAME?</v>
      </c>
      <c r="BX208" s="22" t="e">
        <f t="shared" ca="1" si="1660"/>
        <v>#NAME?</v>
      </c>
      <c r="BY208" s="22" t="e">
        <f t="shared" ca="1" si="1660"/>
        <v>#NAME?</v>
      </c>
      <c r="BZ208" s="22" t="e">
        <f t="shared" ca="1" si="1660"/>
        <v>#NAME?</v>
      </c>
      <c r="CA208" s="22" t="e">
        <f t="shared" ca="1" si="1660"/>
        <v>#NAME?</v>
      </c>
      <c r="CB208" s="22" t="e">
        <f t="shared" ca="1" si="1660"/>
        <v>#NAME?</v>
      </c>
      <c r="CC208" s="22" t="e">
        <f t="shared" ca="1" si="1660"/>
        <v>#NAME?</v>
      </c>
      <c r="CD208" s="22" t="e">
        <f t="shared" ca="1" si="1660"/>
        <v>#NAME?</v>
      </c>
      <c r="CE208" s="22" t="e">
        <f t="shared" ref="CE208:CF208" ca="1" si="1661">CE206+CE207</f>
        <v>#NAME?</v>
      </c>
      <c r="CF208" s="22" t="e">
        <f t="shared" ca="1" si="1661"/>
        <v>#NAME?</v>
      </c>
      <c r="CG208" s="22" t="e">
        <f t="shared" ref="CG208:CH208" ca="1" si="1662">CG206+CG207</f>
        <v>#NAME?</v>
      </c>
      <c r="CH208" s="22" t="e">
        <f t="shared" ca="1" si="1662"/>
        <v>#NAME?</v>
      </c>
      <c r="CI208" s="22" t="e">
        <f t="shared" ref="CI208:CJ208" ca="1" si="1663">CI206+CI207</f>
        <v>#NAME?</v>
      </c>
      <c r="CJ208" s="22" t="e">
        <f t="shared" ca="1" si="1663"/>
        <v>#NAME?</v>
      </c>
      <c r="CK208" s="22" t="e">
        <f t="shared" ref="CK208:DB208" ca="1" si="1664">CK206+CK207</f>
        <v>#NAME?</v>
      </c>
      <c r="CL208" s="22" t="e">
        <f t="shared" ca="1" si="1664"/>
        <v>#NAME?</v>
      </c>
      <c r="CM208" s="21" t="e">
        <f t="shared" ca="1" si="1664"/>
        <v>#NAME?</v>
      </c>
      <c r="CN208" s="21" t="e">
        <f t="shared" ca="1" si="1664"/>
        <v>#NAME?</v>
      </c>
      <c r="CO208" s="21" t="e">
        <f t="shared" ca="1" si="1664"/>
        <v>#NAME?</v>
      </c>
      <c r="CP208" s="21" t="e">
        <f t="shared" ca="1" si="1664"/>
        <v>#NAME?</v>
      </c>
      <c r="CQ208" s="21" t="e">
        <f t="shared" ca="1" si="1664"/>
        <v>#NAME?</v>
      </c>
      <c r="CR208" s="21" t="e">
        <f t="shared" ca="1" si="1664"/>
        <v>#NAME?</v>
      </c>
      <c r="CS208" s="21" t="e">
        <f t="shared" ca="1" si="1664"/>
        <v>#NAME?</v>
      </c>
      <c r="CT208" s="21" t="e">
        <f t="shared" ca="1" si="1664"/>
        <v>#NAME?</v>
      </c>
      <c r="CU208" s="21" t="e">
        <f t="shared" ca="1" si="1664"/>
        <v>#NAME?</v>
      </c>
      <c r="CV208" s="21" t="e">
        <f t="shared" ca="1" si="1664"/>
        <v>#NAME?</v>
      </c>
      <c r="CW208" s="21" t="e">
        <f t="shared" ca="1" si="1664"/>
        <v>#NAME?</v>
      </c>
      <c r="CX208" s="21" t="e">
        <f t="shared" ca="1" si="1664"/>
        <v>#NAME?</v>
      </c>
      <c r="CY208" s="21" t="e">
        <f t="shared" ca="1" si="1664"/>
        <v>#NAME?</v>
      </c>
      <c r="CZ208" s="21" t="e">
        <f t="shared" ca="1" si="1664"/>
        <v>#NAME?</v>
      </c>
      <c r="DA208" s="21" t="e">
        <f t="shared" ca="1" si="1664"/>
        <v>#NAME?</v>
      </c>
      <c r="DB208" s="21" t="e">
        <f t="shared" ca="1" si="1664"/>
        <v>#NAME?</v>
      </c>
      <c r="DE208" s="126"/>
      <c r="DF208" s="22">
        <v>8345.9200000000019</v>
      </c>
    </row>
    <row r="209" spans="1:110" s="23" customFormat="1" x14ac:dyDescent="0.2">
      <c r="A209" s="23" t="s">
        <v>65</v>
      </c>
      <c r="C209" s="23" t="e">
        <f t="shared" ref="C209:AA209" ca="1" si="1665">B161-C161+B176+B177-C176-C177</f>
        <v>#NAME?</v>
      </c>
      <c r="D209" s="23" t="e">
        <f t="shared" ca="1" si="1665"/>
        <v>#NAME?</v>
      </c>
      <c r="E209" s="23" t="e">
        <f ca="1">D161-E161+D176+D177-E176-E177</f>
        <v>#NAME?</v>
      </c>
      <c r="F209" s="23" t="e">
        <f t="shared" ca="1" si="1665"/>
        <v>#NAME?</v>
      </c>
      <c r="G209" s="23" t="e">
        <f t="shared" ca="1" si="1665"/>
        <v>#NAME?</v>
      </c>
      <c r="H209" s="23" t="e">
        <f t="shared" ca="1" si="1665"/>
        <v>#NAME?</v>
      </c>
      <c r="I209" s="23" t="e">
        <f t="shared" ca="1" si="1665"/>
        <v>#NAME?</v>
      </c>
      <c r="J209" s="23" t="e">
        <f ca="1">I161-J161+I176+I177-J176-J177</f>
        <v>#NAME?</v>
      </c>
      <c r="K209" s="23" t="e">
        <f ca="1">J161-K161+J176+J177-K176-K177</f>
        <v>#NAME?</v>
      </c>
      <c r="L209" s="23" t="e">
        <f t="shared" ca="1" si="1665"/>
        <v>#NAME?</v>
      </c>
      <c r="M209" s="23" t="e">
        <f t="shared" ca="1" si="1665"/>
        <v>#NAME?</v>
      </c>
      <c r="N209" s="23" t="e">
        <f t="shared" ca="1" si="1665"/>
        <v>#NAME?</v>
      </c>
      <c r="O209" s="23" t="e">
        <f t="shared" ca="1" si="1665"/>
        <v>#NAME?</v>
      </c>
      <c r="P209" s="23" t="e">
        <f t="shared" ca="1" si="1665"/>
        <v>#NAME?</v>
      </c>
      <c r="Q209" s="23" t="e">
        <f t="shared" ca="1" si="1665"/>
        <v>#NAME?</v>
      </c>
      <c r="R209" s="23" t="e">
        <f t="shared" ca="1" si="1665"/>
        <v>#NAME?</v>
      </c>
      <c r="S209" s="23" t="e">
        <f t="shared" ca="1" si="1665"/>
        <v>#NAME?</v>
      </c>
      <c r="T209" s="23" t="e">
        <f t="shared" ca="1" si="1665"/>
        <v>#NAME?</v>
      </c>
      <c r="U209" s="23" t="e">
        <f t="shared" ca="1" si="1665"/>
        <v>#NAME?</v>
      </c>
      <c r="V209" s="23" t="e">
        <f t="shared" ca="1" si="1665"/>
        <v>#NAME?</v>
      </c>
      <c r="W209" s="23" t="e">
        <f t="shared" ca="1" si="1665"/>
        <v>#NAME?</v>
      </c>
      <c r="X209" s="23" t="e">
        <f t="shared" ca="1" si="1665"/>
        <v>#NAME?</v>
      </c>
      <c r="Y209" s="23" t="e">
        <f t="shared" ca="1" si="1665"/>
        <v>#NAME?</v>
      </c>
      <c r="Z209" s="23" t="e">
        <f t="shared" ca="1" si="1665"/>
        <v>#NAME?</v>
      </c>
      <c r="AA209" s="23" t="e">
        <f t="shared" ca="1" si="1665"/>
        <v>#NAME?</v>
      </c>
      <c r="AB209" s="24" t="e">
        <f t="shared" ref="AB209" ca="1" si="1666">AA161-AB161+AA176+AA177-AB176-AB177</f>
        <v>#NAME?</v>
      </c>
      <c r="AC209" s="24" t="e">
        <f t="shared" ref="AC209" ca="1" si="1667">AB161-AC161+AB176+AB177-AC176-AC177</f>
        <v>#NAME?</v>
      </c>
      <c r="AD209" s="24" t="e">
        <f t="shared" ref="AD209" ca="1" si="1668">AC161-AD161+AC176+AC177-AD176-AD177</f>
        <v>#NAME?</v>
      </c>
      <c r="AE209" s="24" t="e">
        <f t="shared" ref="AE209" ca="1" si="1669">AD161-AE161+AD176+AD177-AE176-AE177</f>
        <v>#NAME?</v>
      </c>
      <c r="AI209" s="23" t="e">
        <f ca="1">AH161-AI161+AH176+AH177-AI176-AJ177</f>
        <v>#NAME?</v>
      </c>
      <c r="AJ209" s="23" t="e">
        <f t="shared" ref="AJ209:AL209" ca="1" si="1670">AI161-AJ161+AI176+AI177-AJ176-AK177</f>
        <v>#NAME?</v>
      </c>
      <c r="AK209" s="23" t="e">
        <f t="shared" ca="1" si="1670"/>
        <v>#NAME?</v>
      </c>
      <c r="AL209" s="23" t="e">
        <f t="shared" ca="1" si="1670"/>
        <v>#NAME?</v>
      </c>
      <c r="AM209" s="23" t="e">
        <f t="shared" ref="AM209" ca="1" si="1671">AL161-AM161+AL176+AL177-AM176-AM177</f>
        <v>#NAME?</v>
      </c>
      <c r="AN209" s="23" t="e">
        <f t="shared" ref="AN209" ca="1" si="1672">AM161-AN161+AM176+AM177-AN176-AN177</f>
        <v>#NAME?</v>
      </c>
      <c r="AO209" s="23" t="e">
        <f t="shared" ref="AO209" ca="1" si="1673">AN161-AO161+AN176+AN177-AO176-AO177</f>
        <v>#NAME?</v>
      </c>
      <c r="AP209" s="23" t="e">
        <f t="shared" ref="AP209" ca="1" si="1674">AO161-AP161+AO176+AO177-AP176-AP177</f>
        <v>#NAME?</v>
      </c>
      <c r="AQ209" s="23" t="e">
        <f t="shared" ref="AQ209" ca="1" si="1675">AP161-AQ161+AP176+AP177-AQ176-AQ177</f>
        <v>#NAME?</v>
      </c>
      <c r="AR209" s="23" t="e">
        <f t="shared" ref="AR209" ca="1" si="1676">AQ161-AR161+AQ176+AQ177-AR176-AR177</f>
        <v>#NAME?</v>
      </c>
      <c r="AS209" s="23" t="e">
        <f t="shared" ref="AS209" ca="1" si="1677">AR161-AS161+AR176+AR177-AS176-AS177</f>
        <v>#NAME?</v>
      </c>
      <c r="AT209" s="23" t="e">
        <f t="shared" ref="AT209" ca="1" si="1678">AS161-AT161+AS176+AS177-AT176-AT177</f>
        <v>#NAME?</v>
      </c>
      <c r="AU209" s="23" t="e">
        <f t="shared" ref="AU209" ca="1" si="1679">AT161-AU161+AT176+AT177-AU176-AU177</f>
        <v>#NAME?</v>
      </c>
      <c r="AV209" s="23" t="e">
        <f t="shared" ref="AV209" ca="1" si="1680">AU161-AV161+AU176+AU177-AV176-AV177</f>
        <v>#NAME?</v>
      </c>
      <c r="AW209" s="23" t="e">
        <f t="shared" ref="AW209" ca="1" si="1681">AV161-AW161+AV176+AV177-AW176-AW177</f>
        <v>#NAME?</v>
      </c>
      <c r="AX209" s="23" t="e">
        <f t="shared" ref="AX209" ca="1" si="1682">AW161-AX161+AW176+AW177-AX176-AX177</f>
        <v>#NAME?</v>
      </c>
      <c r="AY209" s="23" t="e">
        <f t="shared" ref="AY209" ca="1" si="1683">AX161-AY161+AX176+AX177-AY176-AY177</f>
        <v>#NAME?</v>
      </c>
      <c r="AZ209" s="23" t="e">
        <f t="shared" ref="AZ209" ca="1" si="1684">AY161-AZ161+AY176+AY177-AZ176-AZ177</f>
        <v>#NAME?</v>
      </c>
      <c r="BA209" s="23" t="e">
        <f t="shared" ref="BA209" ca="1" si="1685">AZ161-BA161+AZ176+AZ177-BA176-BA177</f>
        <v>#NAME?</v>
      </c>
      <c r="BB209" s="23" t="e">
        <f t="shared" ref="BB209" ca="1" si="1686">BA161-BB161+BA176+BA177-BB176-BB177</f>
        <v>#NAME?</v>
      </c>
      <c r="BC209" s="23" t="e">
        <f t="shared" ref="BC209" ca="1" si="1687">BB161-BC161+BB176+BB177-BC176-BC177</f>
        <v>#NAME?</v>
      </c>
      <c r="BD209" s="23" t="e">
        <f t="shared" ref="BD209" ca="1" si="1688">BC161-BD161+BC176+BC177-BD176-BD177</f>
        <v>#NAME?</v>
      </c>
      <c r="BE209" s="23" t="e">
        <f t="shared" ref="BE209" ca="1" si="1689">BD161-BE161+BD176+BD177-BE176-BE177</f>
        <v>#NAME?</v>
      </c>
      <c r="BF209" s="23" t="e">
        <f t="shared" ref="BF209" ca="1" si="1690">BE161-BF161+BE176+BE177-BF176-BF177</f>
        <v>#NAME?</v>
      </c>
      <c r="BG209" s="23" t="e">
        <f t="shared" ref="BG209" ca="1" si="1691">BF161-BG161+BF176+BF177-BG176-BG177</f>
        <v>#NAME?</v>
      </c>
      <c r="BH209" s="23" t="e">
        <f t="shared" ref="BH209" ca="1" si="1692">BG161-BH161+BG176+BG177-BH176-BH177</f>
        <v>#NAME?</v>
      </c>
      <c r="BI209" s="23" t="e">
        <f t="shared" ref="BI209" ca="1" si="1693">BH161-BI161+BH176+BH177-BI176-BI177</f>
        <v>#NAME?</v>
      </c>
      <c r="BJ209" s="23" t="e">
        <f t="shared" ref="BJ209" ca="1" si="1694">BI161-BJ161+BI176+BI177-BJ176-BJ177</f>
        <v>#NAME?</v>
      </c>
      <c r="BK209" s="23" t="e">
        <f t="shared" ref="BK209" ca="1" si="1695">BJ161-BK161+BJ176+BJ177-BK176-BK177</f>
        <v>#NAME?</v>
      </c>
      <c r="BL209" s="23" t="e">
        <f t="shared" ref="BL209" ca="1" si="1696">BK161-BL161+BK176+BK177-BL176-BL177</f>
        <v>#NAME?</v>
      </c>
      <c r="BM209" s="23" t="e">
        <f t="shared" ref="BM209" ca="1" si="1697">BL161-BM161+BL176+BL177-BM176-BM177</f>
        <v>#NAME?</v>
      </c>
      <c r="BN209" s="23" t="e">
        <f t="shared" ref="BN209" ca="1" si="1698">BM161-BN161+BM176+BM177-BN176-BN177</f>
        <v>#NAME?</v>
      </c>
      <c r="BO209" s="23" t="e">
        <f t="shared" ref="BO209" ca="1" si="1699">BN161-BO161+BN176+BN177-BO176-BO177</f>
        <v>#NAME?</v>
      </c>
      <c r="BP209" s="23" t="e">
        <f t="shared" ref="BP209" ca="1" si="1700">BO161-BP161+BO176+BO177-BP176-BP177</f>
        <v>#NAME?</v>
      </c>
      <c r="BQ209" s="23" t="e">
        <f t="shared" ref="BQ209" ca="1" si="1701">BP161-BQ161+BP176+BP177-BQ176-BQ177</f>
        <v>#NAME?</v>
      </c>
      <c r="BR209" s="23" t="e">
        <f t="shared" ref="BR209" ca="1" si="1702">BQ161-BR161+BQ176+BQ177-BR176-BR177</f>
        <v>#NAME?</v>
      </c>
      <c r="BS209" s="23" t="e">
        <f t="shared" ref="BS209" ca="1" si="1703">BR161-BS161+BR176+BR177-BS176-BS177</f>
        <v>#NAME?</v>
      </c>
      <c r="BT209" s="23" t="e">
        <f t="shared" ref="BT209" ca="1" si="1704">BS161-BT161+BS176+BS177-BT176-BT177</f>
        <v>#NAME?</v>
      </c>
      <c r="BU209" s="23" t="e">
        <f t="shared" ref="BU209" ca="1" si="1705">BT161-BU161+BT176+BT177-BU176-BU177</f>
        <v>#NAME?</v>
      </c>
      <c r="BV209" s="23" t="e">
        <f t="shared" ref="BV209" ca="1" si="1706">BU161-BV161+BU176+BU177-BV176-BV177</f>
        <v>#NAME?</v>
      </c>
      <c r="BW209" s="23" t="e">
        <f t="shared" ref="BW209" ca="1" si="1707">BV161-BW161+BV176+BV177-BW176-BW177</f>
        <v>#NAME?</v>
      </c>
      <c r="BX209" s="23" t="e">
        <f t="shared" ref="BX209" ca="1" si="1708">BW161-BX161+BW176+BW177-BX176-BX177</f>
        <v>#NAME?</v>
      </c>
      <c r="BY209" s="23" t="e">
        <f t="shared" ref="BY209" ca="1" si="1709">BX161-BY161+BX176+BX177-BY176-BY177</f>
        <v>#NAME?</v>
      </c>
      <c r="BZ209" s="23" t="e">
        <f t="shared" ref="BZ209" ca="1" si="1710">BY161-BZ161+BY176+BY177-BZ176-BZ177</f>
        <v>#NAME?</v>
      </c>
      <c r="CA209" s="23" t="e">
        <f t="shared" ref="CA209" ca="1" si="1711">BZ161-CA161+BZ176+BZ177-CA176-CA177</f>
        <v>#NAME?</v>
      </c>
      <c r="CB209" s="23" t="e">
        <f t="shared" ref="CB209" ca="1" si="1712">CA161-CB161+CA176+CA177-CB176-CB177</f>
        <v>#NAME?</v>
      </c>
      <c r="CC209" s="23" t="e">
        <f t="shared" ref="CC209" ca="1" si="1713">CB161-CC161+CB176+CB177-CC176-CC177</f>
        <v>#NAME?</v>
      </c>
      <c r="CD209" s="23" t="e">
        <f t="shared" ref="CD209" ca="1" si="1714">CC161-CD161+CC176+CC177-CD176-CD177</f>
        <v>#NAME?</v>
      </c>
      <c r="CE209" s="23" t="e">
        <f t="shared" ref="CE209" ca="1" si="1715">CD161-CE161+CD176+CD177-CE176-CE177</f>
        <v>#NAME?</v>
      </c>
      <c r="CF209" s="23" t="e">
        <f t="shared" ref="CF209" ca="1" si="1716">CE161-CF161+CE176+CE177-CF176-CF177</f>
        <v>#NAME?</v>
      </c>
      <c r="CG209" s="23" t="e">
        <f t="shared" ref="CG209" ca="1" si="1717">CF161-CG161+CF176+CF177-CG176-CG177</f>
        <v>#NAME?</v>
      </c>
      <c r="CH209" s="23" t="e">
        <f t="shared" ref="CH209:CL209" ca="1" si="1718">CG161-CH161+CG176+CG177-CH176-CH177</f>
        <v>#NAME?</v>
      </c>
      <c r="CI209" s="23" t="e">
        <f t="shared" ca="1" si="1718"/>
        <v>#NAME?</v>
      </c>
      <c r="CJ209" s="23" t="e">
        <f t="shared" ca="1" si="1718"/>
        <v>#NAME?</v>
      </c>
      <c r="CK209" s="23" t="e">
        <f t="shared" ref="CK209" ca="1" si="1719">CJ161-CK161+CJ176+CJ177-CK176-CK177</f>
        <v>#NAME?</v>
      </c>
      <c r="CL209" s="23" t="e">
        <f t="shared" ca="1" si="1718"/>
        <v>#NAME?</v>
      </c>
      <c r="CM209" s="24" t="e">
        <f t="shared" ref="CM209" ca="1" si="1720">CL161-CM161+CL176+CL177-CM176-CM177</f>
        <v>#NAME?</v>
      </c>
      <c r="CN209" s="24" t="e">
        <f t="shared" ref="CN209" ca="1" si="1721">CM161-CN161+CM176+CM177-CN176-CN177</f>
        <v>#NAME?</v>
      </c>
      <c r="CO209" s="24" t="e">
        <f t="shared" ref="CO209" ca="1" si="1722">CN161-CO161+CN176+CN177-CO176-CO177</f>
        <v>#NAME?</v>
      </c>
      <c r="CP209" s="24" t="e">
        <f t="shared" ref="CP209" ca="1" si="1723">CO161-CP161+CO176+CO177-CP176-CP177</f>
        <v>#NAME?</v>
      </c>
      <c r="CQ209" s="24" t="e">
        <f t="shared" ref="CQ209" ca="1" si="1724">CP161-CQ161+CP176+CP177-CQ176-CQ177</f>
        <v>#NAME?</v>
      </c>
      <c r="CR209" s="24" t="e">
        <f t="shared" ref="CR209" ca="1" si="1725">CQ161-CR161+CQ176+CQ177-CR176-CR177</f>
        <v>#NAME?</v>
      </c>
      <c r="CS209" s="24" t="e">
        <f t="shared" ref="CS209" ca="1" si="1726">CR161-CS161+CR176+CR177-CS176-CS177</f>
        <v>#NAME?</v>
      </c>
      <c r="CT209" s="24" t="e">
        <f t="shared" ref="CT209" ca="1" si="1727">CS161-CT161+CS176+CS177-CT176-CT177</f>
        <v>#NAME?</v>
      </c>
      <c r="CU209" s="24" t="e">
        <f t="shared" ref="CU209" ca="1" si="1728">CT161-CU161+CT176+CT177-CU176-CU177</f>
        <v>#NAME?</v>
      </c>
      <c r="CV209" s="24" t="e">
        <f t="shared" ref="CV209" ca="1" si="1729">CU161-CV161+CU176+CU177-CV176-CV177</f>
        <v>#NAME?</v>
      </c>
      <c r="CW209" s="24" t="e">
        <f t="shared" ref="CW209" ca="1" si="1730">CV161-CW161+CV176+CV177-CW176-CW177</f>
        <v>#NAME?</v>
      </c>
      <c r="CX209" s="24" t="e">
        <f t="shared" ref="CX209" ca="1" si="1731">CW161-CX161+CW176+CW177-CX176-CX177</f>
        <v>#NAME?</v>
      </c>
      <c r="CY209" s="24" t="e">
        <f t="shared" ref="CY209" ca="1" si="1732">CX161-CY161+CX176+CX177-CY176-CY177</f>
        <v>#NAME?</v>
      </c>
      <c r="CZ209" s="24" t="e">
        <f t="shared" ref="CZ209" ca="1" si="1733">CY161-CZ161+CY176+CY177-CZ176-CZ177</f>
        <v>#NAME?</v>
      </c>
      <c r="DA209" s="24" t="e">
        <f t="shared" ref="DA209" ca="1" si="1734">CZ161-DA161+CZ176+CZ177-DA176-DA177</f>
        <v>#NAME?</v>
      </c>
      <c r="DB209" s="24" t="e">
        <f t="shared" ref="DB209" ca="1" si="1735">DA161-DB161+DA176+DA177-DB176-DB177</f>
        <v>#NAME?</v>
      </c>
      <c r="DE209" s="123"/>
      <c r="DF209" s="23">
        <v>-1177.0299999999997</v>
      </c>
    </row>
    <row r="210" spans="1:110" s="23" customFormat="1" x14ac:dyDescent="0.2">
      <c r="A210" s="23" t="s">
        <v>73</v>
      </c>
      <c r="C210" s="23" t="e">
        <f t="shared" ref="C210:AA210" ca="1" si="1736">B169-C169</f>
        <v>#NAME?</v>
      </c>
      <c r="D210" s="23" t="e">
        <f t="shared" ca="1" si="1736"/>
        <v>#NAME?</v>
      </c>
      <c r="E210" s="23" t="e">
        <f ca="1">D169-E169</f>
        <v>#NAME?</v>
      </c>
      <c r="F210" s="23" t="e">
        <f t="shared" ca="1" si="1736"/>
        <v>#NAME?</v>
      </c>
      <c r="G210" s="23" t="e">
        <f t="shared" ca="1" si="1736"/>
        <v>#NAME?</v>
      </c>
      <c r="H210" s="23" t="e">
        <f t="shared" ca="1" si="1736"/>
        <v>#NAME?</v>
      </c>
      <c r="I210" s="23" t="e">
        <f t="shared" ca="1" si="1736"/>
        <v>#NAME?</v>
      </c>
      <c r="J210" s="23" t="e">
        <f ca="1">I169-J169</f>
        <v>#NAME?</v>
      </c>
      <c r="K210" s="23" t="e">
        <f ca="1">J169-K169</f>
        <v>#NAME?</v>
      </c>
      <c r="L210" s="23" t="e">
        <f t="shared" ca="1" si="1736"/>
        <v>#NAME?</v>
      </c>
      <c r="M210" s="23" t="e">
        <f t="shared" ca="1" si="1736"/>
        <v>#NAME?</v>
      </c>
      <c r="N210" s="23" t="e">
        <f t="shared" ca="1" si="1736"/>
        <v>#NAME?</v>
      </c>
      <c r="O210" s="23" t="e">
        <f t="shared" ca="1" si="1736"/>
        <v>#NAME?</v>
      </c>
      <c r="P210" s="23" t="e">
        <f t="shared" ca="1" si="1736"/>
        <v>#NAME?</v>
      </c>
      <c r="Q210" s="23" t="e">
        <f t="shared" ca="1" si="1736"/>
        <v>#NAME?</v>
      </c>
      <c r="R210" s="23" t="e">
        <f t="shared" ca="1" si="1736"/>
        <v>#NAME?</v>
      </c>
      <c r="S210" s="23" t="e">
        <f t="shared" ca="1" si="1736"/>
        <v>#NAME?</v>
      </c>
      <c r="T210" s="23" t="e">
        <f t="shared" ca="1" si="1736"/>
        <v>#NAME?</v>
      </c>
      <c r="U210" s="23" t="e">
        <f t="shared" ca="1" si="1736"/>
        <v>#NAME?</v>
      </c>
      <c r="V210" s="23" t="e">
        <f t="shared" ca="1" si="1736"/>
        <v>#NAME?</v>
      </c>
      <c r="W210" s="23" t="e">
        <f t="shared" ca="1" si="1736"/>
        <v>#NAME?</v>
      </c>
      <c r="X210" s="23" t="e">
        <f t="shared" ca="1" si="1736"/>
        <v>#NAME?</v>
      </c>
      <c r="Y210" s="23" t="e">
        <f t="shared" ca="1" si="1736"/>
        <v>#NAME?</v>
      </c>
      <c r="Z210" s="23" t="e">
        <f t="shared" ca="1" si="1736"/>
        <v>#NAME?</v>
      </c>
      <c r="AA210" s="23" t="e">
        <f t="shared" ca="1" si="1736"/>
        <v>#NAME?</v>
      </c>
      <c r="AB210" s="24" t="e">
        <f t="shared" ref="AB210" ca="1" si="1737">AA169-AB169</f>
        <v>#NAME?</v>
      </c>
      <c r="AC210" s="24" t="e">
        <f t="shared" ref="AC210" ca="1" si="1738">AB169-AC169</f>
        <v>#NAME?</v>
      </c>
      <c r="AD210" s="24" t="e">
        <f t="shared" ref="AD210" ca="1" si="1739">AC169-AD169</f>
        <v>#NAME?</v>
      </c>
      <c r="AE210" s="24" t="e">
        <f t="shared" ref="AE210" ca="1" si="1740">AD169-AE169</f>
        <v>#NAME?</v>
      </c>
      <c r="AI210" s="23">
        <f t="shared" ref="AI210" si="1741">AH169-AI169</f>
        <v>0</v>
      </c>
      <c r="AJ210" s="23" t="e">
        <f t="shared" ref="AJ210" ca="1" si="1742">AI169-AJ169</f>
        <v>#NAME?</v>
      </c>
      <c r="AK210" s="23" t="e">
        <f t="shared" ref="AK210" ca="1" si="1743">AJ169-AK169</f>
        <v>#NAME?</v>
      </c>
      <c r="AL210" s="23" t="e">
        <f t="shared" ref="AL210" ca="1" si="1744">AK169-AL169</f>
        <v>#NAME?</v>
      </c>
      <c r="AM210" s="23" t="e">
        <f t="shared" ref="AM210" ca="1" si="1745">AL169-AM169</f>
        <v>#NAME?</v>
      </c>
      <c r="AN210" s="23" t="e">
        <f t="shared" ref="AN210" ca="1" si="1746">AM169-AN169</f>
        <v>#NAME?</v>
      </c>
      <c r="AO210" s="23" t="e">
        <f t="shared" ref="AO210" ca="1" si="1747">AN169-AO169</f>
        <v>#NAME?</v>
      </c>
      <c r="AP210" s="23" t="e">
        <f t="shared" ref="AP210" ca="1" si="1748">AO169-AP169</f>
        <v>#NAME?</v>
      </c>
      <c r="AQ210" s="23" t="e">
        <f t="shared" ref="AQ210" ca="1" si="1749">AP169-AQ169</f>
        <v>#NAME?</v>
      </c>
      <c r="AR210" s="23" t="e">
        <f t="shared" ref="AR210" ca="1" si="1750">AQ169-AR169</f>
        <v>#NAME?</v>
      </c>
      <c r="AS210" s="23" t="e">
        <f t="shared" ref="AS210" ca="1" si="1751">AR169-AS169</f>
        <v>#NAME?</v>
      </c>
      <c r="AT210" s="23" t="e">
        <f t="shared" ref="AT210" ca="1" si="1752">AS169-AT169</f>
        <v>#NAME?</v>
      </c>
      <c r="AU210" s="23" t="e">
        <f t="shared" ref="AU210" ca="1" si="1753">AT169-AU169</f>
        <v>#NAME?</v>
      </c>
      <c r="AV210" s="23" t="e">
        <f t="shared" ref="AV210" ca="1" si="1754">AU169-AV169</f>
        <v>#NAME?</v>
      </c>
      <c r="AW210" s="23" t="e">
        <f t="shared" ref="AW210" ca="1" si="1755">AV169-AW169</f>
        <v>#NAME?</v>
      </c>
      <c r="AX210" s="23" t="e">
        <f t="shared" ref="AX210" ca="1" si="1756">AW169-AX169</f>
        <v>#NAME?</v>
      </c>
      <c r="AY210" s="23" t="e">
        <f t="shared" ref="AY210" ca="1" si="1757">AX169-AY169</f>
        <v>#NAME?</v>
      </c>
      <c r="AZ210" s="23" t="e">
        <f t="shared" ref="AZ210" ca="1" si="1758">AY169-AZ169</f>
        <v>#NAME?</v>
      </c>
      <c r="BA210" s="23" t="e">
        <f t="shared" ref="BA210" ca="1" si="1759">AZ169-BA169</f>
        <v>#NAME?</v>
      </c>
      <c r="BB210" s="23" t="e">
        <f t="shared" ref="BB210" ca="1" si="1760">BA169-BB169</f>
        <v>#NAME?</v>
      </c>
      <c r="BC210" s="23" t="e">
        <f t="shared" ref="BC210" ca="1" si="1761">BB169-BC169</f>
        <v>#NAME?</v>
      </c>
      <c r="BD210" s="23" t="e">
        <f t="shared" ref="BD210" ca="1" si="1762">BC169-BD169</f>
        <v>#NAME?</v>
      </c>
      <c r="BE210" s="23" t="e">
        <f t="shared" ref="BE210" ca="1" si="1763">BD169-BE169</f>
        <v>#NAME?</v>
      </c>
      <c r="BF210" s="23" t="e">
        <f t="shared" ref="BF210" ca="1" si="1764">BE169-BF169</f>
        <v>#NAME?</v>
      </c>
      <c r="BG210" s="23" t="e">
        <f t="shared" ref="BG210" ca="1" si="1765">BF169-BG169</f>
        <v>#NAME?</v>
      </c>
      <c r="BH210" s="23" t="e">
        <f t="shared" ref="BH210" ca="1" si="1766">BG169-BH169</f>
        <v>#NAME?</v>
      </c>
      <c r="BI210" s="23" t="e">
        <f t="shared" ref="BI210" ca="1" si="1767">BH169-BI169</f>
        <v>#NAME?</v>
      </c>
      <c r="BJ210" s="23" t="e">
        <f t="shared" ref="BJ210" ca="1" si="1768">BI169-BJ169</f>
        <v>#NAME?</v>
      </c>
      <c r="BK210" s="23" t="e">
        <f t="shared" ref="BK210" ca="1" si="1769">BJ169-BK169</f>
        <v>#NAME?</v>
      </c>
      <c r="BL210" s="23" t="e">
        <f t="shared" ref="BL210" ca="1" si="1770">BK169-BL169</f>
        <v>#NAME?</v>
      </c>
      <c r="BM210" s="23" t="e">
        <f t="shared" ref="BM210" ca="1" si="1771">BL169-BM169</f>
        <v>#NAME?</v>
      </c>
      <c r="BN210" s="23" t="e">
        <f t="shared" ref="BN210" ca="1" si="1772">BM169-BN169</f>
        <v>#NAME?</v>
      </c>
      <c r="BO210" s="23" t="e">
        <f t="shared" ref="BO210" ca="1" si="1773">BN169-BO169</f>
        <v>#NAME?</v>
      </c>
      <c r="BP210" s="23" t="e">
        <f t="shared" ref="BP210" ca="1" si="1774">BO169-BP169</f>
        <v>#NAME?</v>
      </c>
      <c r="BQ210" s="23" t="e">
        <f t="shared" ref="BQ210" ca="1" si="1775">BP169-BQ169</f>
        <v>#NAME?</v>
      </c>
      <c r="BR210" s="23" t="e">
        <f t="shared" ref="BR210" ca="1" si="1776">BQ169-BR169</f>
        <v>#NAME?</v>
      </c>
      <c r="BS210" s="23" t="e">
        <f t="shared" ref="BS210" ca="1" si="1777">BR169-BS169</f>
        <v>#NAME?</v>
      </c>
      <c r="BT210" s="23" t="e">
        <f t="shared" ref="BT210" ca="1" si="1778">BS169-BT169</f>
        <v>#NAME?</v>
      </c>
      <c r="BU210" s="23" t="e">
        <f t="shared" ref="BU210" ca="1" si="1779">BT169-BU169</f>
        <v>#NAME?</v>
      </c>
      <c r="BV210" s="23" t="e">
        <f t="shared" ref="BV210" ca="1" si="1780">BU169-BV169</f>
        <v>#NAME?</v>
      </c>
      <c r="BW210" s="23" t="e">
        <f t="shared" ref="BW210" ca="1" si="1781">BV169-BW169</f>
        <v>#NAME?</v>
      </c>
      <c r="BX210" s="23" t="e">
        <f t="shared" ref="BX210" ca="1" si="1782">BW169-BX169</f>
        <v>#NAME?</v>
      </c>
      <c r="BY210" s="23" t="e">
        <f t="shared" ref="BY210" ca="1" si="1783">BX169-BY169</f>
        <v>#NAME?</v>
      </c>
      <c r="BZ210" s="23" t="e">
        <f t="shared" ref="BZ210" ca="1" si="1784">BY169-BZ169</f>
        <v>#NAME?</v>
      </c>
      <c r="CA210" s="23" t="e">
        <f t="shared" ref="CA210" ca="1" si="1785">BZ169-CA169</f>
        <v>#NAME?</v>
      </c>
      <c r="CB210" s="23" t="e">
        <f t="shared" ref="CB210" ca="1" si="1786">CA169-CB169</f>
        <v>#NAME?</v>
      </c>
      <c r="CC210" s="23" t="e">
        <f t="shared" ref="CC210" ca="1" si="1787">CB169-CC169</f>
        <v>#NAME?</v>
      </c>
      <c r="CD210" s="23" t="e">
        <f t="shared" ref="CD210" ca="1" si="1788">CC169-CD169</f>
        <v>#NAME?</v>
      </c>
      <c r="CE210" s="23" t="e">
        <f t="shared" ref="CE210" ca="1" si="1789">CD169-CE169</f>
        <v>#NAME?</v>
      </c>
      <c r="CF210" s="23" t="e">
        <f t="shared" ref="CF210" ca="1" si="1790">CE169-CF169</f>
        <v>#NAME?</v>
      </c>
      <c r="CG210" s="23" t="e">
        <f t="shared" ref="CG210" ca="1" si="1791">CF169-CG169</f>
        <v>#NAME?</v>
      </c>
      <c r="CH210" s="23" t="e">
        <f t="shared" ref="CH210:CL210" ca="1" si="1792">CG169-CH169</f>
        <v>#NAME?</v>
      </c>
      <c r="CI210" s="23" t="e">
        <f t="shared" ca="1" si="1792"/>
        <v>#NAME?</v>
      </c>
      <c r="CJ210" s="23" t="e">
        <f t="shared" ca="1" si="1792"/>
        <v>#NAME?</v>
      </c>
      <c r="CK210" s="23" t="e">
        <f t="shared" ref="CK210" ca="1" si="1793">CJ169-CK169</f>
        <v>#NAME?</v>
      </c>
      <c r="CL210" s="23" t="e">
        <f t="shared" ca="1" si="1792"/>
        <v>#NAME?</v>
      </c>
      <c r="CM210" s="24" t="e">
        <f t="shared" ref="CM210" ca="1" si="1794">CL169-CM169</f>
        <v>#NAME?</v>
      </c>
      <c r="CN210" s="24" t="e">
        <f t="shared" ref="CN210" ca="1" si="1795">CM169-CN169</f>
        <v>#NAME?</v>
      </c>
      <c r="CO210" s="24" t="e">
        <f t="shared" ref="CO210" ca="1" si="1796">CN169-CO169</f>
        <v>#NAME?</v>
      </c>
      <c r="CP210" s="24" t="e">
        <f t="shared" ref="CP210" ca="1" si="1797">CO169-CP169</f>
        <v>#NAME?</v>
      </c>
      <c r="CQ210" s="24" t="e">
        <f t="shared" ref="CQ210" ca="1" si="1798">CP169-CQ169</f>
        <v>#NAME?</v>
      </c>
      <c r="CR210" s="24" t="e">
        <f t="shared" ref="CR210" ca="1" si="1799">CQ169-CR169</f>
        <v>#NAME?</v>
      </c>
      <c r="CS210" s="24" t="e">
        <f t="shared" ref="CS210" ca="1" si="1800">CR169-CS169</f>
        <v>#NAME?</v>
      </c>
      <c r="CT210" s="24" t="e">
        <f t="shared" ref="CT210" ca="1" si="1801">CS169-CT169</f>
        <v>#NAME?</v>
      </c>
      <c r="CU210" s="24" t="e">
        <f t="shared" ref="CU210" ca="1" si="1802">CT169-CU169</f>
        <v>#NAME?</v>
      </c>
      <c r="CV210" s="24" t="e">
        <f t="shared" ref="CV210" ca="1" si="1803">CU169-CV169</f>
        <v>#NAME?</v>
      </c>
      <c r="CW210" s="24" t="e">
        <f t="shared" ref="CW210" ca="1" si="1804">CV169-CW169</f>
        <v>#NAME?</v>
      </c>
      <c r="CX210" s="24" t="e">
        <f t="shared" ref="CX210" ca="1" si="1805">CW169-CX169</f>
        <v>#NAME?</v>
      </c>
      <c r="CY210" s="24" t="e">
        <f t="shared" ref="CY210" ca="1" si="1806">CX169-CY169</f>
        <v>#NAME?</v>
      </c>
      <c r="CZ210" s="24" t="e">
        <f t="shared" ref="CZ210" ca="1" si="1807">CY169-CZ169</f>
        <v>#NAME?</v>
      </c>
      <c r="DA210" s="24" t="e">
        <f t="shared" ref="DA210" ca="1" si="1808">CZ169-DA169</f>
        <v>#NAME?</v>
      </c>
      <c r="DB210" s="24" t="e">
        <f t="shared" ref="DB210" ca="1" si="1809">DA169-DB169</f>
        <v>#NAME?</v>
      </c>
      <c r="DE210" s="123"/>
      <c r="DF210" s="23">
        <v>458.34999999999854</v>
      </c>
    </row>
    <row r="211" spans="1:110" s="22" customFormat="1" x14ac:dyDescent="0.2">
      <c r="A211" s="22" t="s">
        <v>90</v>
      </c>
      <c r="C211" s="22" t="e">
        <f t="shared" ref="C211:W211" ca="1" si="1810">C209-C210</f>
        <v>#NAME?</v>
      </c>
      <c r="D211" s="22" t="e">
        <f t="shared" ca="1" si="1810"/>
        <v>#NAME?</v>
      </c>
      <c r="E211" s="22" t="e">
        <f t="shared" ca="1" si="1810"/>
        <v>#NAME?</v>
      </c>
      <c r="F211" s="22" t="e">
        <f t="shared" ca="1" si="1810"/>
        <v>#NAME?</v>
      </c>
      <c r="G211" s="22" t="e">
        <f t="shared" ca="1" si="1810"/>
        <v>#NAME?</v>
      </c>
      <c r="H211" s="22" t="e">
        <f t="shared" ca="1" si="1810"/>
        <v>#NAME?</v>
      </c>
      <c r="I211" s="22" t="e">
        <f t="shared" ca="1" si="1810"/>
        <v>#NAME?</v>
      </c>
      <c r="J211" s="22" t="e">
        <f ca="1">J209-J210</f>
        <v>#NAME?</v>
      </c>
      <c r="K211" s="22" t="e">
        <f t="shared" ca="1" si="1810"/>
        <v>#NAME?</v>
      </c>
      <c r="L211" s="22" t="e">
        <f t="shared" ca="1" si="1810"/>
        <v>#NAME?</v>
      </c>
      <c r="M211" s="22" t="e">
        <f t="shared" ca="1" si="1810"/>
        <v>#NAME?</v>
      </c>
      <c r="N211" s="22" t="e">
        <f t="shared" ca="1" si="1810"/>
        <v>#NAME?</v>
      </c>
      <c r="O211" s="22" t="e">
        <f t="shared" ca="1" si="1810"/>
        <v>#NAME?</v>
      </c>
      <c r="P211" s="22" t="e">
        <f t="shared" ca="1" si="1810"/>
        <v>#NAME?</v>
      </c>
      <c r="Q211" s="22" t="e">
        <f t="shared" ca="1" si="1810"/>
        <v>#NAME?</v>
      </c>
      <c r="R211" s="22" t="e">
        <f t="shared" ca="1" si="1810"/>
        <v>#NAME?</v>
      </c>
      <c r="S211" s="22" t="e">
        <f t="shared" ca="1" si="1810"/>
        <v>#NAME?</v>
      </c>
      <c r="T211" s="22" t="e">
        <f t="shared" ca="1" si="1810"/>
        <v>#NAME?</v>
      </c>
      <c r="U211" s="22" t="e">
        <f t="shared" ca="1" si="1810"/>
        <v>#NAME?</v>
      </c>
      <c r="V211" s="22" t="e">
        <f t="shared" ca="1" si="1810"/>
        <v>#NAME?</v>
      </c>
      <c r="W211" s="22" t="e">
        <f t="shared" ca="1" si="1810"/>
        <v>#NAME?</v>
      </c>
      <c r="X211" s="22" t="e">
        <f t="shared" ref="X211:Y211" ca="1" si="1811">X209-X210</f>
        <v>#NAME?</v>
      </c>
      <c r="Y211" s="22" t="e">
        <f t="shared" ca="1" si="1811"/>
        <v>#NAME?</v>
      </c>
      <c r="Z211" s="22" t="e">
        <f t="shared" ref="Z211:AA211" ca="1" si="1812">Z209-Z210</f>
        <v>#NAME?</v>
      </c>
      <c r="AA211" s="22" t="e">
        <f t="shared" ca="1" si="1812"/>
        <v>#NAME?</v>
      </c>
      <c r="AB211" s="21" t="e">
        <f t="shared" ref="AA211:AD211" ca="1" si="1813">AB209-AB210</f>
        <v>#NAME?</v>
      </c>
      <c r="AC211" s="21" t="e">
        <f t="shared" ca="1" si="1813"/>
        <v>#NAME?</v>
      </c>
      <c r="AD211" s="21" t="e">
        <f t="shared" ca="1" si="1813"/>
        <v>#NAME?</v>
      </c>
      <c r="AE211" s="21" t="e">
        <f t="shared" ref="AE211" ca="1" si="1814">AE209-AE210</f>
        <v>#NAME?</v>
      </c>
      <c r="AI211" s="22" t="e">
        <f t="shared" ref="AI211" ca="1" si="1815">AI209-AI210</f>
        <v>#NAME?</v>
      </c>
      <c r="AJ211" s="22" t="e">
        <f t="shared" ref="AJ211:AL211" ca="1" si="1816">AJ209-AJ210</f>
        <v>#NAME?</v>
      </c>
      <c r="AK211" s="22" t="e">
        <f t="shared" ca="1" si="1816"/>
        <v>#NAME?</v>
      </c>
      <c r="AL211" s="22" t="e">
        <f t="shared" ca="1" si="1816"/>
        <v>#NAME?</v>
      </c>
      <c r="AM211" s="22" t="e">
        <f t="shared" ref="AM211" ca="1" si="1817">AM209-AM210</f>
        <v>#NAME?</v>
      </c>
      <c r="AN211" s="22" t="e">
        <f t="shared" ref="AN211:CD211" ca="1" si="1818">AN209-AN210</f>
        <v>#NAME?</v>
      </c>
      <c r="AO211" s="22" t="e">
        <f t="shared" ca="1" si="1818"/>
        <v>#NAME?</v>
      </c>
      <c r="AP211" s="22" t="e">
        <f t="shared" ca="1" si="1818"/>
        <v>#NAME?</v>
      </c>
      <c r="AQ211" s="22" t="e">
        <f t="shared" ca="1" si="1818"/>
        <v>#NAME?</v>
      </c>
      <c r="AR211" s="22" t="e">
        <f t="shared" ca="1" si="1818"/>
        <v>#NAME?</v>
      </c>
      <c r="AS211" s="22" t="e">
        <f t="shared" ca="1" si="1818"/>
        <v>#NAME?</v>
      </c>
      <c r="AT211" s="22" t="e">
        <f t="shared" ca="1" si="1818"/>
        <v>#NAME?</v>
      </c>
      <c r="AU211" s="22" t="e">
        <f t="shared" ca="1" si="1818"/>
        <v>#NAME?</v>
      </c>
      <c r="AV211" s="22" t="e">
        <f t="shared" ca="1" si="1818"/>
        <v>#NAME?</v>
      </c>
      <c r="AW211" s="22" t="e">
        <f t="shared" ca="1" si="1818"/>
        <v>#NAME?</v>
      </c>
      <c r="AX211" s="22" t="e">
        <f t="shared" ca="1" si="1818"/>
        <v>#NAME?</v>
      </c>
      <c r="AY211" s="22" t="e">
        <f t="shared" ca="1" si="1818"/>
        <v>#NAME?</v>
      </c>
      <c r="AZ211" s="22" t="e">
        <f t="shared" ca="1" si="1818"/>
        <v>#NAME?</v>
      </c>
      <c r="BA211" s="22" t="e">
        <f t="shared" ca="1" si="1818"/>
        <v>#NAME?</v>
      </c>
      <c r="BB211" s="22" t="e">
        <f t="shared" ca="1" si="1818"/>
        <v>#NAME?</v>
      </c>
      <c r="BC211" s="22" t="e">
        <f t="shared" ca="1" si="1818"/>
        <v>#NAME?</v>
      </c>
      <c r="BD211" s="22" t="e">
        <f t="shared" ca="1" si="1818"/>
        <v>#NAME?</v>
      </c>
      <c r="BE211" s="22" t="e">
        <f t="shared" ca="1" si="1818"/>
        <v>#NAME?</v>
      </c>
      <c r="BF211" s="22" t="e">
        <f t="shared" ca="1" si="1818"/>
        <v>#NAME?</v>
      </c>
      <c r="BG211" s="22" t="e">
        <f t="shared" ca="1" si="1818"/>
        <v>#NAME?</v>
      </c>
      <c r="BH211" s="22" t="e">
        <f t="shared" ca="1" si="1818"/>
        <v>#NAME?</v>
      </c>
      <c r="BI211" s="22" t="e">
        <f t="shared" ca="1" si="1818"/>
        <v>#NAME?</v>
      </c>
      <c r="BJ211" s="22" t="e">
        <f t="shared" ca="1" si="1818"/>
        <v>#NAME?</v>
      </c>
      <c r="BK211" s="22" t="e">
        <f t="shared" ca="1" si="1818"/>
        <v>#NAME?</v>
      </c>
      <c r="BL211" s="22" t="e">
        <f t="shared" ca="1" si="1818"/>
        <v>#NAME?</v>
      </c>
      <c r="BM211" s="22" t="e">
        <f t="shared" ca="1" si="1818"/>
        <v>#NAME?</v>
      </c>
      <c r="BN211" s="22" t="e">
        <f t="shared" ca="1" si="1818"/>
        <v>#NAME?</v>
      </c>
      <c r="BO211" s="22" t="e">
        <f t="shared" ca="1" si="1818"/>
        <v>#NAME?</v>
      </c>
      <c r="BP211" s="22" t="e">
        <f t="shared" ca="1" si="1818"/>
        <v>#NAME?</v>
      </c>
      <c r="BQ211" s="22" t="e">
        <f t="shared" ca="1" si="1818"/>
        <v>#NAME?</v>
      </c>
      <c r="BR211" s="22" t="e">
        <f t="shared" ca="1" si="1818"/>
        <v>#NAME?</v>
      </c>
      <c r="BS211" s="22" t="e">
        <f t="shared" ca="1" si="1818"/>
        <v>#NAME?</v>
      </c>
      <c r="BT211" s="22" t="e">
        <f t="shared" ca="1" si="1818"/>
        <v>#NAME?</v>
      </c>
      <c r="BU211" s="22" t="e">
        <f t="shared" ca="1" si="1818"/>
        <v>#NAME?</v>
      </c>
      <c r="BV211" s="22" t="e">
        <f t="shared" ca="1" si="1818"/>
        <v>#NAME?</v>
      </c>
      <c r="BW211" s="22" t="e">
        <f t="shared" ca="1" si="1818"/>
        <v>#NAME?</v>
      </c>
      <c r="BX211" s="22" t="e">
        <f t="shared" ca="1" si="1818"/>
        <v>#NAME?</v>
      </c>
      <c r="BY211" s="22" t="e">
        <f t="shared" ca="1" si="1818"/>
        <v>#NAME?</v>
      </c>
      <c r="BZ211" s="22" t="e">
        <f t="shared" ca="1" si="1818"/>
        <v>#NAME?</v>
      </c>
      <c r="CA211" s="22" t="e">
        <f t="shared" ca="1" si="1818"/>
        <v>#NAME?</v>
      </c>
      <c r="CB211" s="22" t="e">
        <f t="shared" ca="1" si="1818"/>
        <v>#NAME?</v>
      </c>
      <c r="CC211" s="22" t="e">
        <f t="shared" ca="1" si="1818"/>
        <v>#NAME?</v>
      </c>
      <c r="CD211" s="22" t="e">
        <f t="shared" ca="1" si="1818"/>
        <v>#NAME?</v>
      </c>
      <c r="CE211" s="22" t="e">
        <f t="shared" ref="CE211:CF211" ca="1" si="1819">CE209-CE210</f>
        <v>#NAME?</v>
      </c>
      <c r="CF211" s="22" t="e">
        <f t="shared" ca="1" si="1819"/>
        <v>#NAME?</v>
      </c>
      <c r="CG211" s="22" t="e">
        <f t="shared" ref="CG211:CH211" ca="1" si="1820">CG209-CG210</f>
        <v>#NAME?</v>
      </c>
      <c r="CH211" s="22" t="e">
        <f t="shared" ca="1" si="1820"/>
        <v>#NAME?</v>
      </c>
      <c r="CI211" s="22" t="e">
        <f t="shared" ref="CI211:CJ211" ca="1" si="1821">CI209-CI210</f>
        <v>#NAME?</v>
      </c>
      <c r="CJ211" s="22" t="e">
        <f t="shared" ca="1" si="1821"/>
        <v>#NAME?</v>
      </c>
      <c r="CK211" s="22" t="e">
        <f t="shared" ref="CK211:DB211" ca="1" si="1822">CK209-CK210</f>
        <v>#NAME?</v>
      </c>
      <c r="CL211" s="22" t="e">
        <f t="shared" ca="1" si="1822"/>
        <v>#NAME?</v>
      </c>
      <c r="CM211" s="21" t="e">
        <f t="shared" ca="1" si="1822"/>
        <v>#NAME?</v>
      </c>
      <c r="CN211" s="21" t="e">
        <f t="shared" ca="1" si="1822"/>
        <v>#NAME?</v>
      </c>
      <c r="CO211" s="21" t="e">
        <f t="shared" ca="1" si="1822"/>
        <v>#NAME?</v>
      </c>
      <c r="CP211" s="21" t="e">
        <f t="shared" ca="1" si="1822"/>
        <v>#NAME?</v>
      </c>
      <c r="CQ211" s="21" t="e">
        <f t="shared" ca="1" si="1822"/>
        <v>#NAME?</v>
      </c>
      <c r="CR211" s="21" t="e">
        <f t="shared" ca="1" si="1822"/>
        <v>#NAME?</v>
      </c>
      <c r="CS211" s="21" t="e">
        <f t="shared" ca="1" si="1822"/>
        <v>#NAME?</v>
      </c>
      <c r="CT211" s="21" t="e">
        <f t="shared" ca="1" si="1822"/>
        <v>#NAME?</v>
      </c>
      <c r="CU211" s="21" t="e">
        <f t="shared" ca="1" si="1822"/>
        <v>#NAME?</v>
      </c>
      <c r="CV211" s="21" t="e">
        <f t="shared" ca="1" si="1822"/>
        <v>#NAME?</v>
      </c>
      <c r="CW211" s="21" t="e">
        <f t="shared" ca="1" si="1822"/>
        <v>#NAME?</v>
      </c>
      <c r="CX211" s="21" t="e">
        <f t="shared" ca="1" si="1822"/>
        <v>#NAME?</v>
      </c>
      <c r="CY211" s="21" t="e">
        <f t="shared" ca="1" si="1822"/>
        <v>#NAME?</v>
      </c>
      <c r="CZ211" s="21" t="e">
        <f t="shared" ca="1" si="1822"/>
        <v>#NAME?</v>
      </c>
      <c r="DA211" s="21" t="e">
        <f t="shared" ca="1" si="1822"/>
        <v>#NAME?</v>
      </c>
      <c r="DB211" s="21" t="e">
        <f t="shared" ca="1" si="1822"/>
        <v>#NAME?</v>
      </c>
      <c r="DE211" s="126"/>
      <c r="DF211" s="22">
        <v>-1635.3799999999983</v>
      </c>
    </row>
    <row r="212" spans="1:110" s="22" customFormat="1" x14ac:dyDescent="0.2">
      <c r="A212" s="22" t="s">
        <v>91</v>
      </c>
      <c r="C212" s="22" t="e">
        <f t="shared" ref="C212:W212" ca="1" si="1823">C208+C211</f>
        <v>#NAME?</v>
      </c>
      <c r="D212" s="22" t="e">
        <f ca="1">D208+D211</f>
        <v>#NAME?</v>
      </c>
      <c r="E212" s="22" t="e">
        <f t="shared" ca="1" si="1823"/>
        <v>#NAME?</v>
      </c>
      <c r="F212" s="22" t="e">
        <f t="shared" ca="1" si="1823"/>
        <v>#NAME?</v>
      </c>
      <c r="G212" s="22" t="e">
        <f t="shared" ca="1" si="1823"/>
        <v>#NAME?</v>
      </c>
      <c r="H212" s="22" t="e">
        <f t="shared" ca="1" si="1823"/>
        <v>#NAME?</v>
      </c>
      <c r="I212" s="22" t="e">
        <f t="shared" ca="1" si="1823"/>
        <v>#NAME?</v>
      </c>
      <c r="J212" s="22" t="e">
        <f ca="1">J208+J211</f>
        <v>#NAME?</v>
      </c>
      <c r="K212" s="22" t="e">
        <f t="shared" ca="1" si="1823"/>
        <v>#NAME?</v>
      </c>
      <c r="L212" s="22" t="e">
        <f t="shared" ca="1" si="1823"/>
        <v>#NAME?</v>
      </c>
      <c r="M212" s="22" t="e">
        <f t="shared" ca="1" si="1823"/>
        <v>#NAME?</v>
      </c>
      <c r="N212" s="22" t="e">
        <f t="shared" ca="1" si="1823"/>
        <v>#NAME?</v>
      </c>
      <c r="O212" s="22" t="e">
        <f t="shared" ca="1" si="1823"/>
        <v>#NAME?</v>
      </c>
      <c r="P212" s="22" t="e">
        <f t="shared" ca="1" si="1823"/>
        <v>#NAME?</v>
      </c>
      <c r="Q212" s="22" t="e">
        <f t="shared" ca="1" si="1823"/>
        <v>#NAME?</v>
      </c>
      <c r="R212" s="22" t="e">
        <f t="shared" ca="1" si="1823"/>
        <v>#NAME?</v>
      </c>
      <c r="S212" s="22" t="e">
        <f t="shared" ca="1" si="1823"/>
        <v>#NAME?</v>
      </c>
      <c r="T212" s="22" t="e">
        <f t="shared" ca="1" si="1823"/>
        <v>#NAME?</v>
      </c>
      <c r="U212" s="22" t="e">
        <f t="shared" ca="1" si="1823"/>
        <v>#NAME?</v>
      </c>
      <c r="V212" s="22" t="e">
        <f t="shared" ca="1" si="1823"/>
        <v>#NAME?</v>
      </c>
      <c r="W212" s="22" t="e">
        <f t="shared" ca="1" si="1823"/>
        <v>#NAME?</v>
      </c>
      <c r="X212" s="22" t="e">
        <f t="shared" ref="X212:Y212" ca="1" si="1824">X208+X211</f>
        <v>#NAME?</v>
      </c>
      <c r="Y212" s="22" t="e">
        <f t="shared" ca="1" si="1824"/>
        <v>#NAME?</v>
      </c>
      <c r="Z212" s="22" t="e">
        <f t="shared" ref="Z212:AA212" ca="1" si="1825">Z208+Z211</f>
        <v>#NAME?</v>
      </c>
      <c r="AA212" s="22" t="e">
        <f t="shared" ca="1" si="1825"/>
        <v>#NAME?</v>
      </c>
      <c r="AB212" s="21" t="e">
        <f t="shared" ref="AA212:AD212" ca="1" si="1826">AB208+AB211</f>
        <v>#NAME?</v>
      </c>
      <c r="AC212" s="21" t="e">
        <f t="shared" ca="1" si="1826"/>
        <v>#NAME?</v>
      </c>
      <c r="AD212" s="21" t="e">
        <f t="shared" ca="1" si="1826"/>
        <v>#NAME?</v>
      </c>
      <c r="AE212" s="21" t="e">
        <f t="shared" ref="AE212" ca="1" si="1827">AE208+AE211</f>
        <v>#NAME?</v>
      </c>
      <c r="AI212" s="22" t="e">
        <f t="shared" ref="AI212" ca="1" si="1828">AI208+AI211</f>
        <v>#NAME?</v>
      </c>
      <c r="AJ212" s="22" t="e">
        <f t="shared" ref="AJ212:AL212" ca="1" si="1829">AJ208+AJ211</f>
        <v>#NAME?</v>
      </c>
      <c r="AK212" s="22" t="e">
        <f t="shared" ca="1" si="1829"/>
        <v>#NAME?</v>
      </c>
      <c r="AL212" s="22" t="e">
        <f t="shared" ca="1" si="1829"/>
        <v>#NAME?</v>
      </c>
      <c r="AM212" s="22" t="e">
        <f t="shared" ref="AM212" ca="1" si="1830">AM208+AM211</f>
        <v>#NAME?</v>
      </c>
      <c r="AN212" s="22" t="e">
        <f t="shared" ref="AN212:CD212" ca="1" si="1831">AN208+AN211</f>
        <v>#NAME?</v>
      </c>
      <c r="AO212" s="22" t="e">
        <f t="shared" ca="1" si="1831"/>
        <v>#NAME?</v>
      </c>
      <c r="AP212" s="22" t="e">
        <f t="shared" ca="1" si="1831"/>
        <v>#NAME?</v>
      </c>
      <c r="AQ212" s="22" t="e">
        <f t="shared" ca="1" si="1831"/>
        <v>#NAME?</v>
      </c>
      <c r="AR212" s="22" t="e">
        <f t="shared" ca="1" si="1831"/>
        <v>#NAME?</v>
      </c>
      <c r="AS212" s="22" t="e">
        <f t="shared" ca="1" si="1831"/>
        <v>#NAME?</v>
      </c>
      <c r="AT212" s="22" t="e">
        <f t="shared" ca="1" si="1831"/>
        <v>#NAME?</v>
      </c>
      <c r="AU212" s="22" t="e">
        <f t="shared" ca="1" si="1831"/>
        <v>#NAME?</v>
      </c>
      <c r="AV212" s="22" t="e">
        <f t="shared" ca="1" si="1831"/>
        <v>#NAME?</v>
      </c>
      <c r="AW212" s="22" t="e">
        <f t="shared" ca="1" si="1831"/>
        <v>#NAME?</v>
      </c>
      <c r="AX212" s="22" t="e">
        <f t="shared" ca="1" si="1831"/>
        <v>#NAME?</v>
      </c>
      <c r="AY212" s="22" t="e">
        <f t="shared" ca="1" si="1831"/>
        <v>#NAME?</v>
      </c>
      <c r="AZ212" s="22" t="e">
        <f t="shared" ca="1" si="1831"/>
        <v>#NAME?</v>
      </c>
      <c r="BA212" s="22" t="e">
        <f t="shared" ca="1" si="1831"/>
        <v>#NAME?</v>
      </c>
      <c r="BB212" s="22" t="e">
        <f t="shared" ca="1" si="1831"/>
        <v>#NAME?</v>
      </c>
      <c r="BC212" s="22" t="e">
        <f t="shared" ca="1" si="1831"/>
        <v>#NAME?</v>
      </c>
      <c r="BD212" s="22" t="e">
        <f t="shared" ca="1" si="1831"/>
        <v>#NAME?</v>
      </c>
      <c r="BE212" s="22" t="e">
        <f t="shared" ca="1" si="1831"/>
        <v>#NAME?</v>
      </c>
      <c r="BF212" s="22" t="e">
        <f t="shared" ca="1" si="1831"/>
        <v>#NAME?</v>
      </c>
      <c r="BG212" s="22" t="e">
        <f t="shared" ca="1" si="1831"/>
        <v>#NAME?</v>
      </c>
      <c r="BH212" s="22" t="e">
        <f t="shared" ca="1" si="1831"/>
        <v>#NAME?</v>
      </c>
      <c r="BI212" s="22" t="e">
        <f t="shared" ca="1" si="1831"/>
        <v>#NAME?</v>
      </c>
      <c r="BJ212" s="22" t="e">
        <f t="shared" ca="1" si="1831"/>
        <v>#NAME?</v>
      </c>
      <c r="BK212" s="22" t="e">
        <f t="shared" ca="1" si="1831"/>
        <v>#NAME?</v>
      </c>
      <c r="BL212" s="22" t="e">
        <f t="shared" ca="1" si="1831"/>
        <v>#NAME?</v>
      </c>
      <c r="BM212" s="22" t="e">
        <f t="shared" ca="1" si="1831"/>
        <v>#NAME?</v>
      </c>
      <c r="BN212" s="22" t="e">
        <f t="shared" ca="1" si="1831"/>
        <v>#NAME?</v>
      </c>
      <c r="BO212" s="22" t="e">
        <f t="shared" ca="1" si="1831"/>
        <v>#NAME?</v>
      </c>
      <c r="BP212" s="22" t="e">
        <f t="shared" ca="1" si="1831"/>
        <v>#NAME?</v>
      </c>
      <c r="BQ212" s="22" t="e">
        <f t="shared" ca="1" si="1831"/>
        <v>#NAME?</v>
      </c>
      <c r="BR212" s="22" t="e">
        <f t="shared" ca="1" si="1831"/>
        <v>#NAME?</v>
      </c>
      <c r="BS212" s="22" t="e">
        <f t="shared" ca="1" si="1831"/>
        <v>#NAME?</v>
      </c>
      <c r="BT212" s="22" t="e">
        <f t="shared" ca="1" si="1831"/>
        <v>#NAME?</v>
      </c>
      <c r="BU212" s="22" t="e">
        <f t="shared" ca="1" si="1831"/>
        <v>#NAME?</v>
      </c>
      <c r="BV212" s="22" t="e">
        <f t="shared" ca="1" si="1831"/>
        <v>#NAME?</v>
      </c>
      <c r="BW212" s="22" t="e">
        <f t="shared" ca="1" si="1831"/>
        <v>#NAME?</v>
      </c>
      <c r="BX212" s="22" t="e">
        <f t="shared" ca="1" si="1831"/>
        <v>#NAME?</v>
      </c>
      <c r="BY212" s="22" t="e">
        <f t="shared" ca="1" si="1831"/>
        <v>#NAME?</v>
      </c>
      <c r="BZ212" s="22" t="e">
        <f t="shared" ca="1" si="1831"/>
        <v>#NAME?</v>
      </c>
      <c r="CA212" s="22" t="e">
        <f t="shared" ca="1" si="1831"/>
        <v>#NAME?</v>
      </c>
      <c r="CB212" s="22" t="e">
        <f t="shared" ca="1" si="1831"/>
        <v>#NAME?</v>
      </c>
      <c r="CC212" s="22" t="e">
        <f t="shared" ca="1" si="1831"/>
        <v>#NAME?</v>
      </c>
      <c r="CD212" s="22" t="e">
        <f t="shared" ca="1" si="1831"/>
        <v>#NAME?</v>
      </c>
      <c r="CE212" s="22" t="e">
        <f t="shared" ref="CE212:CF212" ca="1" si="1832">CE208+CE211</f>
        <v>#NAME?</v>
      </c>
      <c r="CF212" s="22" t="e">
        <f t="shared" ca="1" si="1832"/>
        <v>#NAME?</v>
      </c>
      <c r="CG212" s="22" t="e">
        <f t="shared" ref="CG212:CH212" ca="1" si="1833">CG208+CG211</f>
        <v>#NAME?</v>
      </c>
      <c r="CH212" s="22" t="e">
        <f t="shared" ca="1" si="1833"/>
        <v>#NAME?</v>
      </c>
      <c r="CI212" s="22" t="e">
        <f t="shared" ref="CI212:CJ212" ca="1" si="1834">CI208+CI211</f>
        <v>#NAME?</v>
      </c>
      <c r="CJ212" s="22" t="e">
        <f t="shared" ca="1" si="1834"/>
        <v>#NAME?</v>
      </c>
      <c r="CK212" s="22" t="e">
        <f t="shared" ref="CK212:DB212" ca="1" si="1835">CK208+CK211</f>
        <v>#NAME?</v>
      </c>
      <c r="CL212" s="22" t="e">
        <f t="shared" ca="1" si="1835"/>
        <v>#NAME?</v>
      </c>
      <c r="CM212" s="21" t="e">
        <f t="shared" ca="1" si="1835"/>
        <v>#NAME?</v>
      </c>
      <c r="CN212" s="21" t="e">
        <f t="shared" ca="1" si="1835"/>
        <v>#NAME?</v>
      </c>
      <c r="CO212" s="21" t="e">
        <f t="shared" ca="1" si="1835"/>
        <v>#NAME?</v>
      </c>
      <c r="CP212" s="21" t="e">
        <f t="shared" ca="1" si="1835"/>
        <v>#NAME?</v>
      </c>
      <c r="CQ212" s="21" t="e">
        <f t="shared" ca="1" si="1835"/>
        <v>#NAME?</v>
      </c>
      <c r="CR212" s="21" t="e">
        <f t="shared" ca="1" si="1835"/>
        <v>#NAME?</v>
      </c>
      <c r="CS212" s="21" t="e">
        <f t="shared" ca="1" si="1835"/>
        <v>#NAME?</v>
      </c>
      <c r="CT212" s="21" t="e">
        <f t="shared" ca="1" si="1835"/>
        <v>#NAME?</v>
      </c>
      <c r="CU212" s="21" t="e">
        <f t="shared" ca="1" si="1835"/>
        <v>#NAME?</v>
      </c>
      <c r="CV212" s="21" t="e">
        <f t="shared" ca="1" si="1835"/>
        <v>#NAME?</v>
      </c>
      <c r="CW212" s="21" t="e">
        <f t="shared" ca="1" si="1835"/>
        <v>#NAME?</v>
      </c>
      <c r="CX212" s="21" t="e">
        <f t="shared" ca="1" si="1835"/>
        <v>#NAME?</v>
      </c>
      <c r="CY212" s="21" t="e">
        <f t="shared" ca="1" si="1835"/>
        <v>#NAME?</v>
      </c>
      <c r="CZ212" s="21" t="e">
        <f t="shared" ca="1" si="1835"/>
        <v>#NAME?</v>
      </c>
      <c r="DA212" s="21" t="e">
        <f t="shared" ca="1" si="1835"/>
        <v>#NAME?</v>
      </c>
      <c r="DB212" s="21" t="e">
        <f t="shared" ca="1" si="1835"/>
        <v>#NAME?</v>
      </c>
      <c r="DE212" s="126"/>
      <c r="DF212" s="22">
        <v>6710.5400000000036</v>
      </c>
    </row>
    <row r="213" spans="1:110" s="23" customFormat="1" x14ac:dyDescent="0.2">
      <c r="AB213" s="24"/>
      <c r="AC213" s="24"/>
      <c r="AD213" s="24"/>
      <c r="AE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3"/>
    </row>
    <row r="214" spans="1:110" s="22" customFormat="1" x14ac:dyDescent="0.2">
      <c r="A214" s="22" t="s">
        <v>92</v>
      </c>
      <c r="C214" s="22" t="e">
        <f t="shared" ref="C214:W214" ca="1" si="1836">C215+C216</f>
        <v>#NAME?</v>
      </c>
      <c r="D214" s="22" t="e">
        <f ca="1">D215+D216</f>
        <v>#NAME?</v>
      </c>
      <c r="E214" s="22" t="e">
        <f t="shared" ca="1" si="1836"/>
        <v>#NAME?</v>
      </c>
      <c r="F214" s="22" t="e">
        <f t="shared" ca="1" si="1836"/>
        <v>#NAME?</v>
      </c>
      <c r="G214" s="22" t="e">
        <f t="shared" ca="1" si="1836"/>
        <v>#NAME?</v>
      </c>
      <c r="H214" s="22" t="e">
        <f t="shared" ca="1" si="1836"/>
        <v>#NAME?</v>
      </c>
      <c r="I214" s="22" t="e">
        <f t="shared" ca="1" si="1836"/>
        <v>#NAME?</v>
      </c>
      <c r="J214" s="22" t="e">
        <f t="shared" ca="1" si="1836"/>
        <v>#NAME?</v>
      </c>
      <c r="K214" s="22" t="e">
        <f t="shared" ca="1" si="1836"/>
        <v>#NAME?</v>
      </c>
      <c r="L214" s="22" t="e">
        <f t="shared" ca="1" si="1836"/>
        <v>#NAME?</v>
      </c>
      <c r="M214" s="22" t="e">
        <f t="shared" ca="1" si="1836"/>
        <v>#NAME?</v>
      </c>
      <c r="N214" s="22" t="e">
        <f t="shared" ca="1" si="1836"/>
        <v>#NAME?</v>
      </c>
      <c r="O214" s="22" t="e">
        <f t="shared" ca="1" si="1836"/>
        <v>#NAME?</v>
      </c>
      <c r="P214" s="22" t="e">
        <f t="shared" ca="1" si="1836"/>
        <v>#NAME?</v>
      </c>
      <c r="Q214" s="22" t="e">
        <f t="shared" ca="1" si="1836"/>
        <v>#NAME?</v>
      </c>
      <c r="R214" s="22" t="e">
        <f t="shared" ca="1" si="1836"/>
        <v>#NAME?</v>
      </c>
      <c r="S214" s="22" t="e">
        <f t="shared" ca="1" si="1836"/>
        <v>#NAME?</v>
      </c>
      <c r="T214" s="22" t="e">
        <f t="shared" ca="1" si="1836"/>
        <v>#NAME?</v>
      </c>
      <c r="U214" s="22" t="e">
        <f t="shared" ca="1" si="1836"/>
        <v>#NAME?</v>
      </c>
      <c r="V214" s="22" t="e">
        <f t="shared" ca="1" si="1836"/>
        <v>#NAME?</v>
      </c>
      <c r="W214" s="22" t="e">
        <f t="shared" ca="1" si="1836"/>
        <v>#NAME?</v>
      </c>
      <c r="X214" s="22" t="e">
        <f t="shared" ref="X214:Y214" ca="1" si="1837">X215+X216</f>
        <v>#NAME?</v>
      </c>
      <c r="Y214" s="22" t="e">
        <f t="shared" ca="1" si="1837"/>
        <v>#NAME?</v>
      </c>
      <c r="Z214" s="22" t="e">
        <f t="shared" ref="Z214:AA214" ca="1" si="1838">Z215+Z216</f>
        <v>#NAME?</v>
      </c>
      <c r="AA214" s="22" t="e">
        <f t="shared" ca="1" si="1838"/>
        <v>#NAME?</v>
      </c>
      <c r="AB214" s="21" t="e">
        <f t="shared" ref="AA214:AD214" ca="1" si="1839">AB215+AB216</f>
        <v>#NAME?</v>
      </c>
      <c r="AC214" s="21" t="e">
        <f t="shared" ca="1" si="1839"/>
        <v>#NAME?</v>
      </c>
      <c r="AD214" s="21" t="e">
        <f t="shared" ca="1" si="1839"/>
        <v>#NAME?</v>
      </c>
      <c r="AE214" s="21" t="e">
        <f t="shared" ref="AE214" ca="1" si="1840">AE215+AE216</f>
        <v>#NAME?</v>
      </c>
      <c r="AI214" s="22" t="e">
        <f t="shared" ref="AI214" ca="1" si="1841">AI215+AI216</f>
        <v>#NAME?</v>
      </c>
      <c r="AJ214" s="22" t="e">
        <f t="shared" ref="AJ214:AL214" ca="1" si="1842">AJ215+AJ216</f>
        <v>#NAME?</v>
      </c>
      <c r="AK214" s="22" t="e">
        <f t="shared" ca="1" si="1842"/>
        <v>#NAME?</v>
      </c>
      <c r="AL214" s="22" t="e">
        <f t="shared" ca="1" si="1842"/>
        <v>#NAME?</v>
      </c>
      <c r="AM214" s="22" t="e">
        <f t="shared" ref="AM214" ca="1" si="1843">AM215+AM216</f>
        <v>#NAME?</v>
      </c>
      <c r="AN214" s="22" t="e">
        <f t="shared" ref="AN214:CD214" ca="1" si="1844">AN215+AN216</f>
        <v>#NAME?</v>
      </c>
      <c r="AO214" s="22" t="e">
        <f t="shared" ca="1" si="1844"/>
        <v>#NAME?</v>
      </c>
      <c r="AP214" s="22" t="e">
        <f t="shared" ca="1" si="1844"/>
        <v>#NAME?</v>
      </c>
      <c r="AQ214" s="22" t="e">
        <f t="shared" ca="1" si="1844"/>
        <v>#NAME?</v>
      </c>
      <c r="AR214" s="22" t="e">
        <f t="shared" ca="1" si="1844"/>
        <v>#NAME?</v>
      </c>
      <c r="AS214" s="22" t="e">
        <f t="shared" ca="1" si="1844"/>
        <v>#NAME?</v>
      </c>
      <c r="AT214" s="22" t="e">
        <f t="shared" ca="1" si="1844"/>
        <v>#NAME?</v>
      </c>
      <c r="AU214" s="22" t="e">
        <f t="shared" ca="1" si="1844"/>
        <v>#NAME?</v>
      </c>
      <c r="AV214" s="22" t="e">
        <f t="shared" ca="1" si="1844"/>
        <v>#NAME?</v>
      </c>
      <c r="AW214" s="22" t="e">
        <f t="shared" ca="1" si="1844"/>
        <v>#NAME?</v>
      </c>
      <c r="AX214" s="22" t="e">
        <f t="shared" ca="1" si="1844"/>
        <v>#NAME?</v>
      </c>
      <c r="AY214" s="22" t="e">
        <f t="shared" ca="1" si="1844"/>
        <v>#NAME?</v>
      </c>
      <c r="AZ214" s="22" t="e">
        <f t="shared" ca="1" si="1844"/>
        <v>#NAME?</v>
      </c>
      <c r="BA214" s="22" t="e">
        <f t="shared" ca="1" si="1844"/>
        <v>#NAME?</v>
      </c>
      <c r="BB214" s="22" t="e">
        <f t="shared" ca="1" si="1844"/>
        <v>#NAME?</v>
      </c>
      <c r="BC214" s="22" t="e">
        <f t="shared" ca="1" si="1844"/>
        <v>#NAME?</v>
      </c>
      <c r="BD214" s="22" t="e">
        <f t="shared" ca="1" si="1844"/>
        <v>#NAME?</v>
      </c>
      <c r="BE214" s="22" t="e">
        <f t="shared" ca="1" si="1844"/>
        <v>#NAME?</v>
      </c>
      <c r="BF214" s="22" t="e">
        <f t="shared" ca="1" si="1844"/>
        <v>#NAME?</v>
      </c>
      <c r="BG214" s="22" t="e">
        <f t="shared" ca="1" si="1844"/>
        <v>#NAME?</v>
      </c>
      <c r="BH214" s="22" t="e">
        <f t="shared" ca="1" si="1844"/>
        <v>#NAME?</v>
      </c>
      <c r="BI214" s="22" t="e">
        <f t="shared" ca="1" si="1844"/>
        <v>#NAME?</v>
      </c>
      <c r="BJ214" s="22" t="e">
        <f t="shared" ca="1" si="1844"/>
        <v>#NAME?</v>
      </c>
      <c r="BK214" s="22" t="e">
        <f t="shared" ca="1" si="1844"/>
        <v>#NAME?</v>
      </c>
      <c r="BL214" s="22" t="e">
        <f t="shared" ca="1" si="1844"/>
        <v>#NAME?</v>
      </c>
      <c r="BM214" s="22" t="e">
        <f t="shared" ca="1" si="1844"/>
        <v>#NAME?</v>
      </c>
      <c r="BN214" s="22" t="e">
        <f t="shared" ca="1" si="1844"/>
        <v>#NAME?</v>
      </c>
      <c r="BO214" s="22" t="e">
        <f t="shared" ca="1" si="1844"/>
        <v>#NAME?</v>
      </c>
      <c r="BP214" s="22" t="e">
        <f t="shared" ca="1" si="1844"/>
        <v>#NAME?</v>
      </c>
      <c r="BQ214" s="22" t="e">
        <f t="shared" ca="1" si="1844"/>
        <v>#NAME?</v>
      </c>
      <c r="BR214" s="22" t="e">
        <f t="shared" ca="1" si="1844"/>
        <v>#NAME?</v>
      </c>
      <c r="BS214" s="22" t="e">
        <f t="shared" ca="1" si="1844"/>
        <v>#NAME?</v>
      </c>
      <c r="BT214" s="22" t="e">
        <f t="shared" ca="1" si="1844"/>
        <v>#NAME?</v>
      </c>
      <c r="BU214" s="22" t="e">
        <f t="shared" ca="1" si="1844"/>
        <v>#NAME?</v>
      </c>
      <c r="BV214" s="22" t="e">
        <f t="shared" ca="1" si="1844"/>
        <v>#NAME?</v>
      </c>
      <c r="BW214" s="22" t="e">
        <f t="shared" ca="1" si="1844"/>
        <v>#NAME?</v>
      </c>
      <c r="BX214" s="22" t="e">
        <f t="shared" ca="1" si="1844"/>
        <v>#NAME?</v>
      </c>
      <c r="BY214" s="22" t="e">
        <f t="shared" ca="1" si="1844"/>
        <v>#NAME?</v>
      </c>
      <c r="BZ214" s="22" t="e">
        <f t="shared" ca="1" si="1844"/>
        <v>#NAME?</v>
      </c>
      <c r="CA214" s="22" t="e">
        <f t="shared" ca="1" si="1844"/>
        <v>#NAME?</v>
      </c>
      <c r="CB214" s="22" t="e">
        <f t="shared" ca="1" si="1844"/>
        <v>#NAME?</v>
      </c>
      <c r="CC214" s="22" t="e">
        <f t="shared" ca="1" si="1844"/>
        <v>#NAME?</v>
      </c>
      <c r="CD214" s="22" t="e">
        <f t="shared" ca="1" si="1844"/>
        <v>#NAME?</v>
      </c>
      <c r="CE214" s="22" t="e">
        <f t="shared" ref="CE214:CF214" ca="1" si="1845">CE215+CE216</f>
        <v>#NAME?</v>
      </c>
      <c r="CF214" s="22" t="e">
        <f t="shared" ca="1" si="1845"/>
        <v>#NAME?</v>
      </c>
      <c r="CG214" s="22" t="e">
        <f t="shared" ref="CG214:CH214" ca="1" si="1846">CG215+CG216</f>
        <v>#NAME?</v>
      </c>
      <c r="CH214" s="22" t="e">
        <f t="shared" ca="1" si="1846"/>
        <v>#NAME?</v>
      </c>
      <c r="CI214" s="22" t="e">
        <f t="shared" ref="CI214:CJ214" ca="1" si="1847">CI215+CI216</f>
        <v>#NAME?</v>
      </c>
      <c r="CJ214" s="22" t="e">
        <f t="shared" ca="1" si="1847"/>
        <v>#NAME?</v>
      </c>
      <c r="CK214" s="22" t="e">
        <f t="shared" ref="CK214:DB214" ca="1" si="1848">CK215+CK216</f>
        <v>#NAME?</v>
      </c>
      <c r="CL214" s="22" t="e">
        <f t="shared" ca="1" si="1848"/>
        <v>#NAME?</v>
      </c>
      <c r="CM214" s="21" t="e">
        <f t="shared" ca="1" si="1848"/>
        <v>#NAME?</v>
      </c>
      <c r="CN214" s="21" t="e">
        <f t="shared" ca="1" si="1848"/>
        <v>#NAME?</v>
      </c>
      <c r="CO214" s="21" t="e">
        <f t="shared" ca="1" si="1848"/>
        <v>#NAME?</v>
      </c>
      <c r="CP214" s="21" t="e">
        <f t="shared" ca="1" si="1848"/>
        <v>#NAME?</v>
      </c>
      <c r="CQ214" s="21" t="e">
        <f t="shared" ca="1" si="1848"/>
        <v>#NAME?</v>
      </c>
      <c r="CR214" s="21" t="e">
        <f t="shared" ca="1" si="1848"/>
        <v>#NAME?</v>
      </c>
      <c r="CS214" s="21" t="e">
        <f t="shared" ca="1" si="1848"/>
        <v>#NAME?</v>
      </c>
      <c r="CT214" s="21" t="e">
        <f t="shared" ca="1" si="1848"/>
        <v>#NAME?</v>
      </c>
      <c r="CU214" s="21" t="e">
        <f t="shared" ca="1" si="1848"/>
        <v>#NAME?</v>
      </c>
      <c r="CV214" s="21" t="e">
        <f t="shared" ca="1" si="1848"/>
        <v>#NAME?</v>
      </c>
      <c r="CW214" s="21" t="e">
        <f t="shared" ca="1" si="1848"/>
        <v>#NAME?</v>
      </c>
      <c r="CX214" s="21" t="e">
        <f t="shared" ca="1" si="1848"/>
        <v>#NAME?</v>
      </c>
      <c r="CY214" s="21" t="e">
        <f t="shared" ca="1" si="1848"/>
        <v>#NAME?</v>
      </c>
      <c r="CZ214" s="21" t="e">
        <f t="shared" ca="1" si="1848"/>
        <v>#NAME?</v>
      </c>
      <c r="DA214" s="21" t="e">
        <f t="shared" ca="1" si="1848"/>
        <v>#NAME?</v>
      </c>
      <c r="DB214" s="21" t="e">
        <f t="shared" ca="1" si="1848"/>
        <v>#NAME?</v>
      </c>
      <c r="DE214" s="126"/>
      <c r="DF214" s="22">
        <v>-17219.599999999999</v>
      </c>
    </row>
    <row r="215" spans="1:110" s="23" customFormat="1" x14ac:dyDescent="0.2">
      <c r="A215" s="23" t="s">
        <v>93</v>
      </c>
      <c r="C215" s="23" t="e">
        <f t="shared" ref="C215:AA215" ca="1" si="1849">B153-C153</f>
        <v>#NAME?</v>
      </c>
      <c r="D215" s="23" t="e">
        <f t="shared" ca="1" si="1849"/>
        <v>#NAME?</v>
      </c>
      <c r="E215" s="23" t="e">
        <f ca="1">D153-E153</f>
        <v>#NAME?</v>
      </c>
      <c r="F215" s="23" t="e">
        <f t="shared" ca="1" si="1849"/>
        <v>#NAME?</v>
      </c>
      <c r="G215" s="23" t="e">
        <f t="shared" ca="1" si="1849"/>
        <v>#NAME?</v>
      </c>
      <c r="H215" s="23" t="e">
        <f t="shared" ca="1" si="1849"/>
        <v>#NAME?</v>
      </c>
      <c r="I215" s="23" t="e">
        <f t="shared" ca="1" si="1849"/>
        <v>#NAME?</v>
      </c>
      <c r="J215" s="23" t="e">
        <f ca="1">I153-J153</f>
        <v>#NAME?</v>
      </c>
      <c r="K215" s="23" t="e">
        <f ca="1">J153-K153</f>
        <v>#NAME?</v>
      </c>
      <c r="L215" s="23" t="e">
        <f t="shared" ca="1" si="1849"/>
        <v>#NAME?</v>
      </c>
      <c r="M215" s="23" t="e">
        <f t="shared" ca="1" si="1849"/>
        <v>#NAME?</v>
      </c>
      <c r="N215" s="23" t="e">
        <f t="shared" ca="1" si="1849"/>
        <v>#NAME?</v>
      </c>
      <c r="O215" s="23" t="e">
        <f t="shared" ca="1" si="1849"/>
        <v>#NAME?</v>
      </c>
      <c r="P215" s="23" t="e">
        <f t="shared" ca="1" si="1849"/>
        <v>#NAME?</v>
      </c>
      <c r="Q215" s="23" t="e">
        <f t="shared" ca="1" si="1849"/>
        <v>#NAME?</v>
      </c>
      <c r="R215" s="23" t="e">
        <f t="shared" ca="1" si="1849"/>
        <v>#NAME?</v>
      </c>
      <c r="S215" s="23" t="e">
        <f t="shared" ca="1" si="1849"/>
        <v>#NAME?</v>
      </c>
      <c r="T215" s="23" t="e">
        <f t="shared" ca="1" si="1849"/>
        <v>#NAME?</v>
      </c>
      <c r="U215" s="23" t="e">
        <f t="shared" ca="1" si="1849"/>
        <v>#NAME?</v>
      </c>
      <c r="V215" s="23" t="e">
        <f t="shared" ca="1" si="1849"/>
        <v>#NAME?</v>
      </c>
      <c r="W215" s="23" t="e">
        <f t="shared" ca="1" si="1849"/>
        <v>#NAME?</v>
      </c>
      <c r="X215" s="23" t="e">
        <f t="shared" ca="1" si="1849"/>
        <v>#NAME?</v>
      </c>
      <c r="Y215" s="23" t="e">
        <f t="shared" ca="1" si="1849"/>
        <v>#NAME?</v>
      </c>
      <c r="Z215" s="23" t="e">
        <f t="shared" ca="1" si="1849"/>
        <v>#NAME?</v>
      </c>
      <c r="AA215" s="23" t="e">
        <f t="shared" ca="1" si="1849"/>
        <v>#NAME?</v>
      </c>
      <c r="AB215" s="24" t="e">
        <f t="shared" ref="AB215" ca="1" si="1850">AA153-AB153</f>
        <v>#NAME?</v>
      </c>
      <c r="AC215" s="24" t="e">
        <f t="shared" ref="AC215" ca="1" si="1851">AB153-AC153</f>
        <v>#NAME?</v>
      </c>
      <c r="AD215" s="24" t="e">
        <f t="shared" ref="AD215" ca="1" si="1852">AC153-AD153</f>
        <v>#NAME?</v>
      </c>
      <c r="AE215" s="24" t="e">
        <f t="shared" ref="AE215" ca="1" si="1853">AD153-AE153</f>
        <v>#NAME?</v>
      </c>
      <c r="AI215" s="23">
        <f t="shared" ref="AI215" si="1854">AH153-AI153</f>
        <v>0</v>
      </c>
      <c r="AJ215" s="23" t="e">
        <f t="shared" ref="AJ215" ca="1" si="1855">AI153-AJ153</f>
        <v>#NAME?</v>
      </c>
      <c r="AK215" s="23" t="e">
        <f t="shared" ref="AK215" ca="1" si="1856">AJ153-AK153</f>
        <v>#NAME?</v>
      </c>
      <c r="AL215" s="23" t="e">
        <f t="shared" ref="AL215" ca="1" si="1857">AK153-AL153</f>
        <v>#NAME?</v>
      </c>
      <c r="AM215" s="23" t="e">
        <f t="shared" ref="AM215" ca="1" si="1858">AL153-AM153</f>
        <v>#NAME?</v>
      </c>
      <c r="AN215" s="23" t="e">
        <f t="shared" ref="AN215" ca="1" si="1859">AM153-AN153</f>
        <v>#NAME?</v>
      </c>
      <c r="AO215" s="23" t="e">
        <f t="shared" ref="AO215" ca="1" si="1860">AN153-AO153</f>
        <v>#NAME?</v>
      </c>
      <c r="AP215" s="23" t="e">
        <f t="shared" ref="AP215" ca="1" si="1861">AO153-AP153</f>
        <v>#NAME?</v>
      </c>
      <c r="AQ215" s="23" t="e">
        <f t="shared" ref="AQ215" ca="1" si="1862">AP153-AQ153</f>
        <v>#NAME?</v>
      </c>
      <c r="AR215" s="23" t="e">
        <f t="shared" ref="AR215" ca="1" si="1863">AQ153-AR153</f>
        <v>#NAME?</v>
      </c>
      <c r="AS215" s="23" t="e">
        <f t="shared" ref="AS215" ca="1" si="1864">AR153-AS153</f>
        <v>#NAME?</v>
      </c>
      <c r="AT215" s="23" t="e">
        <f t="shared" ref="AT215" ca="1" si="1865">AS153-AT153</f>
        <v>#NAME?</v>
      </c>
      <c r="AU215" s="23" t="e">
        <f t="shared" ref="AU215" ca="1" si="1866">AT153-AU153</f>
        <v>#NAME?</v>
      </c>
      <c r="AV215" s="23" t="e">
        <f t="shared" ref="AV215" ca="1" si="1867">AU153-AV153</f>
        <v>#NAME?</v>
      </c>
      <c r="AW215" s="23" t="e">
        <f t="shared" ref="AW215" ca="1" si="1868">AV153-AW153</f>
        <v>#NAME?</v>
      </c>
      <c r="AX215" s="23" t="e">
        <f t="shared" ref="AX215" ca="1" si="1869">AW153-AX153</f>
        <v>#NAME?</v>
      </c>
      <c r="AY215" s="23" t="e">
        <f t="shared" ref="AY215" ca="1" si="1870">AX153-AY153</f>
        <v>#NAME?</v>
      </c>
      <c r="AZ215" s="23" t="e">
        <f t="shared" ref="AZ215" ca="1" si="1871">AY153-AZ153</f>
        <v>#NAME?</v>
      </c>
      <c r="BA215" s="23" t="e">
        <f t="shared" ref="BA215" ca="1" si="1872">AZ153-BA153</f>
        <v>#NAME?</v>
      </c>
      <c r="BB215" s="23" t="e">
        <f t="shared" ref="BB215" ca="1" si="1873">BA153-BB153</f>
        <v>#NAME?</v>
      </c>
      <c r="BC215" s="23" t="e">
        <f t="shared" ref="BC215" ca="1" si="1874">BB153-BC153</f>
        <v>#NAME?</v>
      </c>
      <c r="BD215" s="23" t="e">
        <f t="shared" ref="BD215" ca="1" si="1875">BC153-BD153</f>
        <v>#NAME?</v>
      </c>
      <c r="BE215" s="23" t="e">
        <f t="shared" ref="BE215" ca="1" si="1876">BD153-BE153</f>
        <v>#NAME?</v>
      </c>
      <c r="BF215" s="23" t="e">
        <f t="shared" ref="BF215" ca="1" si="1877">BE153-BF153</f>
        <v>#NAME?</v>
      </c>
      <c r="BG215" s="23" t="e">
        <f t="shared" ref="BG215" ca="1" si="1878">BF153-BG153</f>
        <v>#NAME?</v>
      </c>
      <c r="BH215" s="23" t="e">
        <f t="shared" ref="BH215" ca="1" si="1879">BG153-BH153</f>
        <v>#NAME?</v>
      </c>
      <c r="BI215" s="23" t="e">
        <f t="shared" ref="BI215" ca="1" si="1880">BH153-BI153</f>
        <v>#NAME?</v>
      </c>
      <c r="BJ215" s="23" t="e">
        <f t="shared" ref="BJ215" ca="1" si="1881">BI153-BJ153</f>
        <v>#NAME?</v>
      </c>
      <c r="BK215" s="23" t="e">
        <f t="shared" ref="BK215" ca="1" si="1882">BJ153-BK153</f>
        <v>#NAME?</v>
      </c>
      <c r="BL215" s="23" t="e">
        <f t="shared" ref="BL215" ca="1" si="1883">BK153-BL153</f>
        <v>#NAME?</v>
      </c>
      <c r="BM215" s="23" t="e">
        <f t="shared" ref="BM215" ca="1" si="1884">BL153-BM153</f>
        <v>#NAME?</v>
      </c>
      <c r="BN215" s="23" t="e">
        <f t="shared" ref="BN215" ca="1" si="1885">BM153-BN153</f>
        <v>#NAME?</v>
      </c>
      <c r="BO215" s="23" t="e">
        <f t="shared" ref="BO215" ca="1" si="1886">BN153-BO153</f>
        <v>#NAME?</v>
      </c>
      <c r="BP215" s="23" t="e">
        <f t="shared" ref="BP215" ca="1" si="1887">BO153-BP153</f>
        <v>#NAME?</v>
      </c>
      <c r="BQ215" s="23" t="e">
        <f t="shared" ref="BQ215" ca="1" si="1888">BP153-BQ153</f>
        <v>#NAME?</v>
      </c>
      <c r="BR215" s="23" t="e">
        <f t="shared" ref="BR215" ca="1" si="1889">BQ153-BR153</f>
        <v>#NAME?</v>
      </c>
      <c r="BS215" s="23" t="e">
        <f t="shared" ref="BS215" ca="1" si="1890">BR153-BS153</f>
        <v>#NAME?</v>
      </c>
      <c r="BT215" s="23" t="e">
        <f t="shared" ref="BT215" ca="1" si="1891">BS153-BT153</f>
        <v>#NAME?</v>
      </c>
      <c r="BU215" s="23" t="e">
        <f t="shared" ref="BU215" ca="1" si="1892">BT153-BU153</f>
        <v>#NAME?</v>
      </c>
      <c r="BV215" s="23" t="e">
        <f t="shared" ref="BV215" ca="1" si="1893">BU153-BV153</f>
        <v>#NAME?</v>
      </c>
      <c r="BW215" s="23" t="e">
        <f t="shared" ref="BW215" ca="1" si="1894">BV153-BW153</f>
        <v>#NAME?</v>
      </c>
      <c r="BX215" s="23" t="e">
        <f t="shared" ref="BX215" ca="1" si="1895">BW153-BX153</f>
        <v>#NAME?</v>
      </c>
      <c r="BY215" s="23" t="e">
        <f t="shared" ref="BY215" ca="1" si="1896">BX153-BY153</f>
        <v>#NAME?</v>
      </c>
      <c r="BZ215" s="23" t="e">
        <f t="shared" ref="BZ215" ca="1" si="1897">BY153-BZ153</f>
        <v>#NAME?</v>
      </c>
      <c r="CA215" s="23" t="e">
        <f t="shared" ref="CA215" ca="1" si="1898">BZ153-CA153</f>
        <v>#NAME?</v>
      </c>
      <c r="CB215" s="23" t="e">
        <f t="shared" ref="CB215" ca="1" si="1899">CA153-CB153</f>
        <v>#NAME?</v>
      </c>
      <c r="CC215" s="23" t="e">
        <f t="shared" ref="CC215" ca="1" si="1900">CB153-CC153</f>
        <v>#NAME?</v>
      </c>
      <c r="CD215" s="23" t="e">
        <f t="shared" ref="CD215" ca="1" si="1901">CC153-CD153</f>
        <v>#NAME?</v>
      </c>
      <c r="CE215" s="23" t="e">
        <f t="shared" ref="CE215" ca="1" si="1902">CD153-CE153</f>
        <v>#NAME?</v>
      </c>
      <c r="CF215" s="23" t="e">
        <f t="shared" ref="CF215" ca="1" si="1903">CE153-CF153</f>
        <v>#NAME?</v>
      </c>
      <c r="CG215" s="23" t="e">
        <f t="shared" ref="CG215" ca="1" si="1904">CF153-CG153</f>
        <v>#NAME?</v>
      </c>
      <c r="CH215" s="23" t="e">
        <f t="shared" ref="CH215:CL215" ca="1" si="1905">CG153-CH153</f>
        <v>#NAME?</v>
      </c>
      <c r="CI215" s="23" t="e">
        <f t="shared" ca="1" si="1905"/>
        <v>#NAME?</v>
      </c>
      <c r="CJ215" s="23" t="e">
        <f t="shared" ca="1" si="1905"/>
        <v>#NAME?</v>
      </c>
      <c r="CK215" s="23" t="e">
        <f t="shared" ref="CK215" ca="1" si="1906">CJ153-CK153</f>
        <v>#NAME?</v>
      </c>
      <c r="CL215" s="23" t="e">
        <f t="shared" ca="1" si="1905"/>
        <v>#NAME?</v>
      </c>
      <c r="CM215" s="24" t="e">
        <f t="shared" ref="CM215" ca="1" si="1907">CL153-CM153</f>
        <v>#NAME?</v>
      </c>
      <c r="CN215" s="24" t="e">
        <f t="shared" ref="CN215" ca="1" si="1908">CM153-CN153</f>
        <v>#NAME?</v>
      </c>
      <c r="CO215" s="24" t="e">
        <f t="shared" ref="CO215" ca="1" si="1909">CN153-CO153</f>
        <v>#NAME?</v>
      </c>
      <c r="CP215" s="24" t="e">
        <f t="shared" ref="CP215" ca="1" si="1910">CO153-CP153</f>
        <v>#NAME?</v>
      </c>
      <c r="CQ215" s="24" t="e">
        <f t="shared" ref="CQ215" ca="1" si="1911">CP153-CQ153</f>
        <v>#NAME?</v>
      </c>
      <c r="CR215" s="24" t="e">
        <f t="shared" ref="CR215" ca="1" si="1912">CQ153-CR153</f>
        <v>#NAME?</v>
      </c>
      <c r="CS215" s="24" t="e">
        <f t="shared" ref="CS215" ca="1" si="1913">CR153-CS153</f>
        <v>#NAME?</v>
      </c>
      <c r="CT215" s="24" t="e">
        <f t="shared" ref="CT215" ca="1" si="1914">CS153-CT153</f>
        <v>#NAME?</v>
      </c>
      <c r="CU215" s="24" t="e">
        <f t="shared" ref="CU215" ca="1" si="1915">CT153-CU153</f>
        <v>#NAME?</v>
      </c>
      <c r="CV215" s="24" t="e">
        <f t="shared" ref="CV215" ca="1" si="1916">CU153-CV153</f>
        <v>#NAME?</v>
      </c>
      <c r="CW215" s="24" t="e">
        <f t="shared" ref="CW215" ca="1" si="1917">CV153-CW153</f>
        <v>#NAME?</v>
      </c>
      <c r="CX215" s="24" t="e">
        <f t="shared" ref="CX215" ca="1" si="1918">CW153-CX153</f>
        <v>#NAME?</v>
      </c>
      <c r="CY215" s="24" t="e">
        <f t="shared" ref="CY215" ca="1" si="1919">CX153-CY153</f>
        <v>#NAME?</v>
      </c>
      <c r="CZ215" s="24" t="e">
        <f t="shared" ref="CZ215" ca="1" si="1920">CY153-CZ153</f>
        <v>#NAME?</v>
      </c>
      <c r="DA215" s="24" t="e">
        <f t="shared" ref="DA215" ca="1" si="1921">CZ153-DA153</f>
        <v>#NAME?</v>
      </c>
      <c r="DB215" s="24" t="e">
        <f t="shared" ref="DB215" ca="1" si="1922">DA153-DB153</f>
        <v>#NAME?</v>
      </c>
      <c r="DE215" s="123"/>
      <c r="DF215" s="23">
        <v>-23.820000000000007</v>
      </c>
    </row>
    <row r="216" spans="1:110" s="23" customFormat="1" x14ac:dyDescent="0.2">
      <c r="A216" s="23" t="s">
        <v>94</v>
      </c>
      <c r="C216" s="23" t="e">
        <f t="shared" ref="C216:AE216" ca="1" si="1923">B151-C40-C151</f>
        <v>#NAME?</v>
      </c>
      <c r="D216" s="23" t="e">
        <f t="shared" ca="1" si="1923"/>
        <v>#NAME?</v>
      </c>
      <c r="E216" s="23" t="e">
        <f t="shared" ca="1" si="1923"/>
        <v>#NAME?</v>
      </c>
      <c r="F216" s="23" t="e">
        <f t="shared" ca="1" si="1923"/>
        <v>#NAME?</v>
      </c>
      <c r="G216" s="23" t="e">
        <f t="shared" ca="1" si="1923"/>
        <v>#NAME?</v>
      </c>
      <c r="H216" s="23" t="e">
        <f t="shared" ca="1" si="1923"/>
        <v>#NAME?</v>
      </c>
      <c r="I216" s="23" t="e">
        <f t="shared" ca="1" si="1923"/>
        <v>#NAME?</v>
      </c>
      <c r="J216" s="23" t="e">
        <f t="shared" ca="1" si="1923"/>
        <v>#NAME?</v>
      </c>
      <c r="K216" s="23" t="e">
        <f t="shared" ca="1" si="1923"/>
        <v>#NAME?</v>
      </c>
      <c r="L216" s="23" t="e">
        <f t="shared" ca="1" si="1923"/>
        <v>#NAME?</v>
      </c>
      <c r="M216" s="23" t="e">
        <f t="shared" ca="1" si="1923"/>
        <v>#NAME?</v>
      </c>
      <c r="N216" s="23" t="e">
        <f t="shared" ca="1" si="1923"/>
        <v>#NAME?</v>
      </c>
      <c r="O216" s="23" t="e">
        <f t="shared" ca="1" si="1923"/>
        <v>#NAME?</v>
      </c>
      <c r="P216" s="23" t="e">
        <f t="shared" ca="1" si="1923"/>
        <v>#NAME?</v>
      </c>
      <c r="Q216" s="23" t="e">
        <f t="shared" ca="1" si="1923"/>
        <v>#NAME?</v>
      </c>
      <c r="R216" s="23" t="e">
        <f t="shared" ca="1" si="1923"/>
        <v>#NAME?</v>
      </c>
      <c r="S216" s="23" t="e">
        <f t="shared" ca="1" si="1923"/>
        <v>#NAME?</v>
      </c>
      <c r="T216" s="23" t="e">
        <f t="shared" ca="1" si="1923"/>
        <v>#NAME?</v>
      </c>
      <c r="U216" s="23" t="e">
        <f t="shared" ca="1" si="1923"/>
        <v>#NAME?</v>
      </c>
      <c r="V216" s="23" t="e">
        <f t="shared" ca="1" si="1923"/>
        <v>#NAME?</v>
      </c>
      <c r="W216" s="23" t="e">
        <f t="shared" ca="1" si="1923"/>
        <v>#NAME?</v>
      </c>
      <c r="X216" s="23" t="e">
        <f t="shared" ca="1" si="1923"/>
        <v>#NAME?</v>
      </c>
      <c r="Y216" s="23" t="e">
        <f t="shared" ca="1" si="1923"/>
        <v>#NAME?</v>
      </c>
      <c r="Z216" s="23" t="e">
        <f t="shared" ca="1" si="1923"/>
        <v>#NAME?</v>
      </c>
      <c r="AA216" s="23" t="e">
        <f t="shared" ca="1" si="1923"/>
        <v>#NAME?</v>
      </c>
      <c r="AB216" s="24" t="e">
        <f t="shared" ca="1" si="1923"/>
        <v>#NAME?</v>
      </c>
      <c r="AC216" s="24" t="e">
        <f t="shared" ca="1" si="1923"/>
        <v>#NAME?</v>
      </c>
      <c r="AD216" s="24" t="e">
        <f t="shared" ca="1" si="1923"/>
        <v>#NAME?</v>
      </c>
      <c r="AE216" s="24" t="e">
        <f t="shared" ca="1" si="1923"/>
        <v>#NAME?</v>
      </c>
      <c r="AI216" s="23" t="e">
        <f t="shared" ref="AI216:BN216" ca="1" si="1924">AH151-AI40-AI151</f>
        <v>#NAME?</v>
      </c>
      <c r="AJ216" s="23" t="e">
        <f t="shared" ca="1" si="1924"/>
        <v>#NAME?</v>
      </c>
      <c r="AK216" s="23" t="e">
        <f t="shared" ca="1" si="1924"/>
        <v>#NAME?</v>
      </c>
      <c r="AL216" s="23" t="e">
        <f t="shared" ca="1" si="1924"/>
        <v>#NAME?</v>
      </c>
      <c r="AM216" s="23" t="e">
        <f t="shared" ca="1" si="1924"/>
        <v>#NAME?</v>
      </c>
      <c r="AN216" s="23" t="e">
        <f t="shared" ca="1" si="1924"/>
        <v>#NAME?</v>
      </c>
      <c r="AO216" s="23" t="e">
        <f t="shared" ca="1" si="1924"/>
        <v>#NAME?</v>
      </c>
      <c r="AP216" s="23" t="e">
        <f t="shared" ca="1" si="1924"/>
        <v>#NAME?</v>
      </c>
      <c r="AQ216" s="23" t="e">
        <f t="shared" ca="1" si="1924"/>
        <v>#NAME?</v>
      </c>
      <c r="AR216" s="23" t="e">
        <f t="shared" ca="1" si="1924"/>
        <v>#NAME?</v>
      </c>
      <c r="AS216" s="23" t="e">
        <f t="shared" ca="1" si="1924"/>
        <v>#NAME?</v>
      </c>
      <c r="AT216" s="23" t="e">
        <f t="shared" ca="1" si="1924"/>
        <v>#NAME?</v>
      </c>
      <c r="AU216" s="23" t="e">
        <f t="shared" ca="1" si="1924"/>
        <v>#NAME?</v>
      </c>
      <c r="AV216" s="23" t="e">
        <f t="shared" ca="1" si="1924"/>
        <v>#NAME?</v>
      </c>
      <c r="AW216" s="23" t="e">
        <f t="shared" ca="1" si="1924"/>
        <v>#NAME?</v>
      </c>
      <c r="AX216" s="23" t="e">
        <f t="shared" ca="1" si="1924"/>
        <v>#NAME?</v>
      </c>
      <c r="AY216" s="23" t="e">
        <f t="shared" ca="1" si="1924"/>
        <v>#NAME?</v>
      </c>
      <c r="AZ216" s="23" t="e">
        <f t="shared" ca="1" si="1924"/>
        <v>#NAME?</v>
      </c>
      <c r="BA216" s="23" t="e">
        <f t="shared" ca="1" si="1924"/>
        <v>#NAME?</v>
      </c>
      <c r="BB216" s="23" t="e">
        <f t="shared" ca="1" si="1924"/>
        <v>#NAME?</v>
      </c>
      <c r="BC216" s="23" t="e">
        <f t="shared" ca="1" si="1924"/>
        <v>#NAME?</v>
      </c>
      <c r="BD216" s="23" t="e">
        <f t="shared" ca="1" si="1924"/>
        <v>#NAME?</v>
      </c>
      <c r="BE216" s="23" t="e">
        <f t="shared" ca="1" si="1924"/>
        <v>#NAME?</v>
      </c>
      <c r="BF216" s="23" t="e">
        <f t="shared" ca="1" si="1924"/>
        <v>#NAME?</v>
      </c>
      <c r="BG216" s="23" t="e">
        <f t="shared" ca="1" si="1924"/>
        <v>#NAME?</v>
      </c>
      <c r="BH216" s="23" t="e">
        <f t="shared" ca="1" si="1924"/>
        <v>#NAME?</v>
      </c>
      <c r="BI216" s="23" t="e">
        <f t="shared" ca="1" si="1924"/>
        <v>#NAME?</v>
      </c>
      <c r="BJ216" s="23" t="e">
        <f t="shared" ca="1" si="1924"/>
        <v>#NAME?</v>
      </c>
      <c r="BK216" s="23" t="e">
        <f t="shared" ca="1" si="1924"/>
        <v>#NAME?</v>
      </c>
      <c r="BL216" s="23" t="e">
        <f t="shared" ca="1" si="1924"/>
        <v>#NAME?</v>
      </c>
      <c r="BM216" s="23" t="e">
        <f t="shared" ca="1" si="1924"/>
        <v>#NAME?</v>
      </c>
      <c r="BN216" s="23" t="e">
        <f t="shared" ca="1" si="1924"/>
        <v>#NAME?</v>
      </c>
      <c r="BO216" s="23" t="e">
        <f t="shared" ref="BO216:CT216" ca="1" si="1925">BN151-BO40-BO151</f>
        <v>#NAME?</v>
      </c>
      <c r="BP216" s="23" t="e">
        <f t="shared" ca="1" si="1925"/>
        <v>#NAME?</v>
      </c>
      <c r="BQ216" s="23" t="e">
        <f t="shared" ca="1" si="1925"/>
        <v>#NAME?</v>
      </c>
      <c r="BR216" s="23" t="e">
        <f t="shared" ca="1" si="1925"/>
        <v>#NAME?</v>
      </c>
      <c r="BS216" s="23" t="e">
        <f t="shared" ca="1" si="1925"/>
        <v>#NAME?</v>
      </c>
      <c r="BT216" s="23" t="e">
        <f t="shared" ca="1" si="1925"/>
        <v>#NAME?</v>
      </c>
      <c r="BU216" s="23" t="e">
        <f t="shared" ca="1" si="1925"/>
        <v>#NAME?</v>
      </c>
      <c r="BV216" s="23" t="e">
        <f t="shared" ca="1" si="1925"/>
        <v>#NAME?</v>
      </c>
      <c r="BW216" s="23" t="e">
        <f t="shared" ca="1" si="1925"/>
        <v>#NAME?</v>
      </c>
      <c r="BX216" s="23" t="e">
        <f t="shared" ca="1" si="1925"/>
        <v>#NAME?</v>
      </c>
      <c r="BY216" s="23" t="e">
        <f t="shared" ca="1" si="1925"/>
        <v>#NAME?</v>
      </c>
      <c r="BZ216" s="23" t="e">
        <f t="shared" ca="1" si="1925"/>
        <v>#NAME?</v>
      </c>
      <c r="CA216" s="23" t="e">
        <f t="shared" ca="1" si="1925"/>
        <v>#NAME?</v>
      </c>
      <c r="CB216" s="23" t="e">
        <f t="shared" ca="1" si="1925"/>
        <v>#NAME?</v>
      </c>
      <c r="CC216" s="23" t="e">
        <f t="shared" ca="1" si="1925"/>
        <v>#NAME?</v>
      </c>
      <c r="CD216" s="23" t="e">
        <f t="shared" ca="1" si="1925"/>
        <v>#NAME?</v>
      </c>
      <c r="CE216" s="23" t="e">
        <f t="shared" ca="1" si="1925"/>
        <v>#NAME?</v>
      </c>
      <c r="CF216" s="23" t="e">
        <f t="shared" ca="1" si="1925"/>
        <v>#NAME?</v>
      </c>
      <c r="CG216" s="23" t="e">
        <f t="shared" ca="1" si="1925"/>
        <v>#NAME?</v>
      </c>
      <c r="CH216" s="23" t="e">
        <f t="shared" ca="1" si="1925"/>
        <v>#NAME?</v>
      </c>
      <c r="CI216" s="23" t="e">
        <f t="shared" ca="1" si="1925"/>
        <v>#NAME?</v>
      </c>
      <c r="CJ216" s="23" t="e">
        <f t="shared" ca="1" si="1925"/>
        <v>#NAME?</v>
      </c>
      <c r="CK216" s="23" t="e">
        <f t="shared" ca="1" si="1925"/>
        <v>#NAME?</v>
      </c>
      <c r="CL216" s="23" t="e">
        <f t="shared" ca="1" si="1925"/>
        <v>#NAME?</v>
      </c>
      <c r="CM216" s="24" t="e">
        <f t="shared" ca="1" si="1925"/>
        <v>#NAME?</v>
      </c>
      <c r="CN216" s="24" t="e">
        <f t="shared" ca="1" si="1925"/>
        <v>#NAME?</v>
      </c>
      <c r="CO216" s="24" t="e">
        <f t="shared" ca="1" si="1925"/>
        <v>#NAME?</v>
      </c>
      <c r="CP216" s="24" t="e">
        <f t="shared" ca="1" si="1925"/>
        <v>#NAME?</v>
      </c>
      <c r="CQ216" s="24" t="e">
        <f t="shared" ca="1" si="1925"/>
        <v>#NAME?</v>
      </c>
      <c r="CR216" s="24" t="e">
        <f t="shared" ca="1" si="1925"/>
        <v>#NAME?</v>
      </c>
      <c r="CS216" s="24" t="e">
        <f t="shared" ca="1" si="1925"/>
        <v>#NAME?</v>
      </c>
      <c r="CT216" s="24" t="e">
        <f t="shared" ca="1" si="1925"/>
        <v>#NAME?</v>
      </c>
      <c r="CU216" s="24" t="e">
        <f t="shared" ref="CU216:DB216" ca="1" si="1926">CT151-CU40-CU151</f>
        <v>#NAME?</v>
      </c>
      <c r="CV216" s="24" t="e">
        <f t="shared" ca="1" si="1926"/>
        <v>#NAME?</v>
      </c>
      <c r="CW216" s="24" t="e">
        <f t="shared" ca="1" si="1926"/>
        <v>#NAME?</v>
      </c>
      <c r="CX216" s="24" t="e">
        <f t="shared" ca="1" si="1926"/>
        <v>#NAME?</v>
      </c>
      <c r="CY216" s="24" t="e">
        <f t="shared" ca="1" si="1926"/>
        <v>#NAME?</v>
      </c>
      <c r="CZ216" s="24" t="e">
        <f t="shared" ca="1" si="1926"/>
        <v>#NAME?</v>
      </c>
      <c r="DA216" s="24" t="e">
        <f t="shared" ca="1" si="1926"/>
        <v>#NAME?</v>
      </c>
      <c r="DB216" s="24" t="e">
        <f t="shared" ca="1" si="1926"/>
        <v>#NAME?</v>
      </c>
      <c r="DE216" s="123"/>
      <c r="DF216" s="23">
        <v>-17195.78</v>
      </c>
    </row>
    <row r="217" spans="1:110" s="23" customFormat="1" x14ac:dyDescent="0.2">
      <c r="AB217" s="24"/>
      <c r="AC217" s="24"/>
      <c r="AD217" s="24"/>
      <c r="AE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E217" s="123"/>
    </row>
    <row r="218" spans="1:110" s="22" customFormat="1" x14ac:dyDescent="0.2">
      <c r="A218" s="22" t="s">
        <v>95</v>
      </c>
      <c r="C218" s="22" t="e">
        <f t="shared" ref="C218:W218" ca="1" si="1927">C219+C220</f>
        <v>#NAME?</v>
      </c>
      <c r="D218" s="22" t="e">
        <f t="shared" ca="1" si="1927"/>
        <v>#NAME?</v>
      </c>
      <c r="E218" s="22" t="e">
        <f t="shared" ca="1" si="1927"/>
        <v>#NAME?</v>
      </c>
      <c r="F218" s="22" t="e">
        <f t="shared" ca="1" si="1927"/>
        <v>#NAME?</v>
      </c>
      <c r="G218" s="22" t="e">
        <f t="shared" ca="1" si="1927"/>
        <v>#NAME?</v>
      </c>
      <c r="H218" s="22" t="e">
        <f t="shared" ca="1" si="1927"/>
        <v>#NAME?</v>
      </c>
      <c r="I218" s="22" t="e">
        <f t="shared" ca="1" si="1927"/>
        <v>#NAME?</v>
      </c>
      <c r="J218" s="22" t="e">
        <f t="shared" ca="1" si="1927"/>
        <v>#NAME?</v>
      </c>
      <c r="K218" s="22" t="e">
        <f t="shared" ca="1" si="1927"/>
        <v>#NAME?</v>
      </c>
      <c r="L218" s="22" t="e">
        <f t="shared" ca="1" si="1927"/>
        <v>#NAME?</v>
      </c>
      <c r="M218" s="22" t="e">
        <f t="shared" ca="1" si="1927"/>
        <v>#NAME?</v>
      </c>
      <c r="N218" s="22" t="e">
        <f t="shared" ca="1" si="1927"/>
        <v>#NAME?</v>
      </c>
      <c r="O218" s="22" t="e">
        <f t="shared" ca="1" si="1927"/>
        <v>#NAME?</v>
      </c>
      <c r="P218" s="22" t="e">
        <f t="shared" ca="1" si="1927"/>
        <v>#NAME?</v>
      </c>
      <c r="Q218" s="22" t="e">
        <f t="shared" ca="1" si="1927"/>
        <v>#NAME?</v>
      </c>
      <c r="R218" s="22" t="e">
        <f t="shared" ca="1" si="1927"/>
        <v>#NAME?</v>
      </c>
      <c r="S218" s="22" t="e">
        <f t="shared" ca="1" si="1927"/>
        <v>#NAME?</v>
      </c>
      <c r="T218" s="22" t="e">
        <f t="shared" ca="1" si="1927"/>
        <v>#NAME?</v>
      </c>
      <c r="U218" s="22" t="e">
        <f t="shared" ca="1" si="1927"/>
        <v>#NAME?</v>
      </c>
      <c r="V218" s="22" t="e">
        <f t="shared" ca="1" si="1927"/>
        <v>#NAME?</v>
      </c>
      <c r="W218" s="22" t="e">
        <f t="shared" ca="1" si="1927"/>
        <v>#NAME?</v>
      </c>
      <c r="X218" s="22" t="e">
        <f t="shared" ref="X218:Y218" ca="1" si="1928">X219+X220</f>
        <v>#NAME?</v>
      </c>
      <c r="Y218" s="22" t="e">
        <f t="shared" ca="1" si="1928"/>
        <v>#NAME?</v>
      </c>
      <c r="Z218" s="22" t="e">
        <f t="shared" ref="Z218:AA218" ca="1" si="1929">Z219+Z220</f>
        <v>#NAME?</v>
      </c>
      <c r="AA218" s="22" t="e">
        <f t="shared" ca="1" si="1929"/>
        <v>#NAME?</v>
      </c>
      <c r="AB218" s="21" t="e">
        <f t="shared" ref="AA218:AD218" ca="1" si="1930">AB219+AB220</f>
        <v>#NAME?</v>
      </c>
      <c r="AC218" s="21" t="e">
        <f t="shared" ca="1" si="1930"/>
        <v>#NAME?</v>
      </c>
      <c r="AD218" s="21" t="e">
        <f t="shared" ca="1" si="1930"/>
        <v>#NAME?</v>
      </c>
      <c r="AE218" s="21" t="e">
        <f t="shared" ref="AE218" ca="1" si="1931">AE219+AE220</f>
        <v>#NAME?</v>
      </c>
      <c r="AI218" s="22" t="e">
        <f t="shared" ref="AI218" ca="1" si="1932">AI219+AI220</f>
        <v>#NAME?</v>
      </c>
      <c r="AJ218" s="22" t="e">
        <f t="shared" ref="AJ218:AL218" ca="1" si="1933">AJ219+AJ220</f>
        <v>#NAME?</v>
      </c>
      <c r="AK218" s="22" t="e">
        <f t="shared" ca="1" si="1933"/>
        <v>#NAME?</v>
      </c>
      <c r="AL218" s="22" t="e">
        <f t="shared" ca="1" si="1933"/>
        <v>#NAME?</v>
      </c>
      <c r="AM218" s="22" t="e">
        <f t="shared" ref="AM218" ca="1" si="1934">AM219+AM220</f>
        <v>#NAME?</v>
      </c>
      <c r="AN218" s="22" t="e">
        <f t="shared" ref="AN218:CD218" ca="1" si="1935">AN219+AN220</f>
        <v>#NAME?</v>
      </c>
      <c r="AO218" s="22" t="e">
        <f t="shared" ca="1" si="1935"/>
        <v>#NAME?</v>
      </c>
      <c r="AP218" s="22" t="e">
        <f t="shared" ca="1" si="1935"/>
        <v>#NAME?</v>
      </c>
      <c r="AQ218" s="22" t="e">
        <f t="shared" ca="1" si="1935"/>
        <v>#NAME?</v>
      </c>
      <c r="AR218" s="22" t="e">
        <f t="shared" ca="1" si="1935"/>
        <v>#NAME?</v>
      </c>
      <c r="AS218" s="22" t="e">
        <f t="shared" ca="1" si="1935"/>
        <v>#NAME?</v>
      </c>
      <c r="AT218" s="22" t="e">
        <f t="shared" ca="1" si="1935"/>
        <v>#NAME?</v>
      </c>
      <c r="AU218" s="22" t="e">
        <f t="shared" ca="1" si="1935"/>
        <v>#NAME?</v>
      </c>
      <c r="AV218" s="22" t="e">
        <f t="shared" ca="1" si="1935"/>
        <v>#NAME?</v>
      </c>
      <c r="AW218" s="22" t="e">
        <f t="shared" ca="1" si="1935"/>
        <v>#NAME?</v>
      </c>
      <c r="AX218" s="22" t="e">
        <f t="shared" ca="1" si="1935"/>
        <v>#NAME?</v>
      </c>
      <c r="AY218" s="22" t="e">
        <f t="shared" ca="1" si="1935"/>
        <v>#NAME?</v>
      </c>
      <c r="AZ218" s="22" t="e">
        <f t="shared" ca="1" si="1935"/>
        <v>#NAME?</v>
      </c>
      <c r="BA218" s="22" t="e">
        <f t="shared" ca="1" si="1935"/>
        <v>#NAME?</v>
      </c>
      <c r="BB218" s="22" t="e">
        <f t="shared" ca="1" si="1935"/>
        <v>#NAME?</v>
      </c>
      <c r="BC218" s="22" t="e">
        <f t="shared" ca="1" si="1935"/>
        <v>#NAME?</v>
      </c>
      <c r="BD218" s="22" t="e">
        <f t="shared" ca="1" si="1935"/>
        <v>#NAME?</v>
      </c>
      <c r="BE218" s="22" t="e">
        <f t="shared" ca="1" si="1935"/>
        <v>#NAME?</v>
      </c>
      <c r="BF218" s="22" t="e">
        <f t="shared" ca="1" si="1935"/>
        <v>#NAME?</v>
      </c>
      <c r="BG218" s="22" t="e">
        <f t="shared" ca="1" si="1935"/>
        <v>#NAME?</v>
      </c>
      <c r="BH218" s="22" t="e">
        <f t="shared" ca="1" si="1935"/>
        <v>#NAME?</v>
      </c>
      <c r="BI218" s="22" t="e">
        <f t="shared" ca="1" si="1935"/>
        <v>#NAME?</v>
      </c>
      <c r="BJ218" s="22" t="e">
        <f t="shared" ca="1" si="1935"/>
        <v>#NAME?</v>
      </c>
      <c r="BK218" s="22" t="e">
        <f t="shared" ca="1" si="1935"/>
        <v>#NAME?</v>
      </c>
      <c r="BL218" s="22" t="e">
        <f t="shared" ca="1" si="1935"/>
        <v>#NAME?</v>
      </c>
      <c r="BM218" s="22" t="e">
        <f t="shared" ca="1" si="1935"/>
        <v>#NAME?</v>
      </c>
      <c r="BN218" s="22" t="e">
        <f t="shared" ca="1" si="1935"/>
        <v>#NAME?</v>
      </c>
      <c r="BO218" s="22" t="e">
        <f t="shared" ca="1" si="1935"/>
        <v>#NAME?</v>
      </c>
      <c r="BP218" s="22" t="e">
        <f t="shared" ca="1" si="1935"/>
        <v>#NAME?</v>
      </c>
      <c r="BQ218" s="22" t="e">
        <f t="shared" ca="1" si="1935"/>
        <v>#NAME?</v>
      </c>
      <c r="BR218" s="22" t="e">
        <f t="shared" ca="1" si="1935"/>
        <v>#NAME?</v>
      </c>
      <c r="BS218" s="22" t="e">
        <f t="shared" ca="1" si="1935"/>
        <v>#NAME?</v>
      </c>
      <c r="BT218" s="22" t="e">
        <f t="shared" ca="1" si="1935"/>
        <v>#NAME?</v>
      </c>
      <c r="BU218" s="22" t="e">
        <f t="shared" ca="1" si="1935"/>
        <v>#NAME?</v>
      </c>
      <c r="BV218" s="22" t="e">
        <f t="shared" ca="1" si="1935"/>
        <v>#NAME?</v>
      </c>
      <c r="BW218" s="22" t="e">
        <f t="shared" ca="1" si="1935"/>
        <v>#NAME?</v>
      </c>
      <c r="BX218" s="22" t="e">
        <f t="shared" ca="1" si="1935"/>
        <v>#NAME?</v>
      </c>
      <c r="BY218" s="22" t="e">
        <f t="shared" ca="1" si="1935"/>
        <v>#NAME?</v>
      </c>
      <c r="BZ218" s="22" t="e">
        <f t="shared" ca="1" si="1935"/>
        <v>#NAME?</v>
      </c>
      <c r="CA218" s="22" t="e">
        <f t="shared" ca="1" si="1935"/>
        <v>#NAME?</v>
      </c>
      <c r="CB218" s="22" t="e">
        <f t="shared" ca="1" si="1935"/>
        <v>#NAME?</v>
      </c>
      <c r="CC218" s="22" t="e">
        <f t="shared" ca="1" si="1935"/>
        <v>#NAME?</v>
      </c>
      <c r="CD218" s="22" t="e">
        <f t="shared" ca="1" si="1935"/>
        <v>#NAME?</v>
      </c>
      <c r="CE218" s="22" t="e">
        <f t="shared" ref="CE218:CF218" ca="1" si="1936">CE219+CE220</f>
        <v>#NAME?</v>
      </c>
      <c r="CF218" s="22" t="e">
        <f t="shared" ca="1" si="1936"/>
        <v>#NAME?</v>
      </c>
      <c r="CG218" s="22" t="e">
        <f t="shared" ref="CG218:CH218" ca="1" si="1937">CG219+CG220</f>
        <v>#NAME?</v>
      </c>
      <c r="CH218" s="22" t="e">
        <f t="shared" ca="1" si="1937"/>
        <v>#NAME?</v>
      </c>
      <c r="CI218" s="22" t="e">
        <f t="shared" ref="CI218:CJ218" ca="1" si="1938">CI219+CI220</f>
        <v>#NAME?</v>
      </c>
      <c r="CJ218" s="22" t="e">
        <f t="shared" ca="1" si="1938"/>
        <v>#NAME?</v>
      </c>
      <c r="CK218" s="22" t="e">
        <f t="shared" ref="CK218:DB218" ca="1" si="1939">CK219+CK220</f>
        <v>#NAME?</v>
      </c>
      <c r="CL218" s="22" t="e">
        <f t="shared" ca="1" si="1939"/>
        <v>#NAME?</v>
      </c>
      <c r="CM218" s="21" t="e">
        <f t="shared" ca="1" si="1939"/>
        <v>#NAME?</v>
      </c>
      <c r="CN218" s="21" t="e">
        <f t="shared" ca="1" si="1939"/>
        <v>#NAME?</v>
      </c>
      <c r="CO218" s="21" t="e">
        <f t="shared" ca="1" si="1939"/>
        <v>#NAME?</v>
      </c>
      <c r="CP218" s="21" t="e">
        <f t="shared" ca="1" si="1939"/>
        <v>#NAME?</v>
      </c>
      <c r="CQ218" s="21" t="e">
        <f t="shared" ca="1" si="1939"/>
        <v>#NAME?</v>
      </c>
      <c r="CR218" s="21" t="e">
        <f t="shared" ca="1" si="1939"/>
        <v>#NAME?</v>
      </c>
      <c r="CS218" s="21" t="e">
        <f t="shared" ca="1" si="1939"/>
        <v>#NAME?</v>
      </c>
      <c r="CT218" s="21" t="e">
        <f t="shared" ca="1" si="1939"/>
        <v>#NAME?</v>
      </c>
      <c r="CU218" s="21" t="e">
        <f t="shared" ca="1" si="1939"/>
        <v>#NAME?</v>
      </c>
      <c r="CV218" s="21" t="e">
        <f t="shared" ca="1" si="1939"/>
        <v>#NAME?</v>
      </c>
      <c r="CW218" s="21" t="e">
        <f t="shared" ca="1" si="1939"/>
        <v>#NAME?</v>
      </c>
      <c r="CX218" s="21" t="e">
        <f t="shared" ca="1" si="1939"/>
        <v>#NAME?</v>
      </c>
      <c r="CY218" s="21" t="e">
        <f t="shared" ca="1" si="1939"/>
        <v>#NAME?</v>
      </c>
      <c r="CZ218" s="21" t="e">
        <f t="shared" ca="1" si="1939"/>
        <v>#NAME?</v>
      </c>
      <c r="DA218" s="21" t="e">
        <f t="shared" ca="1" si="1939"/>
        <v>#NAME?</v>
      </c>
      <c r="DB218" s="21" t="e">
        <f t="shared" ca="1" si="1939"/>
        <v>#NAME?</v>
      </c>
      <c r="DE218" s="126"/>
      <c r="DF218" s="22">
        <v>3473.3399999999974</v>
      </c>
    </row>
    <row r="219" spans="1:110" s="23" customFormat="1" x14ac:dyDescent="0.2">
      <c r="A219" s="23" t="s">
        <v>49</v>
      </c>
      <c r="C219" s="23" t="e">
        <f t="shared" ref="C219:AA219" ca="1" si="1940">C141-B141</f>
        <v>#NAME?</v>
      </c>
      <c r="D219" s="23" t="e">
        <f t="shared" ca="1" si="1940"/>
        <v>#NAME?</v>
      </c>
      <c r="E219" s="23" t="e">
        <f ca="1">E141-D141</f>
        <v>#NAME?</v>
      </c>
      <c r="F219" s="23" t="e">
        <f t="shared" ca="1" si="1940"/>
        <v>#NAME?</v>
      </c>
      <c r="G219" s="23" t="e">
        <f t="shared" ca="1" si="1940"/>
        <v>#NAME?</v>
      </c>
      <c r="H219" s="23" t="e">
        <f t="shared" ca="1" si="1940"/>
        <v>#NAME?</v>
      </c>
      <c r="I219" s="23" t="e">
        <f t="shared" ca="1" si="1940"/>
        <v>#NAME?</v>
      </c>
      <c r="J219" s="23" t="e">
        <f ca="1">J141-I141</f>
        <v>#NAME?</v>
      </c>
      <c r="K219" s="23" t="e">
        <f ca="1">K141-J141</f>
        <v>#NAME?</v>
      </c>
      <c r="L219" s="23" t="e">
        <f t="shared" ca="1" si="1940"/>
        <v>#NAME?</v>
      </c>
      <c r="M219" s="23" t="e">
        <f t="shared" ca="1" si="1940"/>
        <v>#NAME?</v>
      </c>
      <c r="N219" s="23" t="e">
        <f t="shared" ca="1" si="1940"/>
        <v>#NAME?</v>
      </c>
      <c r="O219" s="23" t="e">
        <f t="shared" ca="1" si="1940"/>
        <v>#NAME?</v>
      </c>
      <c r="P219" s="23" t="e">
        <f t="shared" ca="1" si="1940"/>
        <v>#NAME?</v>
      </c>
      <c r="Q219" s="23" t="e">
        <f t="shared" ca="1" si="1940"/>
        <v>#NAME?</v>
      </c>
      <c r="R219" s="23" t="e">
        <f t="shared" ca="1" si="1940"/>
        <v>#NAME?</v>
      </c>
      <c r="S219" s="23" t="e">
        <f t="shared" ca="1" si="1940"/>
        <v>#NAME?</v>
      </c>
      <c r="T219" s="23" t="e">
        <f t="shared" ca="1" si="1940"/>
        <v>#NAME?</v>
      </c>
      <c r="U219" s="23" t="e">
        <f t="shared" ca="1" si="1940"/>
        <v>#NAME?</v>
      </c>
      <c r="V219" s="23" t="e">
        <f t="shared" ca="1" si="1940"/>
        <v>#NAME?</v>
      </c>
      <c r="W219" s="23" t="e">
        <f t="shared" ca="1" si="1940"/>
        <v>#NAME?</v>
      </c>
      <c r="X219" s="23" t="e">
        <f t="shared" ca="1" si="1940"/>
        <v>#NAME?</v>
      </c>
      <c r="Y219" s="23" t="e">
        <f t="shared" ca="1" si="1940"/>
        <v>#NAME?</v>
      </c>
      <c r="Z219" s="23" t="e">
        <f t="shared" ca="1" si="1940"/>
        <v>#NAME?</v>
      </c>
      <c r="AA219" s="23" t="e">
        <f t="shared" ca="1" si="1940"/>
        <v>#NAME?</v>
      </c>
      <c r="AB219" s="24" t="e">
        <f t="shared" ref="AB219" ca="1" si="1941">AB141-AA141</f>
        <v>#NAME?</v>
      </c>
      <c r="AC219" s="24" t="e">
        <f t="shared" ref="AC219" ca="1" si="1942">AC141-AB141</f>
        <v>#NAME?</v>
      </c>
      <c r="AD219" s="24" t="e">
        <f t="shared" ref="AD219" ca="1" si="1943">AD141-AC141</f>
        <v>#NAME?</v>
      </c>
      <c r="AE219" s="24" t="e">
        <f t="shared" ref="AE219" ca="1" si="1944">AE141-AD141</f>
        <v>#NAME?</v>
      </c>
      <c r="AI219" s="23">
        <f t="shared" ref="AI219" si="1945">AI141-AH141</f>
        <v>0</v>
      </c>
      <c r="AJ219" s="23" t="e">
        <f t="shared" ref="AJ219" ca="1" si="1946">AJ141-AI141</f>
        <v>#NAME?</v>
      </c>
      <c r="AK219" s="23" t="e">
        <f t="shared" ref="AK219" ca="1" si="1947">AK141-AJ141</f>
        <v>#NAME?</v>
      </c>
      <c r="AL219" s="23" t="e">
        <f t="shared" ref="AL219" ca="1" si="1948">AL141-AK141</f>
        <v>#NAME?</v>
      </c>
      <c r="AM219" s="23" t="e">
        <f t="shared" ref="AM219" ca="1" si="1949">AM141-AL141</f>
        <v>#NAME?</v>
      </c>
      <c r="AN219" s="23" t="e">
        <f t="shared" ref="AN219" ca="1" si="1950">AN141-AM141</f>
        <v>#NAME?</v>
      </c>
      <c r="AO219" s="23" t="e">
        <f t="shared" ref="AO219" ca="1" si="1951">AO141-AN141</f>
        <v>#NAME?</v>
      </c>
      <c r="AP219" s="23" t="e">
        <f t="shared" ref="AP219" ca="1" si="1952">AP141-AO141</f>
        <v>#NAME?</v>
      </c>
      <c r="AQ219" s="23" t="e">
        <f t="shared" ref="AQ219" ca="1" si="1953">AQ141-AP141</f>
        <v>#NAME?</v>
      </c>
      <c r="AR219" s="23" t="e">
        <f t="shared" ref="AR219" ca="1" si="1954">AR141-AQ141</f>
        <v>#NAME?</v>
      </c>
      <c r="AS219" s="23" t="e">
        <f t="shared" ref="AS219" ca="1" si="1955">AS141-AR141</f>
        <v>#NAME?</v>
      </c>
      <c r="AT219" s="23" t="e">
        <f t="shared" ref="AT219" ca="1" si="1956">AT141-AS141</f>
        <v>#NAME?</v>
      </c>
      <c r="AU219" s="23" t="e">
        <f t="shared" ref="AU219" ca="1" si="1957">AU141-AT141</f>
        <v>#NAME?</v>
      </c>
      <c r="AV219" s="23" t="e">
        <f t="shared" ref="AV219" ca="1" si="1958">AV141-AU141</f>
        <v>#NAME?</v>
      </c>
      <c r="AW219" s="23" t="e">
        <f t="shared" ref="AW219" ca="1" si="1959">AW141-AV141</f>
        <v>#NAME?</v>
      </c>
      <c r="AX219" s="23" t="e">
        <f t="shared" ref="AX219" ca="1" si="1960">AX141-AW141</f>
        <v>#NAME?</v>
      </c>
      <c r="AY219" s="23" t="e">
        <f t="shared" ref="AY219" ca="1" si="1961">AY141-AX141</f>
        <v>#NAME?</v>
      </c>
      <c r="AZ219" s="23" t="e">
        <f t="shared" ref="AZ219" ca="1" si="1962">AZ141-AY141</f>
        <v>#NAME?</v>
      </c>
      <c r="BA219" s="23" t="e">
        <f t="shared" ref="BA219" ca="1" si="1963">BA141-AZ141</f>
        <v>#NAME?</v>
      </c>
      <c r="BB219" s="23" t="e">
        <f t="shared" ref="BB219" ca="1" si="1964">BB141-BA141</f>
        <v>#NAME?</v>
      </c>
      <c r="BC219" s="23" t="e">
        <f t="shared" ref="BC219" ca="1" si="1965">BC141-BB141</f>
        <v>#NAME?</v>
      </c>
      <c r="BD219" s="23" t="e">
        <f t="shared" ref="BD219" ca="1" si="1966">BD141-BC141</f>
        <v>#NAME?</v>
      </c>
      <c r="BE219" s="23" t="e">
        <f t="shared" ref="BE219" ca="1" si="1967">BE141-BD141</f>
        <v>#NAME?</v>
      </c>
      <c r="BF219" s="23" t="e">
        <f t="shared" ref="BF219" ca="1" si="1968">BF141-BE141</f>
        <v>#NAME?</v>
      </c>
      <c r="BG219" s="23" t="e">
        <f t="shared" ref="BG219" ca="1" si="1969">BG141-BF141</f>
        <v>#NAME?</v>
      </c>
      <c r="BH219" s="23" t="e">
        <f t="shared" ref="BH219" ca="1" si="1970">BH141-BG141</f>
        <v>#NAME?</v>
      </c>
      <c r="BI219" s="23" t="e">
        <f t="shared" ref="BI219" ca="1" si="1971">BI141-BH141</f>
        <v>#NAME?</v>
      </c>
      <c r="BJ219" s="23" t="e">
        <f t="shared" ref="BJ219" ca="1" si="1972">BJ141-BI141</f>
        <v>#NAME?</v>
      </c>
      <c r="BK219" s="23" t="e">
        <f t="shared" ref="BK219" ca="1" si="1973">BK141-BJ141</f>
        <v>#NAME?</v>
      </c>
      <c r="BL219" s="23" t="e">
        <f t="shared" ref="BL219" ca="1" si="1974">BL141-BK141</f>
        <v>#NAME?</v>
      </c>
      <c r="BM219" s="23" t="e">
        <f t="shared" ref="BM219" ca="1" si="1975">BM141-BL141</f>
        <v>#NAME?</v>
      </c>
      <c r="BN219" s="23" t="e">
        <f t="shared" ref="BN219" ca="1" si="1976">BN141-BM141</f>
        <v>#NAME?</v>
      </c>
      <c r="BO219" s="23" t="e">
        <f t="shared" ref="BO219" ca="1" si="1977">BO141-BN141</f>
        <v>#NAME?</v>
      </c>
      <c r="BP219" s="23" t="e">
        <f t="shared" ref="BP219" ca="1" si="1978">BP141-BO141</f>
        <v>#NAME?</v>
      </c>
      <c r="BQ219" s="23" t="e">
        <f t="shared" ref="BQ219" ca="1" si="1979">BQ141-BP141</f>
        <v>#NAME?</v>
      </c>
      <c r="BR219" s="23" t="e">
        <f t="shared" ref="BR219" ca="1" si="1980">BR141-BQ141</f>
        <v>#NAME?</v>
      </c>
      <c r="BS219" s="23" t="e">
        <f t="shared" ref="BS219" ca="1" si="1981">BS141-BR141</f>
        <v>#NAME?</v>
      </c>
      <c r="BT219" s="23" t="e">
        <f t="shared" ref="BT219" ca="1" si="1982">BT141-BS141</f>
        <v>#NAME?</v>
      </c>
      <c r="BU219" s="23" t="e">
        <f t="shared" ref="BU219" ca="1" si="1983">BU141-BT141</f>
        <v>#NAME?</v>
      </c>
      <c r="BV219" s="23" t="e">
        <f t="shared" ref="BV219" ca="1" si="1984">BV141-BU141</f>
        <v>#NAME?</v>
      </c>
      <c r="BW219" s="23" t="e">
        <f t="shared" ref="BW219" ca="1" si="1985">BW141-BV141</f>
        <v>#NAME?</v>
      </c>
      <c r="BX219" s="23" t="e">
        <f t="shared" ref="BX219" ca="1" si="1986">BX141-BW141</f>
        <v>#NAME?</v>
      </c>
      <c r="BY219" s="23" t="e">
        <f t="shared" ref="BY219" ca="1" si="1987">BY141-BX141</f>
        <v>#NAME?</v>
      </c>
      <c r="BZ219" s="23" t="e">
        <f t="shared" ref="BZ219" ca="1" si="1988">BZ141-BY141</f>
        <v>#NAME?</v>
      </c>
      <c r="CA219" s="23" t="e">
        <f t="shared" ref="CA219" ca="1" si="1989">CA141-BZ141</f>
        <v>#NAME?</v>
      </c>
      <c r="CB219" s="23" t="e">
        <f t="shared" ref="CB219" ca="1" si="1990">CB141-CA141</f>
        <v>#NAME?</v>
      </c>
      <c r="CC219" s="23" t="e">
        <f t="shared" ref="CC219" ca="1" si="1991">CC141-CB141</f>
        <v>#NAME?</v>
      </c>
      <c r="CD219" s="23" t="e">
        <f t="shared" ref="CD219" ca="1" si="1992">CD141-CC141</f>
        <v>#NAME?</v>
      </c>
      <c r="CE219" s="23" t="e">
        <f t="shared" ref="CE219" ca="1" si="1993">CE141-CD141</f>
        <v>#NAME?</v>
      </c>
      <c r="CF219" s="23" t="e">
        <f t="shared" ref="CF219" ca="1" si="1994">CF141-CE141</f>
        <v>#NAME?</v>
      </c>
      <c r="CG219" s="23" t="e">
        <f t="shared" ref="CG219" ca="1" si="1995">CG141-CF141</f>
        <v>#NAME?</v>
      </c>
      <c r="CH219" s="23" t="e">
        <f t="shared" ref="CH219:CL219" ca="1" si="1996">CH141-CG141</f>
        <v>#NAME?</v>
      </c>
      <c r="CI219" s="23" t="e">
        <f t="shared" ca="1" si="1996"/>
        <v>#NAME?</v>
      </c>
      <c r="CJ219" s="23" t="e">
        <f t="shared" ca="1" si="1996"/>
        <v>#NAME?</v>
      </c>
      <c r="CK219" s="23" t="e">
        <f t="shared" ref="CK219" ca="1" si="1997">CK141-CJ141</f>
        <v>#NAME?</v>
      </c>
      <c r="CL219" s="23" t="e">
        <f t="shared" ca="1" si="1996"/>
        <v>#NAME?</v>
      </c>
      <c r="CM219" s="24" t="e">
        <f t="shared" ref="CM219" ca="1" si="1998">CM141-CL141</f>
        <v>#NAME?</v>
      </c>
      <c r="CN219" s="24" t="e">
        <f t="shared" ref="CN219" ca="1" si="1999">CN141-CM141</f>
        <v>#NAME?</v>
      </c>
      <c r="CO219" s="24" t="e">
        <f t="shared" ref="CO219" ca="1" si="2000">CO141-CN141</f>
        <v>#NAME?</v>
      </c>
      <c r="CP219" s="24" t="e">
        <f t="shared" ref="CP219" ca="1" si="2001">CP141-CO141</f>
        <v>#NAME?</v>
      </c>
      <c r="CQ219" s="24" t="e">
        <f t="shared" ref="CQ219" ca="1" si="2002">CQ141-CP141</f>
        <v>#NAME?</v>
      </c>
      <c r="CR219" s="24" t="e">
        <f t="shared" ref="CR219" ca="1" si="2003">CR141-CQ141</f>
        <v>#NAME?</v>
      </c>
      <c r="CS219" s="24" t="e">
        <f t="shared" ref="CS219" ca="1" si="2004">CS141-CR141</f>
        <v>#NAME?</v>
      </c>
      <c r="CT219" s="24" t="e">
        <f t="shared" ref="CT219" ca="1" si="2005">CT141-CS141</f>
        <v>#NAME?</v>
      </c>
      <c r="CU219" s="24" t="e">
        <f t="shared" ref="CU219" ca="1" si="2006">CU141-CT141</f>
        <v>#NAME?</v>
      </c>
      <c r="CV219" s="24" t="e">
        <f t="shared" ref="CV219" ca="1" si="2007">CV141-CU141</f>
        <v>#NAME?</v>
      </c>
      <c r="CW219" s="24" t="e">
        <f t="shared" ref="CW219" ca="1" si="2008">CW141-CV141</f>
        <v>#NAME?</v>
      </c>
      <c r="CX219" s="24" t="e">
        <f t="shared" ref="CX219" ca="1" si="2009">CX141-CW141</f>
        <v>#NAME?</v>
      </c>
      <c r="CY219" s="24" t="e">
        <f t="shared" ref="CY219" ca="1" si="2010">CY141-CX141</f>
        <v>#NAME?</v>
      </c>
      <c r="CZ219" s="24" t="e">
        <f t="shared" ref="CZ219" ca="1" si="2011">CZ141-CY141</f>
        <v>#NAME?</v>
      </c>
      <c r="DA219" s="24" t="e">
        <f t="shared" ref="DA219" ca="1" si="2012">DA141-CZ141</f>
        <v>#NAME?</v>
      </c>
      <c r="DB219" s="24" t="e">
        <f t="shared" ref="DB219" ca="1" si="2013">DB141-DA141</f>
        <v>#NAME?</v>
      </c>
      <c r="DE219" s="123"/>
      <c r="DF219" s="23">
        <v>25.96</v>
      </c>
    </row>
    <row r="220" spans="1:110" s="23" customFormat="1" x14ac:dyDescent="0.2">
      <c r="A220" s="23" t="s">
        <v>27</v>
      </c>
      <c r="C220" s="23" t="e">
        <f t="shared" ref="C220:AE220" ca="1" si="2014">C133-C56-B133+C135-B135</f>
        <v>#NAME?</v>
      </c>
      <c r="D220" s="23" t="e">
        <f t="shared" ca="1" si="2014"/>
        <v>#NAME?</v>
      </c>
      <c r="E220" s="23" t="e">
        <f t="shared" ca="1" si="2014"/>
        <v>#NAME?</v>
      </c>
      <c r="F220" s="23" t="e">
        <f t="shared" ca="1" si="2014"/>
        <v>#NAME?</v>
      </c>
      <c r="G220" s="23" t="e">
        <f t="shared" ca="1" si="2014"/>
        <v>#NAME?</v>
      </c>
      <c r="H220" s="23" t="e">
        <f t="shared" ca="1" si="2014"/>
        <v>#NAME?</v>
      </c>
      <c r="I220" s="23" t="e">
        <f t="shared" ca="1" si="2014"/>
        <v>#NAME?</v>
      </c>
      <c r="J220" s="23" t="e">
        <f t="shared" ca="1" si="2014"/>
        <v>#NAME?</v>
      </c>
      <c r="K220" s="23" t="e">
        <f t="shared" ca="1" si="2014"/>
        <v>#NAME?</v>
      </c>
      <c r="L220" s="23" t="e">
        <f t="shared" ca="1" si="2014"/>
        <v>#NAME?</v>
      </c>
      <c r="M220" s="23" t="e">
        <f t="shared" ca="1" si="2014"/>
        <v>#NAME?</v>
      </c>
      <c r="N220" s="23" t="e">
        <f t="shared" ca="1" si="2014"/>
        <v>#NAME?</v>
      </c>
      <c r="O220" s="23" t="e">
        <f t="shared" ca="1" si="2014"/>
        <v>#NAME?</v>
      </c>
      <c r="P220" s="23" t="e">
        <f t="shared" ca="1" si="2014"/>
        <v>#NAME?</v>
      </c>
      <c r="Q220" s="23" t="e">
        <f t="shared" ca="1" si="2014"/>
        <v>#NAME?</v>
      </c>
      <c r="R220" s="23" t="e">
        <f t="shared" ca="1" si="2014"/>
        <v>#NAME?</v>
      </c>
      <c r="S220" s="23" t="e">
        <f t="shared" ca="1" si="2014"/>
        <v>#NAME?</v>
      </c>
      <c r="T220" s="23" t="e">
        <f t="shared" ca="1" si="2014"/>
        <v>#NAME?</v>
      </c>
      <c r="U220" s="23" t="e">
        <f t="shared" ca="1" si="2014"/>
        <v>#NAME?</v>
      </c>
      <c r="V220" s="23" t="e">
        <f t="shared" ca="1" si="2014"/>
        <v>#NAME?</v>
      </c>
      <c r="W220" s="23" t="e">
        <f t="shared" ca="1" si="2014"/>
        <v>#NAME?</v>
      </c>
      <c r="X220" s="23" t="e">
        <f t="shared" ca="1" si="2014"/>
        <v>#NAME?</v>
      </c>
      <c r="Y220" s="23" t="e">
        <f t="shared" ca="1" si="2014"/>
        <v>#NAME?</v>
      </c>
      <c r="Z220" s="23" t="e">
        <f t="shared" ca="1" si="2014"/>
        <v>#NAME?</v>
      </c>
      <c r="AA220" s="23" t="e">
        <f t="shared" ca="1" si="2014"/>
        <v>#NAME?</v>
      </c>
      <c r="AB220" s="24" t="e">
        <f t="shared" ca="1" si="2014"/>
        <v>#NAME?</v>
      </c>
      <c r="AC220" s="24" t="e">
        <f t="shared" ca="1" si="2014"/>
        <v>#NAME?</v>
      </c>
      <c r="AD220" s="24" t="e">
        <f t="shared" ca="1" si="2014"/>
        <v>#NAME?</v>
      </c>
      <c r="AE220" s="24" t="e">
        <f t="shared" ca="1" si="2014"/>
        <v>#NAME?</v>
      </c>
      <c r="AI220" s="23" t="e">
        <f t="shared" ref="AI220:BN220" ca="1" si="2015">AI133-AI56-AH133+AI135-AH135</f>
        <v>#NAME?</v>
      </c>
      <c r="AJ220" s="23" t="e">
        <f t="shared" ca="1" si="2015"/>
        <v>#NAME?</v>
      </c>
      <c r="AK220" s="23" t="e">
        <f t="shared" ca="1" si="2015"/>
        <v>#NAME?</v>
      </c>
      <c r="AL220" s="23" t="e">
        <f t="shared" ca="1" si="2015"/>
        <v>#NAME?</v>
      </c>
      <c r="AM220" s="23" t="e">
        <f t="shared" ca="1" si="2015"/>
        <v>#NAME?</v>
      </c>
      <c r="AN220" s="23" t="e">
        <f t="shared" ca="1" si="2015"/>
        <v>#NAME?</v>
      </c>
      <c r="AO220" s="23" t="e">
        <f t="shared" ca="1" si="2015"/>
        <v>#NAME?</v>
      </c>
      <c r="AP220" s="23" t="e">
        <f t="shared" ca="1" si="2015"/>
        <v>#NAME?</v>
      </c>
      <c r="AQ220" s="23" t="e">
        <f t="shared" ca="1" si="2015"/>
        <v>#NAME?</v>
      </c>
      <c r="AR220" s="23" t="e">
        <f t="shared" ca="1" si="2015"/>
        <v>#NAME?</v>
      </c>
      <c r="AS220" s="23" t="e">
        <f t="shared" ca="1" si="2015"/>
        <v>#NAME?</v>
      </c>
      <c r="AT220" s="23" t="e">
        <f t="shared" ca="1" si="2015"/>
        <v>#NAME?</v>
      </c>
      <c r="AU220" s="23" t="e">
        <f t="shared" ca="1" si="2015"/>
        <v>#NAME?</v>
      </c>
      <c r="AV220" s="23" t="e">
        <f t="shared" ca="1" si="2015"/>
        <v>#NAME?</v>
      </c>
      <c r="AW220" s="23" t="e">
        <f t="shared" ca="1" si="2015"/>
        <v>#NAME?</v>
      </c>
      <c r="AX220" s="23" t="e">
        <f t="shared" ca="1" si="2015"/>
        <v>#NAME?</v>
      </c>
      <c r="AY220" s="23" t="e">
        <f t="shared" ca="1" si="2015"/>
        <v>#NAME?</v>
      </c>
      <c r="AZ220" s="23" t="e">
        <f t="shared" ca="1" si="2015"/>
        <v>#NAME?</v>
      </c>
      <c r="BA220" s="23" t="e">
        <f t="shared" ca="1" si="2015"/>
        <v>#NAME?</v>
      </c>
      <c r="BB220" s="23" t="e">
        <f t="shared" ca="1" si="2015"/>
        <v>#NAME?</v>
      </c>
      <c r="BC220" s="23" t="e">
        <f t="shared" ca="1" si="2015"/>
        <v>#NAME?</v>
      </c>
      <c r="BD220" s="23" t="e">
        <f t="shared" ca="1" si="2015"/>
        <v>#NAME?</v>
      </c>
      <c r="BE220" s="23" t="e">
        <f t="shared" ca="1" si="2015"/>
        <v>#NAME?</v>
      </c>
      <c r="BF220" s="23" t="e">
        <f t="shared" ca="1" si="2015"/>
        <v>#NAME?</v>
      </c>
      <c r="BG220" s="23" t="e">
        <f t="shared" ca="1" si="2015"/>
        <v>#NAME?</v>
      </c>
      <c r="BH220" s="23" t="e">
        <f t="shared" ca="1" si="2015"/>
        <v>#NAME?</v>
      </c>
      <c r="BI220" s="23" t="e">
        <f t="shared" ca="1" si="2015"/>
        <v>#NAME?</v>
      </c>
      <c r="BJ220" s="23" t="e">
        <f t="shared" ca="1" si="2015"/>
        <v>#NAME?</v>
      </c>
      <c r="BK220" s="23" t="e">
        <f t="shared" ca="1" si="2015"/>
        <v>#NAME?</v>
      </c>
      <c r="BL220" s="23" t="e">
        <f t="shared" ca="1" si="2015"/>
        <v>#NAME?</v>
      </c>
      <c r="BM220" s="23" t="e">
        <f t="shared" ca="1" si="2015"/>
        <v>#NAME?</v>
      </c>
      <c r="BN220" s="23" t="e">
        <f t="shared" ca="1" si="2015"/>
        <v>#NAME?</v>
      </c>
      <c r="BO220" s="23" t="e">
        <f t="shared" ref="BO220:CT220" ca="1" si="2016">BO133-BO56-BN133+BO135-BN135</f>
        <v>#NAME?</v>
      </c>
      <c r="BP220" s="23" t="e">
        <f t="shared" ca="1" si="2016"/>
        <v>#NAME?</v>
      </c>
      <c r="BQ220" s="23" t="e">
        <f t="shared" ca="1" si="2016"/>
        <v>#NAME?</v>
      </c>
      <c r="BR220" s="23" t="e">
        <f t="shared" ca="1" si="2016"/>
        <v>#NAME?</v>
      </c>
      <c r="BS220" s="23" t="e">
        <f t="shared" ca="1" si="2016"/>
        <v>#NAME?</v>
      </c>
      <c r="BT220" s="23" t="e">
        <f t="shared" ca="1" si="2016"/>
        <v>#NAME?</v>
      </c>
      <c r="BU220" s="23" t="e">
        <f t="shared" ca="1" si="2016"/>
        <v>#NAME?</v>
      </c>
      <c r="BV220" s="23" t="e">
        <f t="shared" ca="1" si="2016"/>
        <v>#NAME?</v>
      </c>
      <c r="BW220" s="23" t="e">
        <f t="shared" ca="1" si="2016"/>
        <v>#NAME?</v>
      </c>
      <c r="BX220" s="23" t="e">
        <f t="shared" ca="1" si="2016"/>
        <v>#NAME?</v>
      </c>
      <c r="BY220" s="23" t="e">
        <f t="shared" ca="1" si="2016"/>
        <v>#NAME?</v>
      </c>
      <c r="BZ220" s="23" t="e">
        <f t="shared" ca="1" si="2016"/>
        <v>#NAME?</v>
      </c>
      <c r="CA220" s="23" t="e">
        <f t="shared" ca="1" si="2016"/>
        <v>#NAME?</v>
      </c>
      <c r="CB220" s="23" t="e">
        <f t="shared" ca="1" si="2016"/>
        <v>#NAME?</v>
      </c>
      <c r="CC220" s="23" t="e">
        <f t="shared" ca="1" si="2016"/>
        <v>#NAME?</v>
      </c>
      <c r="CD220" s="23" t="e">
        <f t="shared" ca="1" si="2016"/>
        <v>#NAME?</v>
      </c>
      <c r="CE220" s="23" t="e">
        <f t="shared" ca="1" si="2016"/>
        <v>#NAME?</v>
      </c>
      <c r="CF220" s="23" t="e">
        <f t="shared" ca="1" si="2016"/>
        <v>#NAME?</v>
      </c>
      <c r="CG220" s="23" t="e">
        <f t="shared" ca="1" si="2016"/>
        <v>#NAME?</v>
      </c>
      <c r="CH220" s="23" t="e">
        <f t="shared" ca="1" si="2016"/>
        <v>#NAME?</v>
      </c>
      <c r="CI220" s="23" t="e">
        <f t="shared" ca="1" si="2016"/>
        <v>#NAME?</v>
      </c>
      <c r="CJ220" s="23" t="e">
        <f t="shared" ca="1" si="2016"/>
        <v>#NAME?</v>
      </c>
      <c r="CK220" s="23" t="e">
        <f t="shared" ca="1" si="2016"/>
        <v>#NAME?</v>
      </c>
      <c r="CL220" s="23" t="e">
        <f t="shared" ca="1" si="2016"/>
        <v>#NAME?</v>
      </c>
      <c r="CM220" s="24" t="e">
        <f t="shared" ca="1" si="2016"/>
        <v>#NAME?</v>
      </c>
      <c r="CN220" s="24" t="e">
        <f t="shared" ca="1" si="2016"/>
        <v>#NAME?</v>
      </c>
      <c r="CO220" s="24" t="e">
        <f t="shared" ca="1" si="2016"/>
        <v>#NAME?</v>
      </c>
      <c r="CP220" s="24" t="e">
        <f t="shared" ca="1" si="2016"/>
        <v>#NAME?</v>
      </c>
      <c r="CQ220" s="24" t="e">
        <f t="shared" ca="1" si="2016"/>
        <v>#NAME?</v>
      </c>
      <c r="CR220" s="24" t="e">
        <f t="shared" ca="1" si="2016"/>
        <v>#NAME?</v>
      </c>
      <c r="CS220" s="24" t="e">
        <f t="shared" ca="1" si="2016"/>
        <v>#NAME?</v>
      </c>
      <c r="CT220" s="24" t="e">
        <f t="shared" ca="1" si="2016"/>
        <v>#NAME?</v>
      </c>
      <c r="CU220" s="24" t="e">
        <f t="shared" ref="CU220:DB220" ca="1" si="2017">CU133-CU56-CT133+CU135-CT135</f>
        <v>#NAME?</v>
      </c>
      <c r="CV220" s="24" t="e">
        <f t="shared" ca="1" si="2017"/>
        <v>#NAME?</v>
      </c>
      <c r="CW220" s="24" t="e">
        <f t="shared" ca="1" si="2017"/>
        <v>#NAME?</v>
      </c>
      <c r="CX220" s="24" t="e">
        <f t="shared" ca="1" si="2017"/>
        <v>#NAME?</v>
      </c>
      <c r="CY220" s="24" t="e">
        <f t="shared" ca="1" si="2017"/>
        <v>#NAME?</v>
      </c>
      <c r="CZ220" s="24" t="e">
        <f t="shared" ca="1" si="2017"/>
        <v>#NAME?</v>
      </c>
      <c r="DA220" s="24" t="e">
        <f t="shared" ca="1" si="2017"/>
        <v>#NAME?</v>
      </c>
      <c r="DB220" s="24" t="e">
        <f t="shared" ca="1" si="2017"/>
        <v>#NAME?</v>
      </c>
      <c r="DE220" s="123"/>
      <c r="DF220" s="23">
        <v>3447.3799999999974</v>
      </c>
    </row>
    <row r="221" spans="1:110" s="23" customFormat="1" x14ac:dyDescent="0.2">
      <c r="AB221" s="24"/>
      <c r="AC221" s="24"/>
      <c r="AD221" s="24"/>
      <c r="AE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E221" s="123"/>
    </row>
    <row r="222" spans="1:110" s="23" customFormat="1" x14ac:dyDescent="0.2">
      <c r="A222" s="23" t="s">
        <v>442</v>
      </c>
      <c r="C222" s="23" t="e">
        <f t="shared" ref="C222" ca="1" si="2018">B174</f>
        <v>#NAME?</v>
      </c>
      <c r="D222" s="23" t="e">
        <f t="shared" ref="D222" ca="1" si="2019">C174</f>
        <v>#NAME?</v>
      </c>
      <c r="E222" s="23" t="e">
        <f ca="1">D174</f>
        <v>#NAME?</v>
      </c>
      <c r="F222" s="23" t="e">
        <f t="shared" ref="F222" ca="1" si="2020">E174</f>
        <v>#NAME?</v>
      </c>
      <c r="G222" s="23" t="e">
        <f t="shared" ref="G222" ca="1" si="2021">F174</f>
        <v>#NAME?</v>
      </c>
      <c r="H222" s="23" t="e">
        <f t="shared" ref="H222" ca="1" si="2022">G174</f>
        <v>#NAME?</v>
      </c>
      <c r="I222" s="23" t="e">
        <f t="shared" ref="I222" ca="1" si="2023">H174</f>
        <v>#NAME?</v>
      </c>
      <c r="J222" s="23" t="e">
        <f ca="1">I174</f>
        <v>#NAME?</v>
      </c>
      <c r="K222" s="23" t="e">
        <f ca="1">J174</f>
        <v>#NAME?</v>
      </c>
      <c r="L222" s="23" t="e">
        <f t="shared" ref="L222" ca="1" si="2024">K174</f>
        <v>#NAME?</v>
      </c>
      <c r="M222" s="23" t="e">
        <f t="shared" ref="M222" ca="1" si="2025">L174</f>
        <v>#NAME?</v>
      </c>
      <c r="N222" s="23" t="e">
        <f t="shared" ref="N222" ca="1" si="2026">M174</f>
        <v>#NAME?</v>
      </c>
      <c r="O222" s="23" t="e">
        <f t="shared" ref="O222" ca="1" si="2027">N174</f>
        <v>#NAME?</v>
      </c>
      <c r="P222" s="23" t="e">
        <f t="shared" ref="P222" ca="1" si="2028">O174</f>
        <v>#NAME?</v>
      </c>
      <c r="Q222" s="23" t="e">
        <f t="shared" ref="Q222" ca="1" si="2029">P174</f>
        <v>#NAME?</v>
      </c>
      <c r="R222" s="23" t="e">
        <f t="shared" ref="R222" ca="1" si="2030">Q174</f>
        <v>#NAME?</v>
      </c>
      <c r="S222" s="23" t="e">
        <f t="shared" ref="S222" ca="1" si="2031">R174</f>
        <v>#NAME?</v>
      </c>
      <c r="T222" s="23" t="e">
        <f t="shared" ref="T222" ca="1" si="2032">S174</f>
        <v>#NAME?</v>
      </c>
      <c r="U222" s="23" t="e">
        <f t="shared" ref="U222" ca="1" si="2033">T174</f>
        <v>#NAME?</v>
      </c>
      <c r="V222" s="23" t="e">
        <f t="shared" ref="V222" ca="1" si="2034">U174</f>
        <v>#NAME?</v>
      </c>
      <c r="W222" s="23" t="e">
        <f t="shared" ref="W222:AA222" ca="1" si="2035">V174</f>
        <v>#NAME?</v>
      </c>
      <c r="X222" s="23" t="e">
        <f t="shared" ca="1" si="2035"/>
        <v>#NAME?</v>
      </c>
      <c r="Y222" s="23" t="e">
        <f t="shared" ca="1" si="2035"/>
        <v>#NAME?</v>
      </c>
      <c r="Z222" s="23" t="e">
        <f t="shared" ca="1" si="2035"/>
        <v>#NAME?</v>
      </c>
      <c r="AA222" s="23" t="e">
        <f t="shared" ca="1" si="2035"/>
        <v>#NAME?</v>
      </c>
      <c r="AB222" s="24" t="e">
        <f t="shared" ref="AB222" ca="1" si="2036">AA174</f>
        <v>#NAME?</v>
      </c>
      <c r="AC222" s="24" t="e">
        <f t="shared" ref="AC222" ca="1" si="2037">AB174</f>
        <v>#NAME?</v>
      </c>
      <c r="AD222" s="24" t="e">
        <f t="shared" ref="AD222" ca="1" si="2038">AC174</f>
        <v>#NAME?</v>
      </c>
      <c r="AE222" s="24" t="e">
        <f t="shared" ref="AE222" ca="1" si="2039">AD174</f>
        <v>#NAME?</v>
      </c>
      <c r="AI222" s="23">
        <f t="shared" ref="AI222" si="2040">AH174</f>
        <v>0</v>
      </c>
      <c r="AJ222" s="23">
        <f t="shared" ref="AJ222" si="2041">AI174</f>
        <v>0</v>
      </c>
      <c r="AK222" s="23" t="e">
        <f t="shared" ref="AK222" ca="1" si="2042">AJ174</f>
        <v>#NAME?</v>
      </c>
      <c r="AL222" s="23" t="e">
        <f t="shared" ref="AL222" ca="1" si="2043">AK174</f>
        <v>#NAME?</v>
      </c>
      <c r="AM222" s="23" t="e">
        <f t="shared" ref="AM222" ca="1" si="2044">AL174</f>
        <v>#NAME?</v>
      </c>
      <c r="AN222" s="23" t="e">
        <f t="shared" ref="AN222" ca="1" si="2045">AM174</f>
        <v>#NAME?</v>
      </c>
      <c r="AO222" s="23" t="e">
        <f t="shared" ref="AO222" ca="1" si="2046">AN174</f>
        <v>#NAME?</v>
      </c>
      <c r="AP222" s="23" t="e">
        <f t="shared" ref="AP222" ca="1" si="2047">AO174</f>
        <v>#NAME?</v>
      </c>
      <c r="AQ222" s="23" t="e">
        <f t="shared" ref="AQ222" ca="1" si="2048">AP174</f>
        <v>#NAME?</v>
      </c>
      <c r="AR222" s="23" t="e">
        <f t="shared" ref="AR222" ca="1" si="2049">AQ174</f>
        <v>#NAME?</v>
      </c>
      <c r="AS222" s="23" t="e">
        <f t="shared" ref="AS222" ca="1" si="2050">AR174</f>
        <v>#NAME?</v>
      </c>
      <c r="AT222" s="23" t="e">
        <f t="shared" ref="AT222" ca="1" si="2051">AS174</f>
        <v>#NAME?</v>
      </c>
      <c r="AU222" s="23" t="e">
        <f t="shared" ref="AU222" ca="1" si="2052">AT174</f>
        <v>#NAME?</v>
      </c>
      <c r="AV222" s="23" t="e">
        <f t="shared" ref="AV222" ca="1" si="2053">AU174</f>
        <v>#NAME?</v>
      </c>
      <c r="AW222" s="23" t="e">
        <f t="shared" ref="AW222" ca="1" si="2054">AV174</f>
        <v>#NAME?</v>
      </c>
      <c r="AX222" s="23" t="e">
        <f t="shared" ref="AX222" ca="1" si="2055">AW174</f>
        <v>#NAME?</v>
      </c>
      <c r="AY222" s="23" t="e">
        <f t="shared" ref="AY222" ca="1" si="2056">AX174</f>
        <v>#NAME?</v>
      </c>
      <c r="AZ222" s="23" t="e">
        <f t="shared" ref="AZ222" ca="1" si="2057">AY174</f>
        <v>#NAME?</v>
      </c>
      <c r="BA222" s="23" t="e">
        <f t="shared" ref="BA222" ca="1" si="2058">AZ174</f>
        <v>#NAME?</v>
      </c>
      <c r="BB222" s="23" t="e">
        <f t="shared" ref="BB222" ca="1" si="2059">BA174</f>
        <v>#NAME?</v>
      </c>
      <c r="BC222" s="23" t="e">
        <f t="shared" ref="BC222" ca="1" si="2060">BB174</f>
        <v>#NAME?</v>
      </c>
      <c r="BD222" s="23" t="e">
        <f t="shared" ref="BD222" ca="1" si="2061">BC174</f>
        <v>#NAME?</v>
      </c>
      <c r="BE222" s="23" t="e">
        <f t="shared" ref="BE222" ca="1" si="2062">BD174</f>
        <v>#NAME?</v>
      </c>
      <c r="BF222" s="23" t="e">
        <f t="shared" ref="BF222" ca="1" si="2063">BE174</f>
        <v>#NAME?</v>
      </c>
      <c r="BG222" s="23" t="e">
        <f t="shared" ref="BG222" ca="1" si="2064">BF174</f>
        <v>#NAME?</v>
      </c>
      <c r="BH222" s="23" t="e">
        <f t="shared" ref="BH222" ca="1" si="2065">BG174</f>
        <v>#NAME?</v>
      </c>
      <c r="BI222" s="23" t="e">
        <f t="shared" ref="BI222" ca="1" si="2066">BH174</f>
        <v>#NAME?</v>
      </c>
      <c r="BJ222" s="23" t="e">
        <f t="shared" ref="BJ222" ca="1" si="2067">BI174</f>
        <v>#NAME?</v>
      </c>
      <c r="BK222" s="23" t="e">
        <f t="shared" ref="BK222" ca="1" si="2068">BJ174</f>
        <v>#NAME?</v>
      </c>
      <c r="BL222" s="23" t="e">
        <f t="shared" ref="BL222" ca="1" si="2069">BK174</f>
        <v>#NAME?</v>
      </c>
      <c r="BM222" s="23" t="e">
        <f t="shared" ref="BM222" ca="1" si="2070">BL174</f>
        <v>#NAME?</v>
      </c>
      <c r="BN222" s="23" t="e">
        <f t="shared" ref="BN222" ca="1" si="2071">BM174</f>
        <v>#NAME?</v>
      </c>
      <c r="BO222" s="23" t="e">
        <f t="shared" ref="BO222" ca="1" si="2072">BN174</f>
        <v>#NAME?</v>
      </c>
      <c r="BP222" s="23" t="e">
        <f t="shared" ref="BP222" ca="1" si="2073">BO174</f>
        <v>#NAME?</v>
      </c>
      <c r="BQ222" s="23" t="e">
        <f t="shared" ref="BQ222" ca="1" si="2074">BP174</f>
        <v>#NAME?</v>
      </c>
      <c r="BR222" s="23" t="e">
        <f t="shared" ref="BR222" ca="1" si="2075">BQ174</f>
        <v>#NAME?</v>
      </c>
      <c r="BS222" s="23" t="e">
        <f t="shared" ref="BS222" ca="1" si="2076">BR174</f>
        <v>#NAME?</v>
      </c>
      <c r="BT222" s="23" t="e">
        <f t="shared" ref="BT222" ca="1" si="2077">BS174</f>
        <v>#NAME?</v>
      </c>
      <c r="BU222" s="23" t="e">
        <f t="shared" ref="BU222" ca="1" si="2078">BT174</f>
        <v>#NAME?</v>
      </c>
      <c r="BV222" s="23" t="e">
        <f t="shared" ref="BV222" ca="1" si="2079">BU174</f>
        <v>#NAME?</v>
      </c>
      <c r="BW222" s="23" t="e">
        <f t="shared" ref="BW222" ca="1" si="2080">BV174</f>
        <v>#NAME?</v>
      </c>
      <c r="BX222" s="23" t="e">
        <f t="shared" ref="BX222" ca="1" si="2081">BW174</f>
        <v>#NAME?</v>
      </c>
      <c r="BY222" s="23" t="e">
        <f t="shared" ref="BY222" ca="1" si="2082">BX174</f>
        <v>#NAME?</v>
      </c>
      <c r="BZ222" s="23" t="e">
        <f t="shared" ref="BZ222" ca="1" si="2083">BY174</f>
        <v>#NAME?</v>
      </c>
      <c r="CA222" s="23" t="e">
        <f t="shared" ref="CA222" ca="1" si="2084">BZ174</f>
        <v>#NAME?</v>
      </c>
      <c r="CB222" s="23" t="e">
        <f t="shared" ref="CB222" ca="1" si="2085">CA174</f>
        <v>#NAME?</v>
      </c>
      <c r="CC222" s="23" t="e">
        <f t="shared" ref="CC222" ca="1" si="2086">CB174</f>
        <v>#NAME?</v>
      </c>
      <c r="CD222" s="23" t="e">
        <f t="shared" ref="CD222" ca="1" si="2087">CC174</f>
        <v>#NAME?</v>
      </c>
      <c r="CE222" s="23" t="e">
        <f t="shared" ref="CE222" ca="1" si="2088">CD174</f>
        <v>#NAME?</v>
      </c>
      <c r="CF222" s="23" t="e">
        <f t="shared" ref="CF222" ca="1" si="2089">CE174</f>
        <v>#NAME?</v>
      </c>
      <c r="CG222" s="23" t="e">
        <f t="shared" ref="CG222" ca="1" si="2090">CF174</f>
        <v>#NAME?</v>
      </c>
      <c r="CH222" s="23" t="e">
        <f t="shared" ref="CH222:CL222" ca="1" si="2091">CG174</f>
        <v>#NAME?</v>
      </c>
      <c r="CI222" s="23" t="e">
        <f t="shared" ca="1" si="2091"/>
        <v>#NAME?</v>
      </c>
      <c r="CJ222" s="23" t="e">
        <f t="shared" ca="1" si="2091"/>
        <v>#NAME?</v>
      </c>
      <c r="CK222" s="23" t="e">
        <f t="shared" ref="CK222" ca="1" si="2092">CJ174</f>
        <v>#NAME?</v>
      </c>
      <c r="CL222" s="23" t="e">
        <f t="shared" ca="1" si="2091"/>
        <v>#NAME?</v>
      </c>
      <c r="CM222" s="24" t="e">
        <f t="shared" ref="CM222" ca="1" si="2093">CL174</f>
        <v>#NAME?</v>
      </c>
      <c r="CN222" s="24" t="e">
        <f t="shared" ref="CN222" ca="1" si="2094">CM174</f>
        <v>#NAME?</v>
      </c>
      <c r="CO222" s="24" t="e">
        <f t="shared" ref="CO222" ca="1" si="2095">CN174</f>
        <v>#NAME?</v>
      </c>
      <c r="CP222" s="24" t="e">
        <f t="shared" ref="CP222" ca="1" si="2096">CO174</f>
        <v>#NAME?</v>
      </c>
      <c r="CQ222" s="24" t="e">
        <f t="shared" ref="CQ222" ca="1" si="2097">CP174</f>
        <v>#NAME?</v>
      </c>
      <c r="CR222" s="24" t="e">
        <f t="shared" ref="CR222" ca="1" si="2098">CQ174</f>
        <v>#NAME?</v>
      </c>
      <c r="CS222" s="24" t="e">
        <f t="shared" ref="CS222" ca="1" si="2099">CR174</f>
        <v>#NAME?</v>
      </c>
      <c r="CT222" s="24" t="e">
        <f t="shared" ref="CT222" ca="1" si="2100">CS174</f>
        <v>#NAME?</v>
      </c>
      <c r="CU222" s="24" t="e">
        <f t="shared" ref="CU222" ca="1" si="2101">CT174</f>
        <v>#NAME?</v>
      </c>
      <c r="CV222" s="24" t="e">
        <f t="shared" ref="CV222" ca="1" si="2102">CU174</f>
        <v>#NAME?</v>
      </c>
      <c r="CW222" s="24" t="e">
        <f t="shared" ref="CW222" ca="1" si="2103">CV174</f>
        <v>#NAME?</v>
      </c>
      <c r="CX222" s="24" t="e">
        <f t="shared" ref="CX222" ca="1" si="2104">CW174</f>
        <v>#NAME?</v>
      </c>
      <c r="CY222" s="24" t="e">
        <f t="shared" ref="CY222" ca="1" si="2105">CX174</f>
        <v>#NAME?</v>
      </c>
      <c r="CZ222" s="24" t="e">
        <f t="shared" ref="CZ222" ca="1" si="2106">CY174</f>
        <v>#NAME?</v>
      </c>
      <c r="DA222" s="24" t="e">
        <f t="shared" ref="DA222" ca="1" si="2107">CZ174</f>
        <v>#NAME?</v>
      </c>
      <c r="DB222" s="24" t="e">
        <f t="shared" ref="DB222" ca="1" si="2108">DA174</f>
        <v>#NAME?</v>
      </c>
      <c r="DE222" s="123"/>
      <c r="DF222" s="23">
        <v>7994.32</v>
      </c>
    </row>
    <row r="223" spans="1:110" s="23" customFormat="1" x14ac:dyDescent="0.2">
      <c r="A223" s="23" t="s">
        <v>443</v>
      </c>
      <c r="C223" s="23" t="e">
        <f t="shared" ref="C223:W223" ca="1" si="2109">C222+C218+C214+C212</f>
        <v>#NAME?</v>
      </c>
      <c r="D223" s="23" t="e">
        <f t="shared" ca="1" si="2109"/>
        <v>#NAME?</v>
      </c>
      <c r="E223" s="23" t="e">
        <f t="shared" ca="1" si="2109"/>
        <v>#NAME?</v>
      </c>
      <c r="F223" s="23" t="e">
        <f t="shared" ca="1" si="2109"/>
        <v>#NAME?</v>
      </c>
      <c r="G223" s="23" t="e">
        <f t="shared" ca="1" si="2109"/>
        <v>#NAME?</v>
      </c>
      <c r="H223" s="23" t="e">
        <f t="shared" ca="1" si="2109"/>
        <v>#NAME?</v>
      </c>
      <c r="I223" s="23" t="e">
        <f t="shared" ca="1" si="2109"/>
        <v>#NAME?</v>
      </c>
      <c r="J223" s="23" t="e">
        <f ca="1">J222+J218+J214+J212</f>
        <v>#NAME?</v>
      </c>
      <c r="K223" s="23" t="e">
        <f ca="1">K222+K218+K214+K212</f>
        <v>#NAME?</v>
      </c>
      <c r="L223" s="23" t="e">
        <f ca="1">L222+L218+L214+L212</f>
        <v>#NAME?</v>
      </c>
      <c r="M223" s="23" t="e">
        <f ca="1">M222+M218+M214+M212</f>
        <v>#NAME?</v>
      </c>
      <c r="N223" s="23" t="e">
        <f t="shared" ca="1" si="2109"/>
        <v>#NAME?</v>
      </c>
      <c r="O223" s="23" t="e">
        <f t="shared" ca="1" si="2109"/>
        <v>#NAME?</v>
      </c>
      <c r="P223" s="23" t="e">
        <f t="shared" ca="1" si="2109"/>
        <v>#NAME?</v>
      </c>
      <c r="Q223" s="23" t="e">
        <f t="shared" ca="1" si="2109"/>
        <v>#NAME?</v>
      </c>
      <c r="R223" s="23" t="e">
        <f t="shared" ca="1" si="2109"/>
        <v>#NAME?</v>
      </c>
      <c r="S223" s="23" t="e">
        <f t="shared" ca="1" si="2109"/>
        <v>#NAME?</v>
      </c>
      <c r="T223" s="23" t="e">
        <f t="shared" ca="1" si="2109"/>
        <v>#NAME?</v>
      </c>
      <c r="U223" s="23" t="e">
        <f t="shared" ca="1" si="2109"/>
        <v>#NAME?</v>
      </c>
      <c r="V223" s="23" t="e">
        <f t="shared" ca="1" si="2109"/>
        <v>#NAME?</v>
      </c>
      <c r="W223" s="23" t="e">
        <f t="shared" ca="1" si="2109"/>
        <v>#NAME?</v>
      </c>
      <c r="X223" s="23" t="e">
        <f t="shared" ref="X223:Y223" ca="1" si="2110">X222+X218+X214+X212</f>
        <v>#NAME?</v>
      </c>
      <c r="Y223" s="23" t="e">
        <f t="shared" ca="1" si="2110"/>
        <v>#NAME?</v>
      </c>
      <c r="Z223" s="23" t="e">
        <f t="shared" ref="Z223:AA223" ca="1" si="2111">Z222+Z218+Z214+Z212</f>
        <v>#NAME?</v>
      </c>
      <c r="AA223" s="23" t="e">
        <f t="shared" ca="1" si="2111"/>
        <v>#NAME?</v>
      </c>
      <c r="AB223" s="24" t="e">
        <f t="shared" ref="AA223:AD223" ca="1" si="2112">AB222+AB218+AB214+AB212</f>
        <v>#NAME?</v>
      </c>
      <c r="AC223" s="24" t="e">
        <f t="shared" ca="1" si="2112"/>
        <v>#NAME?</v>
      </c>
      <c r="AD223" s="24" t="e">
        <f t="shared" ca="1" si="2112"/>
        <v>#NAME?</v>
      </c>
      <c r="AE223" s="24" t="e">
        <f t="shared" ref="AE223" ca="1" si="2113">AE222+AE218+AE214+AE212</f>
        <v>#NAME?</v>
      </c>
      <c r="AI223" s="23" t="e">
        <f t="shared" ref="AI223" ca="1" si="2114">AI222+AI218+AI214+AI212</f>
        <v>#NAME?</v>
      </c>
      <c r="AJ223" s="23" t="e">
        <f t="shared" ref="AJ223:AL223" ca="1" si="2115">AJ222+AJ218+AJ214+AJ212</f>
        <v>#NAME?</v>
      </c>
      <c r="AK223" s="23" t="e">
        <f t="shared" ca="1" si="2115"/>
        <v>#NAME?</v>
      </c>
      <c r="AL223" s="23" t="e">
        <f t="shared" ca="1" si="2115"/>
        <v>#NAME?</v>
      </c>
      <c r="AM223" s="23" t="e">
        <f t="shared" ref="AM223" ca="1" si="2116">AM222+AM218+AM214+AM212</f>
        <v>#NAME?</v>
      </c>
      <c r="AN223" s="23" t="e">
        <f t="shared" ref="AN223:CD223" ca="1" si="2117">AN222+AN218+AN214+AN212</f>
        <v>#NAME?</v>
      </c>
      <c r="AO223" s="23" t="e">
        <f t="shared" ca="1" si="2117"/>
        <v>#NAME?</v>
      </c>
      <c r="AP223" s="23" t="e">
        <f t="shared" ca="1" si="2117"/>
        <v>#NAME?</v>
      </c>
      <c r="AQ223" s="23" t="e">
        <f t="shared" ca="1" si="2117"/>
        <v>#NAME?</v>
      </c>
      <c r="AR223" s="23" t="e">
        <f t="shared" ca="1" si="2117"/>
        <v>#NAME?</v>
      </c>
      <c r="AS223" s="23" t="e">
        <f t="shared" ca="1" si="2117"/>
        <v>#NAME?</v>
      </c>
      <c r="AT223" s="23" t="e">
        <f t="shared" ca="1" si="2117"/>
        <v>#NAME?</v>
      </c>
      <c r="AU223" s="23" t="e">
        <f t="shared" ca="1" si="2117"/>
        <v>#NAME?</v>
      </c>
      <c r="AV223" s="23" t="e">
        <f t="shared" ca="1" si="2117"/>
        <v>#NAME?</v>
      </c>
      <c r="AW223" s="23" t="e">
        <f t="shared" ca="1" si="2117"/>
        <v>#NAME?</v>
      </c>
      <c r="AX223" s="23" t="e">
        <f t="shared" ca="1" si="2117"/>
        <v>#NAME?</v>
      </c>
      <c r="AY223" s="23" t="e">
        <f t="shared" ca="1" si="2117"/>
        <v>#NAME?</v>
      </c>
      <c r="AZ223" s="23" t="e">
        <f t="shared" ca="1" si="2117"/>
        <v>#NAME?</v>
      </c>
      <c r="BA223" s="23" t="e">
        <f t="shared" ca="1" si="2117"/>
        <v>#NAME?</v>
      </c>
      <c r="BB223" s="23" t="e">
        <f t="shared" ca="1" si="2117"/>
        <v>#NAME?</v>
      </c>
      <c r="BC223" s="23" t="e">
        <f t="shared" ca="1" si="2117"/>
        <v>#NAME?</v>
      </c>
      <c r="BD223" s="23" t="e">
        <f t="shared" ca="1" si="2117"/>
        <v>#NAME?</v>
      </c>
      <c r="BE223" s="23" t="e">
        <f t="shared" ca="1" si="2117"/>
        <v>#NAME?</v>
      </c>
      <c r="BF223" s="23" t="e">
        <f t="shared" ca="1" si="2117"/>
        <v>#NAME?</v>
      </c>
      <c r="BG223" s="23" t="e">
        <f t="shared" ca="1" si="2117"/>
        <v>#NAME?</v>
      </c>
      <c r="BH223" s="23" t="e">
        <f t="shared" ca="1" si="2117"/>
        <v>#NAME?</v>
      </c>
      <c r="BI223" s="23" t="e">
        <f t="shared" ca="1" si="2117"/>
        <v>#NAME?</v>
      </c>
      <c r="BJ223" s="23" t="e">
        <f t="shared" ca="1" si="2117"/>
        <v>#NAME?</v>
      </c>
      <c r="BK223" s="23" t="e">
        <f t="shared" ca="1" si="2117"/>
        <v>#NAME?</v>
      </c>
      <c r="BL223" s="23" t="e">
        <f t="shared" ca="1" si="2117"/>
        <v>#NAME?</v>
      </c>
      <c r="BM223" s="23" t="e">
        <f t="shared" ca="1" si="2117"/>
        <v>#NAME?</v>
      </c>
      <c r="BN223" s="23" t="e">
        <f t="shared" ca="1" si="2117"/>
        <v>#NAME?</v>
      </c>
      <c r="BO223" s="23" t="e">
        <f t="shared" ca="1" si="2117"/>
        <v>#NAME?</v>
      </c>
      <c r="BP223" s="23" t="e">
        <f t="shared" ca="1" si="2117"/>
        <v>#NAME?</v>
      </c>
      <c r="BQ223" s="23" t="e">
        <f t="shared" ca="1" si="2117"/>
        <v>#NAME?</v>
      </c>
      <c r="BR223" s="23" t="e">
        <f t="shared" ca="1" si="2117"/>
        <v>#NAME?</v>
      </c>
      <c r="BS223" s="23" t="e">
        <f t="shared" ca="1" si="2117"/>
        <v>#NAME?</v>
      </c>
      <c r="BT223" s="23" t="e">
        <f t="shared" ca="1" si="2117"/>
        <v>#NAME?</v>
      </c>
      <c r="BU223" s="23" t="e">
        <f t="shared" ca="1" si="2117"/>
        <v>#NAME?</v>
      </c>
      <c r="BV223" s="23" t="e">
        <f t="shared" ca="1" si="2117"/>
        <v>#NAME?</v>
      </c>
      <c r="BW223" s="23" t="e">
        <f t="shared" ca="1" si="2117"/>
        <v>#NAME?</v>
      </c>
      <c r="BX223" s="23" t="e">
        <f t="shared" ca="1" si="2117"/>
        <v>#NAME?</v>
      </c>
      <c r="BY223" s="23" t="e">
        <f t="shared" ca="1" si="2117"/>
        <v>#NAME?</v>
      </c>
      <c r="BZ223" s="23" t="e">
        <f t="shared" ca="1" si="2117"/>
        <v>#NAME?</v>
      </c>
      <c r="CA223" s="23" t="e">
        <f t="shared" ca="1" si="2117"/>
        <v>#NAME?</v>
      </c>
      <c r="CB223" s="23" t="e">
        <f t="shared" ca="1" si="2117"/>
        <v>#NAME?</v>
      </c>
      <c r="CC223" s="23" t="e">
        <f t="shared" ca="1" si="2117"/>
        <v>#NAME?</v>
      </c>
      <c r="CD223" s="23" t="e">
        <f t="shared" ca="1" si="2117"/>
        <v>#NAME?</v>
      </c>
      <c r="CE223" s="23" t="e">
        <f t="shared" ref="CE223:CF223" ca="1" si="2118">CE222+CE218+CE214+CE212</f>
        <v>#NAME?</v>
      </c>
      <c r="CF223" s="23" t="e">
        <f t="shared" ca="1" si="2118"/>
        <v>#NAME?</v>
      </c>
      <c r="CG223" s="23" t="e">
        <f t="shared" ref="CG223:CH223" ca="1" si="2119">CG222+CG218+CG214+CG212</f>
        <v>#NAME?</v>
      </c>
      <c r="CH223" s="23" t="e">
        <f t="shared" ca="1" si="2119"/>
        <v>#NAME?</v>
      </c>
      <c r="CI223" s="23" t="e">
        <f t="shared" ref="CI223:CJ223" ca="1" si="2120">CI222+CI218+CI214+CI212</f>
        <v>#NAME?</v>
      </c>
      <c r="CJ223" s="23" t="e">
        <f t="shared" ca="1" si="2120"/>
        <v>#NAME?</v>
      </c>
      <c r="CK223" s="23" t="e">
        <f t="shared" ref="CK223:DB223" ca="1" si="2121">CK222+CK218+CK214+CK212</f>
        <v>#NAME?</v>
      </c>
      <c r="CL223" s="23" t="e">
        <f t="shared" ca="1" si="2121"/>
        <v>#NAME?</v>
      </c>
      <c r="CM223" s="24" t="e">
        <f t="shared" ca="1" si="2121"/>
        <v>#NAME?</v>
      </c>
      <c r="CN223" s="24" t="e">
        <f t="shared" ca="1" si="2121"/>
        <v>#NAME?</v>
      </c>
      <c r="CO223" s="24" t="e">
        <f t="shared" ca="1" si="2121"/>
        <v>#NAME?</v>
      </c>
      <c r="CP223" s="24" t="e">
        <f t="shared" ca="1" si="2121"/>
        <v>#NAME?</v>
      </c>
      <c r="CQ223" s="24" t="e">
        <f t="shared" ca="1" si="2121"/>
        <v>#NAME?</v>
      </c>
      <c r="CR223" s="24" t="e">
        <f t="shared" ca="1" si="2121"/>
        <v>#NAME?</v>
      </c>
      <c r="CS223" s="24" t="e">
        <f t="shared" ca="1" si="2121"/>
        <v>#NAME?</v>
      </c>
      <c r="CT223" s="24" t="e">
        <f t="shared" ca="1" si="2121"/>
        <v>#NAME?</v>
      </c>
      <c r="CU223" s="24" t="e">
        <f t="shared" ca="1" si="2121"/>
        <v>#NAME?</v>
      </c>
      <c r="CV223" s="24" t="e">
        <f t="shared" ca="1" si="2121"/>
        <v>#NAME?</v>
      </c>
      <c r="CW223" s="24" t="e">
        <f t="shared" ca="1" si="2121"/>
        <v>#NAME?</v>
      </c>
      <c r="CX223" s="24" t="e">
        <f t="shared" ca="1" si="2121"/>
        <v>#NAME?</v>
      </c>
      <c r="CY223" s="24" t="e">
        <f t="shared" ca="1" si="2121"/>
        <v>#NAME?</v>
      </c>
      <c r="CZ223" s="24" t="e">
        <f t="shared" ca="1" si="2121"/>
        <v>#NAME?</v>
      </c>
      <c r="DA223" s="24" t="e">
        <f t="shared" ca="1" si="2121"/>
        <v>#NAME?</v>
      </c>
      <c r="DB223" s="24" t="e">
        <f t="shared" ca="1" si="2121"/>
        <v>#NAME?</v>
      </c>
      <c r="DE223" s="123"/>
      <c r="DF223" s="23">
        <v>958.60000000000127</v>
      </c>
    </row>
    <row r="224" spans="1:110" s="28" customFormat="1" x14ac:dyDescent="0.2">
      <c r="A224" s="28" t="s">
        <v>444</v>
      </c>
      <c r="C224" s="28" t="e">
        <f t="shared" ref="C224:W224" ca="1" si="2122">C223-C174</f>
        <v>#NAME?</v>
      </c>
      <c r="D224" s="28" t="e">
        <f t="shared" ca="1" si="2122"/>
        <v>#NAME?</v>
      </c>
      <c r="E224" s="28" t="e">
        <f t="shared" ca="1" si="2122"/>
        <v>#NAME?</v>
      </c>
      <c r="F224" s="28" t="e">
        <f t="shared" ca="1" si="2122"/>
        <v>#NAME?</v>
      </c>
      <c r="G224" s="28" t="e">
        <f t="shared" ca="1" si="2122"/>
        <v>#NAME?</v>
      </c>
      <c r="H224" s="28" t="e">
        <f t="shared" ca="1" si="2122"/>
        <v>#NAME?</v>
      </c>
      <c r="I224" s="28" t="e">
        <f t="shared" ca="1" si="2122"/>
        <v>#NAME?</v>
      </c>
      <c r="J224" s="28" t="e">
        <f ca="1">J223-J174</f>
        <v>#NAME?</v>
      </c>
      <c r="K224" s="28" t="e">
        <f t="shared" ca="1" si="2122"/>
        <v>#NAME?</v>
      </c>
      <c r="L224" s="28" t="e">
        <f t="shared" ca="1" si="2122"/>
        <v>#NAME?</v>
      </c>
      <c r="M224" s="28" t="e">
        <f t="shared" ca="1" si="2122"/>
        <v>#NAME?</v>
      </c>
      <c r="N224" s="28" t="e">
        <f t="shared" ca="1" si="2122"/>
        <v>#NAME?</v>
      </c>
      <c r="O224" s="28" t="e">
        <f t="shared" ca="1" si="2122"/>
        <v>#NAME?</v>
      </c>
      <c r="P224" s="28" t="e">
        <f t="shared" ca="1" si="2122"/>
        <v>#NAME?</v>
      </c>
      <c r="Q224" s="28" t="e">
        <f t="shared" ca="1" si="2122"/>
        <v>#NAME?</v>
      </c>
      <c r="R224" s="28" t="e">
        <f t="shared" ca="1" si="2122"/>
        <v>#NAME?</v>
      </c>
      <c r="S224" s="28" t="e">
        <f t="shared" ca="1" si="2122"/>
        <v>#NAME?</v>
      </c>
      <c r="T224" s="28" t="e">
        <f t="shared" ca="1" si="2122"/>
        <v>#NAME?</v>
      </c>
      <c r="U224" s="28" t="e">
        <f t="shared" ca="1" si="2122"/>
        <v>#NAME?</v>
      </c>
      <c r="V224" s="28" t="e">
        <f t="shared" ca="1" si="2122"/>
        <v>#NAME?</v>
      </c>
      <c r="W224" s="28" t="e">
        <f t="shared" ca="1" si="2122"/>
        <v>#NAME?</v>
      </c>
      <c r="X224" s="28" t="e">
        <f t="shared" ref="X224:Y224" ca="1" si="2123">X223-X174</f>
        <v>#NAME?</v>
      </c>
      <c r="Y224" s="28" t="e">
        <f t="shared" ca="1" si="2123"/>
        <v>#NAME?</v>
      </c>
      <c r="Z224" s="28" t="e">
        <f t="shared" ref="Z224:AA224" ca="1" si="2124">Z223-Z174</f>
        <v>#NAME?</v>
      </c>
      <c r="AA224" s="28" t="e">
        <f t="shared" ca="1" si="2124"/>
        <v>#NAME?</v>
      </c>
      <c r="AB224" s="30" t="e">
        <f t="shared" ref="AA224:AD224" ca="1" si="2125">AB223-AB174</f>
        <v>#NAME?</v>
      </c>
      <c r="AC224" s="30" t="e">
        <f t="shared" ca="1" si="2125"/>
        <v>#NAME?</v>
      </c>
      <c r="AD224" s="30" t="e">
        <f t="shared" ca="1" si="2125"/>
        <v>#NAME?</v>
      </c>
      <c r="AE224" s="30" t="e">
        <f t="shared" ref="AE224" ca="1" si="2126">AE223-AE174</f>
        <v>#NAME?</v>
      </c>
      <c r="AI224" s="28" t="e">
        <f t="shared" ref="AI224" ca="1" si="2127">AI223-AI174</f>
        <v>#NAME?</v>
      </c>
      <c r="AJ224" s="28" t="e">
        <f t="shared" ref="AJ224:AL224" ca="1" si="2128">AJ223-AJ174</f>
        <v>#NAME?</v>
      </c>
      <c r="AK224" s="28" t="e">
        <f t="shared" ca="1" si="2128"/>
        <v>#NAME?</v>
      </c>
      <c r="AL224" s="28" t="e">
        <f t="shared" ca="1" si="2128"/>
        <v>#NAME?</v>
      </c>
      <c r="AM224" s="28" t="e">
        <f t="shared" ref="AM224" ca="1" si="2129">AM223-AM174</f>
        <v>#NAME?</v>
      </c>
      <c r="AN224" s="28" t="e">
        <f t="shared" ref="AN224:CD224" ca="1" si="2130">AN223-AN174</f>
        <v>#NAME?</v>
      </c>
      <c r="AO224" s="28" t="e">
        <f t="shared" ca="1" si="2130"/>
        <v>#NAME?</v>
      </c>
      <c r="AP224" s="28" t="e">
        <f t="shared" ca="1" si="2130"/>
        <v>#NAME?</v>
      </c>
      <c r="AQ224" s="28" t="e">
        <f t="shared" ca="1" si="2130"/>
        <v>#NAME?</v>
      </c>
      <c r="AR224" s="28" t="e">
        <f t="shared" ca="1" si="2130"/>
        <v>#NAME?</v>
      </c>
      <c r="AS224" s="28" t="e">
        <f t="shared" ca="1" si="2130"/>
        <v>#NAME?</v>
      </c>
      <c r="AT224" s="28" t="e">
        <f t="shared" ca="1" si="2130"/>
        <v>#NAME?</v>
      </c>
      <c r="AU224" s="28" t="e">
        <f t="shared" ca="1" si="2130"/>
        <v>#NAME?</v>
      </c>
      <c r="AV224" s="28" t="e">
        <f t="shared" ca="1" si="2130"/>
        <v>#NAME?</v>
      </c>
      <c r="AW224" s="28" t="e">
        <f t="shared" ca="1" si="2130"/>
        <v>#NAME?</v>
      </c>
      <c r="AX224" s="28" t="e">
        <f t="shared" ca="1" si="2130"/>
        <v>#NAME?</v>
      </c>
      <c r="AY224" s="28" t="e">
        <f t="shared" ca="1" si="2130"/>
        <v>#NAME?</v>
      </c>
      <c r="AZ224" s="28" t="e">
        <f t="shared" ca="1" si="2130"/>
        <v>#NAME?</v>
      </c>
      <c r="BA224" s="28" t="e">
        <f t="shared" ca="1" si="2130"/>
        <v>#NAME?</v>
      </c>
      <c r="BB224" s="28" t="e">
        <f t="shared" ca="1" si="2130"/>
        <v>#NAME?</v>
      </c>
      <c r="BC224" s="28" t="e">
        <f t="shared" ca="1" si="2130"/>
        <v>#NAME?</v>
      </c>
      <c r="BD224" s="28" t="e">
        <f t="shared" ca="1" si="2130"/>
        <v>#NAME?</v>
      </c>
      <c r="BE224" s="28" t="e">
        <f t="shared" ca="1" si="2130"/>
        <v>#NAME?</v>
      </c>
      <c r="BF224" s="28" t="e">
        <f t="shared" ca="1" si="2130"/>
        <v>#NAME?</v>
      </c>
      <c r="BG224" s="28" t="e">
        <f t="shared" ca="1" si="2130"/>
        <v>#NAME?</v>
      </c>
      <c r="BH224" s="28" t="e">
        <f t="shared" ca="1" si="2130"/>
        <v>#NAME?</v>
      </c>
      <c r="BI224" s="28" t="e">
        <f t="shared" ca="1" si="2130"/>
        <v>#NAME?</v>
      </c>
      <c r="BJ224" s="28" t="e">
        <f t="shared" ca="1" si="2130"/>
        <v>#NAME?</v>
      </c>
      <c r="BK224" s="28" t="e">
        <f t="shared" ca="1" si="2130"/>
        <v>#NAME?</v>
      </c>
      <c r="BL224" s="28" t="e">
        <f t="shared" ca="1" si="2130"/>
        <v>#NAME?</v>
      </c>
      <c r="BM224" s="28" t="e">
        <f t="shared" ca="1" si="2130"/>
        <v>#NAME?</v>
      </c>
      <c r="BN224" s="28" t="e">
        <f t="shared" ca="1" si="2130"/>
        <v>#NAME?</v>
      </c>
      <c r="BO224" s="28" t="e">
        <f t="shared" ca="1" si="2130"/>
        <v>#NAME?</v>
      </c>
      <c r="BP224" s="28" t="e">
        <f t="shared" ca="1" si="2130"/>
        <v>#NAME?</v>
      </c>
      <c r="BQ224" s="28" t="e">
        <f t="shared" ca="1" si="2130"/>
        <v>#NAME?</v>
      </c>
      <c r="BR224" s="28" t="e">
        <f t="shared" ca="1" si="2130"/>
        <v>#NAME?</v>
      </c>
      <c r="BS224" s="28" t="e">
        <f t="shared" ca="1" si="2130"/>
        <v>#NAME?</v>
      </c>
      <c r="BT224" s="28" t="e">
        <f t="shared" ca="1" si="2130"/>
        <v>#NAME?</v>
      </c>
      <c r="BU224" s="28" t="e">
        <f t="shared" ca="1" si="2130"/>
        <v>#NAME?</v>
      </c>
      <c r="BV224" s="28" t="e">
        <f t="shared" ca="1" si="2130"/>
        <v>#NAME?</v>
      </c>
      <c r="BW224" s="28" t="e">
        <f t="shared" ca="1" si="2130"/>
        <v>#NAME?</v>
      </c>
      <c r="BX224" s="28" t="e">
        <f t="shared" ca="1" si="2130"/>
        <v>#NAME?</v>
      </c>
      <c r="BY224" s="28" t="e">
        <f t="shared" ca="1" si="2130"/>
        <v>#NAME?</v>
      </c>
      <c r="BZ224" s="28" t="e">
        <f t="shared" ca="1" si="2130"/>
        <v>#NAME?</v>
      </c>
      <c r="CA224" s="28" t="e">
        <f t="shared" ca="1" si="2130"/>
        <v>#NAME?</v>
      </c>
      <c r="CB224" s="28" t="e">
        <f t="shared" ca="1" si="2130"/>
        <v>#NAME?</v>
      </c>
      <c r="CC224" s="28" t="e">
        <f t="shared" ca="1" si="2130"/>
        <v>#NAME?</v>
      </c>
      <c r="CD224" s="28" t="e">
        <f t="shared" ca="1" si="2130"/>
        <v>#NAME?</v>
      </c>
      <c r="CE224" s="28" t="e">
        <f t="shared" ref="CE224:CF224" ca="1" si="2131">CE223-CE174</f>
        <v>#NAME?</v>
      </c>
      <c r="CF224" s="28" t="e">
        <f t="shared" ca="1" si="2131"/>
        <v>#NAME?</v>
      </c>
      <c r="CG224" s="28" t="e">
        <f t="shared" ref="CG224:CH224" ca="1" si="2132">CG223-CG174</f>
        <v>#NAME?</v>
      </c>
      <c r="CH224" s="28" t="e">
        <f t="shared" ca="1" si="2132"/>
        <v>#NAME?</v>
      </c>
      <c r="CI224" s="28" t="e">
        <f t="shared" ref="CI224:CJ224" ca="1" si="2133">CI223-CI174</f>
        <v>#NAME?</v>
      </c>
      <c r="CJ224" s="28" t="e">
        <f t="shared" ca="1" si="2133"/>
        <v>#NAME?</v>
      </c>
      <c r="CK224" s="28" t="e">
        <f t="shared" ref="CK224:DB224" ca="1" si="2134">CK223-CK174</f>
        <v>#NAME?</v>
      </c>
      <c r="CL224" s="28" t="e">
        <f t="shared" ca="1" si="2134"/>
        <v>#NAME?</v>
      </c>
      <c r="CM224" s="30" t="e">
        <f t="shared" ca="1" si="2134"/>
        <v>#NAME?</v>
      </c>
      <c r="CN224" s="30" t="e">
        <f t="shared" ca="1" si="2134"/>
        <v>#NAME?</v>
      </c>
      <c r="CO224" s="30" t="e">
        <f t="shared" ca="1" si="2134"/>
        <v>#NAME?</v>
      </c>
      <c r="CP224" s="30" t="e">
        <f t="shared" ca="1" si="2134"/>
        <v>#NAME?</v>
      </c>
      <c r="CQ224" s="30" t="e">
        <f t="shared" ca="1" si="2134"/>
        <v>#NAME?</v>
      </c>
      <c r="CR224" s="30" t="e">
        <f t="shared" ca="1" si="2134"/>
        <v>#NAME?</v>
      </c>
      <c r="CS224" s="30" t="e">
        <f t="shared" ca="1" si="2134"/>
        <v>#NAME?</v>
      </c>
      <c r="CT224" s="30" t="e">
        <f t="shared" ca="1" si="2134"/>
        <v>#NAME?</v>
      </c>
      <c r="CU224" s="30" t="e">
        <f t="shared" ca="1" si="2134"/>
        <v>#NAME?</v>
      </c>
      <c r="CV224" s="30" t="e">
        <f t="shared" ca="1" si="2134"/>
        <v>#NAME?</v>
      </c>
      <c r="CW224" s="30" t="e">
        <f t="shared" ca="1" si="2134"/>
        <v>#NAME?</v>
      </c>
      <c r="CX224" s="30" t="e">
        <f t="shared" ca="1" si="2134"/>
        <v>#NAME?</v>
      </c>
      <c r="CY224" s="30" t="e">
        <f t="shared" ca="1" si="2134"/>
        <v>#NAME?</v>
      </c>
      <c r="CZ224" s="30" t="e">
        <f t="shared" ca="1" si="2134"/>
        <v>#NAME?</v>
      </c>
      <c r="DA224" s="30" t="e">
        <f t="shared" ca="1" si="2134"/>
        <v>#NAME?</v>
      </c>
      <c r="DB224" s="30" t="e">
        <f t="shared" ca="1" si="2134"/>
        <v>#NAME?</v>
      </c>
      <c r="DE224" s="139"/>
      <c r="DF224" s="28">
        <v>1.2505552149377763E-12</v>
      </c>
    </row>
    <row r="225" spans="1:110" s="23" customFormat="1" x14ac:dyDescent="0.2">
      <c r="AB225" s="24"/>
      <c r="AC225" s="24"/>
      <c r="AD225" s="24"/>
      <c r="AE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E225" s="123"/>
    </row>
    <row r="226" spans="1:110" s="22" customFormat="1" x14ac:dyDescent="0.2">
      <c r="A226" s="22" t="s">
        <v>96</v>
      </c>
      <c r="C226" s="22" t="e">
        <f t="shared" ref="C226:W226" ca="1" si="2135">C212+C214</f>
        <v>#NAME?</v>
      </c>
      <c r="D226" s="22" t="e">
        <f t="shared" ca="1" si="2135"/>
        <v>#NAME?</v>
      </c>
      <c r="E226" s="22" t="e">
        <f t="shared" ca="1" si="2135"/>
        <v>#NAME?</v>
      </c>
      <c r="F226" s="22" t="e">
        <f t="shared" ca="1" si="2135"/>
        <v>#NAME?</v>
      </c>
      <c r="G226" s="22" t="e">
        <f t="shared" ca="1" si="2135"/>
        <v>#NAME?</v>
      </c>
      <c r="H226" s="22" t="e">
        <f t="shared" ca="1" si="2135"/>
        <v>#NAME?</v>
      </c>
      <c r="I226" s="22" t="e">
        <f t="shared" ca="1" si="2135"/>
        <v>#NAME?</v>
      </c>
      <c r="J226" s="22" t="e">
        <f ca="1">J212+J214</f>
        <v>#NAME?</v>
      </c>
      <c r="K226" s="22" t="e">
        <f t="shared" ca="1" si="2135"/>
        <v>#NAME?</v>
      </c>
      <c r="L226" s="22" t="e">
        <f t="shared" ca="1" si="2135"/>
        <v>#NAME?</v>
      </c>
      <c r="M226" s="22" t="e">
        <f t="shared" ca="1" si="2135"/>
        <v>#NAME?</v>
      </c>
      <c r="N226" s="22" t="e">
        <f t="shared" ca="1" si="2135"/>
        <v>#NAME?</v>
      </c>
      <c r="O226" s="22" t="e">
        <f t="shared" ca="1" si="2135"/>
        <v>#NAME?</v>
      </c>
      <c r="P226" s="22" t="e">
        <f t="shared" ca="1" si="2135"/>
        <v>#NAME?</v>
      </c>
      <c r="Q226" s="22" t="e">
        <f t="shared" ca="1" si="2135"/>
        <v>#NAME?</v>
      </c>
      <c r="R226" s="22" t="e">
        <f t="shared" ca="1" si="2135"/>
        <v>#NAME?</v>
      </c>
      <c r="S226" s="22" t="e">
        <f t="shared" ca="1" si="2135"/>
        <v>#NAME?</v>
      </c>
      <c r="T226" s="22" t="e">
        <f t="shared" ca="1" si="2135"/>
        <v>#NAME?</v>
      </c>
      <c r="U226" s="22" t="e">
        <f t="shared" ca="1" si="2135"/>
        <v>#NAME?</v>
      </c>
      <c r="V226" s="22" t="e">
        <f t="shared" ca="1" si="2135"/>
        <v>#NAME?</v>
      </c>
      <c r="W226" s="22" t="e">
        <f t="shared" ca="1" si="2135"/>
        <v>#NAME?</v>
      </c>
      <c r="X226" s="22" t="e">
        <f t="shared" ref="X226:Y226" ca="1" si="2136">X212+X214</f>
        <v>#NAME?</v>
      </c>
      <c r="Y226" s="22" t="e">
        <f t="shared" ca="1" si="2136"/>
        <v>#NAME?</v>
      </c>
      <c r="Z226" s="22" t="e">
        <f t="shared" ref="Z226:AA226" ca="1" si="2137">Z212+Z214</f>
        <v>#NAME?</v>
      </c>
      <c r="AA226" s="22" t="e">
        <f t="shared" ca="1" si="2137"/>
        <v>#NAME?</v>
      </c>
      <c r="AB226" s="21" t="e">
        <f t="shared" ref="AA226:AD226" ca="1" si="2138">AB212+AB214</f>
        <v>#NAME?</v>
      </c>
      <c r="AC226" s="21" t="e">
        <f t="shared" ca="1" si="2138"/>
        <v>#NAME?</v>
      </c>
      <c r="AD226" s="21" t="e">
        <f t="shared" ca="1" si="2138"/>
        <v>#NAME?</v>
      </c>
      <c r="AE226" s="21" t="e">
        <f t="shared" ref="AE226" ca="1" si="2139">AE212+AE214</f>
        <v>#NAME?</v>
      </c>
      <c r="AI226" s="22" t="e">
        <f t="shared" ref="AI226" ca="1" si="2140">AI212+AI214</f>
        <v>#NAME?</v>
      </c>
      <c r="AJ226" s="22" t="e">
        <f t="shared" ref="AJ226:AL226" ca="1" si="2141">AJ212+AJ214</f>
        <v>#NAME?</v>
      </c>
      <c r="AK226" s="22" t="e">
        <f t="shared" ca="1" si="2141"/>
        <v>#NAME?</v>
      </c>
      <c r="AL226" s="22" t="e">
        <f t="shared" ca="1" si="2141"/>
        <v>#NAME?</v>
      </c>
      <c r="AM226" s="22" t="e">
        <f t="shared" ref="AM226" ca="1" si="2142">AM212+AM214</f>
        <v>#NAME?</v>
      </c>
      <c r="AN226" s="22" t="e">
        <f t="shared" ref="AN226:CD226" ca="1" si="2143">AN212+AN214</f>
        <v>#NAME?</v>
      </c>
      <c r="AO226" s="22" t="e">
        <f t="shared" ca="1" si="2143"/>
        <v>#NAME?</v>
      </c>
      <c r="AP226" s="22" t="e">
        <f t="shared" ca="1" si="2143"/>
        <v>#NAME?</v>
      </c>
      <c r="AQ226" s="22" t="e">
        <f t="shared" ca="1" si="2143"/>
        <v>#NAME?</v>
      </c>
      <c r="AR226" s="22" t="e">
        <f t="shared" ca="1" si="2143"/>
        <v>#NAME?</v>
      </c>
      <c r="AS226" s="22" t="e">
        <f t="shared" ca="1" si="2143"/>
        <v>#NAME?</v>
      </c>
      <c r="AT226" s="22" t="e">
        <f t="shared" ca="1" si="2143"/>
        <v>#NAME?</v>
      </c>
      <c r="AU226" s="22" t="e">
        <f t="shared" ca="1" si="2143"/>
        <v>#NAME?</v>
      </c>
      <c r="AV226" s="22" t="e">
        <f t="shared" ca="1" si="2143"/>
        <v>#NAME?</v>
      </c>
      <c r="AW226" s="22" t="e">
        <f t="shared" ca="1" si="2143"/>
        <v>#NAME?</v>
      </c>
      <c r="AX226" s="22" t="e">
        <f t="shared" ca="1" si="2143"/>
        <v>#NAME?</v>
      </c>
      <c r="AY226" s="22" t="e">
        <f t="shared" ca="1" si="2143"/>
        <v>#NAME?</v>
      </c>
      <c r="AZ226" s="22" t="e">
        <f t="shared" ca="1" si="2143"/>
        <v>#NAME?</v>
      </c>
      <c r="BA226" s="22" t="e">
        <f t="shared" ca="1" si="2143"/>
        <v>#NAME?</v>
      </c>
      <c r="BB226" s="22" t="e">
        <f t="shared" ca="1" si="2143"/>
        <v>#NAME?</v>
      </c>
      <c r="BC226" s="22" t="e">
        <f t="shared" ca="1" si="2143"/>
        <v>#NAME?</v>
      </c>
      <c r="BD226" s="22" t="e">
        <f t="shared" ca="1" si="2143"/>
        <v>#NAME?</v>
      </c>
      <c r="BE226" s="22" t="e">
        <f t="shared" ca="1" si="2143"/>
        <v>#NAME?</v>
      </c>
      <c r="BF226" s="22" t="e">
        <f t="shared" ca="1" si="2143"/>
        <v>#NAME?</v>
      </c>
      <c r="BG226" s="22" t="e">
        <f t="shared" ca="1" si="2143"/>
        <v>#NAME?</v>
      </c>
      <c r="BH226" s="22" t="e">
        <f t="shared" ca="1" si="2143"/>
        <v>#NAME?</v>
      </c>
      <c r="BI226" s="22" t="e">
        <f t="shared" ca="1" si="2143"/>
        <v>#NAME?</v>
      </c>
      <c r="BJ226" s="22" t="e">
        <f t="shared" ca="1" si="2143"/>
        <v>#NAME?</v>
      </c>
      <c r="BK226" s="22" t="e">
        <f t="shared" ca="1" si="2143"/>
        <v>#NAME?</v>
      </c>
      <c r="BL226" s="22" t="e">
        <f t="shared" ca="1" si="2143"/>
        <v>#NAME?</v>
      </c>
      <c r="BM226" s="22" t="e">
        <f t="shared" ca="1" si="2143"/>
        <v>#NAME?</v>
      </c>
      <c r="BN226" s="22" t="e">
        <f t="shared" ca="1" si="2143"/>
        <v>#NAME?</v>
      </c>
      <c r="BO226" s="22" t="e">
        <f t="shared" ca="1" si="2143"/>
        <v>#NAME?</v>
      </c>
      <c r="BP226" s="22" t="e">
        <f t="shared" ca="1" si="2143"/>
        <v>#NAME?</v>
      </c>
      <c r="BQ226" s="22" t="e">
        <f t="shared" ca="1" si="2143"/>
        <v>#NAME?</v>
      </c>
      <c r="BR226" s="22" t="e">
        <f t="shared" ca="1" si="2143"/>
        <v>#NAME?</v>
      </c>
      <c r="BS226" s="22" t="e">
        <f t="shared" ca="1" si="2143"/>
        <v>#NAME?</v>
      </c>
      <c r="BT226" s="22" t="e">
        <f t="shared" ca="1" si="2143"/>
        <v>#NAME?</v>
      </c>
      <c r="BU226" s="22" t="e">
        <f t="shared" ca="1" si="2143"/>
        <v>#NAME?</v>
      </c>
      <c r="BV226" s="22" t="e">
        <f t="shared" ca="1" si="2143"/>
        <v>#NAME?</v>
      </c>
      <c r="BW226" s="22" t="e">
        <f t="shared" ca="1" si="2143"/>
        <v>#NAME?</v>
      </c>
      <c r="BX226" s="22" t="e">
        <f t="shared" ca="1" si="2143"/>
        <v>#NAME?</v>
      </c>
      <c r="BY226" s="22" t="e">
        <f t="shared" ca="1" si="2143"/>
        <v>#NAME?</v>
      </c>
      <c r="BZ226" s="22" t="e">
        <f t="shared" ca="1" si="2143"/>
        <v>#NAME?</v>
      </c>
      <c r="CA226" s="22" t="e">
        <f t="shared" ca="1" si="2143"/>
        <v>#NAME?</v>
      </c>
      <c r="CB226" s="22" t="e">
        <f t="shared" ca="1" si="2143"/>
        <v>#NAME?</v>
      </c>
      <c r="CC226" s="22" t="e">
        <f t="shared" ca="1" si="2143"/>
        <v>#NAME?</v>
      </c>
      <c r="CD226" s="22" t="e">
        <f t="shared" ca="1" si="2143"/>
        <v>#NAME?</v>
      </c>
      <c r="CE226" s="22" t="e">
        <f t="shared" ref="CE226:CF226" ca="1" si="2144">CE212+CE214</f>
        <v>#NAME?</v>
      </c>
      <c r="CF226" s="22" t="e">
        <f t="shared" ca="1" si="2144"/>
        <v>#NAME?</v>
      </c>
      <c r="CG226" s="22" t="e">
        <f t="shared" ref="CG226:CH226" ca="1" si="2145">CG212+CG214</f>
        <v>#NAME?</v>
      </c>
      <c r="CH226" s="22" t="e">
        <f t="shared" ca="1" si="2145"/>
        <v>#NAME?</v>
      </c>
      <c r="CI226" s="22" t="e">
        <f t="shared" ref="CI226:CJ226" ca="1" si="2146">CI212+CI214</f>
        <v>#NAME?</v>
      </c>
      <c r="CJ226" s="22" t="e">
        <f t="shared" ca="1" si="2146"/>
        <v>#NAME?</v>
      </c>
      <c r="CK226" s="22" t="e">
        <f t="shared" ref="CK226:DB226" ca="1" si="2147">CK212+CK214</f>
        <v>#NAME?</v>
      </c>
      <c r="CL226" s="22" t="e">
        <f t="shared" ca="1" si="2147"/>
        <v>#NAME?</v>
      </c>
      <c r="CM226" s="21" t="e">
        <f t="shared" ca="1" si="2147"/>
        <v>#NAME?</v>
      </c>
      <c r="CN226" s="21" t="e">
        <f t="shared" ca="1" si="2147"/>
        <v>#NAME?</v>
      </c>
      <c r="CO226" s="21" t="e">
        <f t="shared" ca="1" si="2147"/>
        <v>#NAME?</v>
      </c>
      <c r="CP226" s="21" t="e">
        <f t="shared" ca="1" si="2147"/>
        <v>#NAME?</v>
      </c>
      <c r="CQ226" s="21" t="e">
        <f t="shared" ca="1" si="2147"/>
        <v>#NAME?</v>
      </c>
      <c r="CR226" s="21" t="e">
        <f t="shared" ca="1" si="2147"/>
        <v>#NAME?</v>
      </c>
      <c r="CS226" s="21" t="e">
        <f t="shared" ca="1" si="2147"/>
        <v>#NAME?</v>
      </c>
      <c r="CT226" s="21" t="e">
        <f t="shared" ca="1" si="2147"/>
        <v>#NAME?</v>
      </c>
      <c r="CU226" s="21" t="e">
        <f t="shared" ca="1" si="2147"/>
        <v>#NAME?</v>
      </c>
      <c r="CV226" s="21" t="e">
        <f t="shared" ca="1" si="2147"/>
        <v>#NAME?</v>
      </c>
      <c r="CW226" s="21" t="e">
        <f t="shared" ca="1" si="2147"/>
        <v>#NAME?</v>
      </c>
      <c r="CX226" s="21" t="e">
        <f t="shared" ca="1" si="2147"/>
        <v>#NAME?</v>
      </c>
      <c r="CY226" s="21" t="e">
        <f t="shared" ca="1" si="2147"/>
        <v>#NAME?</v>
      </c>
      <c r="CZ226" s="21" t="e">
        <f t="shared" ca="1" si="2147"/>
        <v>#NAME?</v>
      </c>
      <c r="DA226" s="21" t="e">
        <f t="shared" ca="1" si="2147"/>
        <v>#NAME?</v>
      </c>
      <c r="DB226" s="21" t="e">
        <f t="shared" ca="1" si="2147"/>
        <v>#NAME?</v>
      </c>
      <c r="DE226" s="126"/>
      <c r="DF226" s="22">
        <v>-10509.059999999994</v>
      </c>
    </row>
    <row r="227" spans="1:110" x14ac:dyDescent="0.2">
      <c r="A227" s="152" t="s">
        <v>496</v>
      </c>
      <c r="AA227" s="2"/>
      <c r="CL227" s="2"/>
    </row>
    <row r="228" spans="1:110" x14ac:dyDescent="0.2">
      <c r="AA228" s="2"/>
      <c r="CL228" s="2"/>
    </row>
    <row r="229" spans="1:110" s="7" customFormat="1" hidden="1" outlineLevel="1" x14ac:dyDescent="0.2">
      <c r="A229" s="61" t="s">
        <v>97</v>
      </c>
      <c r="AB229" s="77"/>
      <c r="AC229" s="77"/>
      <c r="AD229" s="77"/>
      <c r="AE229" s="77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E229" s="138"/>
    </row>
    <row r="230" spans="1:110" s="62" customFormat="1" hidden="1" outlineLevel="1" x14ac:dyDescent="0.2">
      <c r="A230" s="62" t="s">
        <v>98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2" customFormat="1" hidden="1" outlineLevel="1" x14ac:dyDescent="0.2">
      <c r="A231" s="62" t="s">
        <v>99</v>
      </c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62" customFormat="1" hidden="1" outlineLevel="1" x14ac:dyDescent="0.2">
      <c r="A232" s="62" t="s">
        <v>100</v>
      </c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2" customFormat="1" hidden="1" outlineLevel="1" x14ac:dyDescent="0.2"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2" customFormat="1" hidden="1" outlineLevel="1" x14ac:dyDescent="0.2"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11" customFormat="1" collapsed="1" x14ac:dyDescent="0.2"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83" customFormat="1" x14ac:dyDescent="0.2">
      <c r="A237" s="82" t="s">
        <v>101</v>
      </c>
      <c r="AB237" s="72"/>
      <c r="AC237" s="72"/>
      <c r="AD237" s="72"/>
      <c r="AE237" s="72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6" customFormat="1" x14ac:dyDescent="0.2">
      <c r="A238" s="66" t="s">
        <v>471</v>
      </c>
      <c r="AB238" s="50"/>
      <c r="AC238" s="50"/>
      <c r="AD238" s="50"/>
      <c r="AE238" s="50"/>
      <c r="AL238" s="66" t="e">
        <f t="shared" ref="AL238:BQ238" ca="1" si="2148">SUM(AI18:AL18)</f>
        <v>#NAME?</v>
      </c>
      <c r="AM238" s="66" t="e">
        <f t="shared" ca="1" si="2148"/>
        <v>#NAME?</v>
      </c>
      <c r="AN238" s="66" t="e">
        <f t="shared" ca="1" si="2148"/>
        <v>#NAME?</v>
      </c>
      <c r="AO238" s="66" t="e">
        <f t="shared" ca="1" si="2148"/>
        <v>#NAME?</v>
      </c>
      <c r="AP238" s="66" t="e">
        <f t="shared" ca="1" si="2148"/>
        <v>#NAME?</v>
      </c>
      <c r="AQ238" s="66" t="e">
        <f t="shared" ca="1" si="2148"/>
        <v>#NAME?</v>
      </c>
      <c r="AR238" s="66" t="e">
        <f t="shared" ca="1" si="2148"/>
        <v>#NAME?</v>
      </c>
      <c r="AS238" s="66" t="e">
        <f t="shared" ca="1" si="2148"/>
        <v>#NAME?</v>
      </c>
      <c r="AT238" s="66" t="e">
        <f t="shared" ca="1" si="2148"/>
        <v>#NAME?</v>
      </c>
      <c r="AU238" s="66" t="e">
        <f t="shared" ca="1" si="2148"/>
        <v>#NAME?</v>
      </c>
      <c r="AV238" s="66" t="e">
        <f t="shared" ca="1" si="2148"/>
        <v>#NAME?</v>
      </c>
      <c r="AW238" s="66" t="e">
        <f t="shared" ca="1" si="2148"/>
        <v>#NAME?</v>
      </c>
      <c r="AX238" s="66" t="e">
        <f t="shared" ca="1" si="2148"/>
        <v>#NAME?</v>
      </c>
      <c r="AY238" s="66" t="e">
        <f t="shared" ca="1" si="2148"/>
        <v>#NAME?</v>
      </c>
      <c r="AZ238" s="66" t="e">
        <f t="shared" ca="1" si="2148"/>
        <v>#NAME?</v>
      </c>
      <c r="BA238" s="66" t="e">
        <f t="shared" ca="1" si="2148"/>
        <v>#NAME?</v>
      </c>
      <c r="BB238" s="66" t="e">
        <f t="shared" ca="1" si="2148"/>
        <v>#NAME?</v>
      </c>
      <c r="BC238" s="66" t="e">
        <f t="shared" ca="1" si="2148"/>
        <v>#NAME?</v>
      </c>
      <c r="BD238" s="66" t="e">
        <f t="shared" ca="1" si="2148"/>
        <v>#NAME?</v>
      </c>
      <c r="BE238" s="66" t="e">
        <f t="shared" ca="1" si="2148"/>
        <v>#NAME?</v>
      </c>
      <c r="BF238" s="66" t="e">
        <f t="shared" ca="1" si="2148"/>
        <v>#NAME?</v>
      </c>
      <c r="BG238" s="66" t="e">
        <f t="shared" ca="1" si="2148"/>
        <v>#NAME?</v>
      </c>
      <c r="BH238" s="66" t="e">
        <f t="shared" ca="1" si="2148"/>
        <v>#NAME?</v>
      </c>
      <c r="BI238" s="66" t="e">
        <f t="shared" ca="1" si="2148"/>
        <v>#NAME?</v>
      </c>
      <c r="BJ238" s="66" t="e">
        <f t="shared" ca="1" si="2148"/>
        <v>#NAME?</v>
      </c>
      <c r="BK238" s="66" t="e">
        <f t="shared" ca="1" si="2148"/>
        <v>#NAME?</v>
      </c>
      <c r="BL238" s="66" t="e">
        <f t="shared" ca="1" si="2148"/>
        <v>#NAME?</v>
      </c>
      <c r="BM238" s="66" t="e">
        <f t="shared" ca="1" si="2148"/>
        <v>#NAME?</v>
      </c>
      <c r="BN238" s="66" t="e">
        <f t="shared" ca="1" si="2148"/>
        <v>#NAME?</v>
      </c>
      <c r="BO238" s="66" t="e">
        <f t="shared" ca="1" si="2148"/>
        <v>#NAME?</v>
      </c>
      <c r="BP238" s="66" t="e">
        <f t="shared" ca="1" si="2148"/>
        <v>#NAME?</v>
      </c>
      <c r="BQ238" s="66" t="e">
        <f t="shared" ca="1" si="2148"/>
        <v>#NAME?</v>
      </c>
      <c r="BR238" s="66" t="e">
        <f t="shared" ref="BR238:CW238" ca="1" si="2149">SUM(BO18:BR18)</f>
        <v>#NAME?</v>
      </c>
      <c r="BS238" s="66" t="e">
        <f t="shared" ca="1" si="2149"/>
        <v>#NAME?</v>
      </c>
      <c r="BT238" s="66" t="e">
        <f t="shared" ca="1" si="2149"/>
        <v>#NAME?</v>
      </c>
      <c r="BU238" s="66" t="e">
        <f t="shared" ca="1" si="2149"/>
        <v>#NAME?</v>
      </c>
      <c r="BV238" s="66" t="e">
        <f t="shared" ca="1" si="2149"/>
        <v>#NAME?</v>
      </c>
      <c r="BW238" s="66" t="e">
        <f t="shared" ca="1" si="2149"/>
        <v>#NAME?</v>
      </c>
      <c r="BX238" s="66" t="e">
        <f t="shared" ca="1" si="2149"/>
        <v>#NAME?</v>
      </c>
      <c r="BY238" s="66" t="e">
        <f t="shared" ca="1" si="2149"/>
        <v>#NAME?</v>
      </c>
      <c r="BZ238" s="66" t="e">
        <f t="shared" ca="1" si="2149"/>
        <v>#NAME?</v>
      </c>
      <c r="CA238" s="66" t="e">
        <f t="shared" ca="1" si="2149"/>
        <v>#NAME?</v>
      </c>
      <c r="CB238" s="66" t="e">
        <f t="shared" ca="1" si="2149"/>
        <v>#NAME?</v>
      </c>
      <c r="CC238" s="66" t="e">
        <f t="shared" ca="1" si="2149"/>
        <v>#NAME?</v>
      </c>
      <c r="CD238" s="66" t="e">
        <f t="shared" ca="1" si="2149"/>
        <v>#NAME?</v>
      </c>
      <c r="CE238" s="66" t="e">
        <f t="shared" ca="1" si="2149"/>
        <v>#NAME?</v>
      </c>
      <c r="CF238" s="66" t="e">
        <f t="shared" ca="1" si="2149"/>
        <v>#NAME?</v>
      </c>
      <c r="CG238" s="66" t="e">
        <f t="shared" ca="1" si="2149"/>
        <v>#NAME?</v>
      </c>
      <c r="CH238" s="66" t="e">
        <f t="shared" ca="1" si="2149"/>
        <v>#NAME?</v>
      </c>
      <c r="CI238" s="66" t="e">
        <f t="shared" ca="1" si="2149"/>
        <v>#NAME?</v>
      </c>
      <c r="CJ238" s="66" t="e">
        <f t="shared" ca="1" si="2149"/>
        <v>#NAME?</v>
      </c>
      <c r="CK238" s="66" t="e">
        <f t="shared" ca="1" si="2149"/>
        <v>#NAME?</v>
      </c>
      <c r="CL238" s="66" t="e">
        <f t="shared" ca="1" si="2149"/>
        <v>#NAME?</v>
      </c>
      <c r="CM238" s="50" t="e">
        <f t="shared" ca="1" si="2149"/>
        <v>#NAME?</v>
      </c>
      <c r="CN238" s="50" t="e">
        <f t="shared" ca="1" si="2149"/>
        <v>#NAME?</v>
      </c>
      <c r="CO238" s="50" t="e">
        <f t="shared" ca="1" si="2149"/>
        <v>#NAME?</v>
      </c>
      <c r="CP238" s="50" t="e">
        <f t="shared" ca="1" si="2149"/>
        <v>#NAME?</v>
      </c>
      <c r="CQ238" s="50" t="e">
        <f t="shared" ca="1" si="2149"/>
        <v>#NAME?</v>
      </c>
      <c r="CR238" s="50" t="e">
        <f t="shared" ca="1" si="2149"/>
        <v>#NAME?</v>
      </c>
      <c r="CS238" s="50" t="e">
        <f t="shared" ca="1" si="2149"/>
        <v>#NAME?</v>
      </c>
      <c r="CT238" s="50" t="e">
        <f t="shared" ca="1" si="2149"/>
        <v>#NAME?</v>
      </c>
      <c r="CU238" s="50" t="e">
        <f t="shared" ca="1" si="2149"/>
        <v>#NAME?</v>
      </c>
      <c r="CV238" s="50" t="e">
        <f t="shared" ca="1" si="2149"/>
        <v>#NAME?</v>
      </c>
      <c r="CW238" s="50" t="e">
        <f t="shared" ca="1" si="2149"/>
        <v>#NAME?</v>
      </c>
      <c r="CX238" s="50" t="e">
        <f t="shared" ref="CX238:DB238" ca="1" si="2150">SUM(CU18:CX18)</f>
        <v>#NAME?</v>
      </c>
      <c r="CY238" s="50" t="e">
        <f t="shared" ca="1" si="2150"/>
        <v>#NAME?</v>
      </c>
      <c r="CZ238" s="50" t="e">
        <f t="shared" ca="1" si="2150"/>
        <v>#NAME?</v>
      </c>
      <c r="DA238" s="50" t="e">
        <f t="shared" ca="1" si="2150"/>
        <v>#NAME?</v>
      </c>
      <c r="DB238" s="50" t="e">
        <f t="shared" ca="1" si="2150"/>
        <v>#NAME?</v>
      </c>
      <c r="DE238" s="138"/>
    </row>
    <row r="239" spans="1:110" s="66" customFormat="1" x14ac:dyDescent="0.2">
      <c r="A239" s="66" t="s">
        <v>472</v>
      </c>
      <c r="AB239" s="50"/>
      <c r="AC239" s="50"/>
      <c r="AD239" s="50"/>
      <c r="AE239" s="50"/>
      <c r="AL239" s="66" t="e">
        <f t="shared" ref="AL239:BQ239" ca="1" si="2151">SUM(AI36:AL36)</f>
        <v>#NAME?</v>
      </c>
      <c r="AM239" s="66" t="e">
        <f t="shared" ca="1" si="2151"/>
        <v>#NAME?</v>
      </c>
      <c r="AN239" s="66" t="e">
        <f t="shared" ca="1" si="2151"/>
        <v>#NAME?</v>
      </c>
      <c r="AO239" s="66" t="e">
        <f t="shared" ca="1" si="2151"/>
        <v>#NAME?</v>
      </c>
      <c r="AP239" s="66" t="e">
        <f t="shared" ca="1" si="2151"/>
        <v>#NAME?</v>
      </c>
      <c r="AQ239" s="66" t="e">
        <f t="shared" ca="1" si="2151"/>
        <v>#NAME?</v>
      </c>
      <c r="AR239" s="66" t="e">
        <f t="shared" ca="1" si="2151"/>
        <v>#NAME?</v>
      </c>
      <c r="AS239" s="66" t="e">
        <f t="shared" ca="1" si="2151"/>
        <v>#NAME?</v>
      </c>
      <c r="AT239" s="66" t="e">
        <f t="shared" ca="1" si="2151"/>
        <v>#NAME?</v>
      </c>
      <c r="AU239" s="66" t="e">
        <f t="shared" ca="1" si="2151"/>
        <v>#NAME?</v>
      </c>
      <c r="AV239" s="66" t="e">
        <f t="shared" ca="1" si="2151"/>
        <v>#NAME?</v>
      </c>
      <c r="AW239" s="66" t="e">
        <f t="shared" ca="1" si="2151"/>
        <v>#NAME?</v>
      </c>
      <c r="AX239" s="66" t="e">
        <f t="shared" ca="1" si="2151"/>
        <v>#NAME?</v>
      </c>
      <c r="AY239" s="66" t="e">
        <f t="shared" ca="1" si="2151"/>
        <v>#NAME?</v>
      </c>
      <c r="AZ239" s="66" t="e">
        <f t="shared" ca="1" si="2151"/>
        <v>#NAME?</v>
      </c>
      <c r="BA239" s="66" t="e">
        <f t="shared" ca="1" si="2151"/>
        <v>#NAME?</v>
      </c>
      <c r="BB239" s="66" t="e">
        <f t="shared" ca="1" si="2151"/>
        <v>#NAME?</v>
      </c>
      <c r="BC239" s="66" t="e">
        <f t="shared" ca="1" si="2151"/>
        <v>#NAME?</v>
      </c>
      <c r="BD239" s="66" t="e">
        <f t="shared" ca="1" si="2151"/>
        <v>#NAME?</v>
      </c>
      <c r="BE239" s="66" t="e">
        <f t="shared" ca="1" si="2151"/>
        <v>#NAME?</v>
      </c>
      <c r="BF239" s="66" t="e">
        <f t="shared" ca="1" si="2151"/>
        <v>#NAME?</v>
      </c>
      <c r="BG239" s="66" t="e">
        <f t="shared" ca="1" si="2151"/>
        <v>#NAME?</v>
      </c>
      <c r="BH239" s="66" t="e">
        <f t="shared" ca="1" si="2151"/>
        <v>#NAME?</v>
      </c>
      <c r="BI239" s="66" t="e">
        <f t="shared" ca="1" si="2151"/>
        <v>#NAME?</v>
      </c>
      <c r="BJ239" s="66" t="e">
        <f t="shared" ca="1" si="2151"/>
        <v>#NAME?</v>
      </c>
      <c r="BK239" s="66" t="e">
        <f t="shared" ca="1" si="2151"/>
        <v>#NAME?</v>
      </c>
      <c r="BL239" s="66" t="e">
        <f t="shared" ca="1" si="2151"/>
        <v>#NAME?</v>
      </c>
      <c r="BM239" s="66" t="e">
        <f t="shared" ca="1" si="2151"/>
        <v>#NAME?</v>
      </c>
      <c r="BN239" s="66" t="e">
        <f t="shared" ca="1" si="2151"/>
        <v>#NAME?</v>
      </c>
      <c r="BO239" s="66" t="e">
        <f t="shared" ca="1" si="2151"/>
        <v>#NAME?</v>
      </c>
      <c r="BP239" s="66" t="e">
        <f t="shared" ca="1" si="2151"/>
        <v>#NAME?</v>
      </c>
      <c r="BQ239" s="66" t="e">
        <f t="shared" ca="1" si="2151"/>
        <v>#NAME?</v>
      </c>
      <c r="BR239" s="66" t="e">
        <f t="shared" ref="BR239:CW239" ca="1" si="2152">SUM(BO36:BR36)</f>
        <v>#NAME?</v>
      </c>
      <c r="BS239" s="66" t="e">
        <f t="shared" ca="1" si="2152"/>
        <v>#NAME?</v>
      </c>
      <c r="BT239" s="66" t="e">
        <f t="shared" ca="1" si="2152"/>
        <v>#NAME?</v>
      </c>
      <c r="BU239" s="66" t="e">
        <f t="shared" ca="1" si="2152"/>
        <v>#NAME?</v>
      </c>
      <c r="BV239" s="66" t="e">
        <f t="shared" ca="1" si="2152"/>
        <v>#NAME?</v>
      </c>
      <c r="BW239" s="66" t="e">
        <f t="shared" ca="1" si="2152"/>
        <v>#NAME?</v>
      </c>
      <c r="BX239" s="66" t="e">
        <f t="shared" ca="1" si="2152"/>
        <v>#NAME?</v>
      </c>
      <c r="BY239" s="66" t="e">
        <f t="shared" ca="1" si="2152"/>
        <v>#NAME?</v>
      </c>
      <c r="BZ239" s="66" t="e">
        <f t="shared" ca="1" si="2152"/>
        <v>#NAME?</v>
      </c>
      <c r="CA239" s="66" t="e">
        <f t="shared" ca="1" si="2152"/>
        <v>#NAME?</v>
      </c>
      <c r="CB239" s="66" t="e">
        <f t="shared" ca="1" si="2152"/>
        <v>#NAME?</v>
      </c>
      <c r="CC239" s="66" t="e">
        <f t="shared" ca="1" si="2152"/>
        <v>#NAME?</v>
      </c>
      <c r="CD239" s="66" t="e">
        <f t="shared" ca="1" si="2152"/>
        <v>#NAME?</v>
      </c>
      <c r="CE239" s="66" t="e">
        <f t="shared" ca="1" si="2152"/>
        <v>#NAME?</v>
      </c>
      <c r="CF239" s="66" t="e">
        <f t="shared" ca="1" si="2152"/>
        <v>#NAME?</v>
      </c>
      <c r="CG239" s="66" t="e">
        <f t="shared" ca="1" si="2152"/>
        <v>#NAME?</v>
      </c>
      <c r="CH239" s="66" t="e">
        <f t="shared" ca="1" si="2152"/>
        <v>#NAME?</v>
      </c>
      <c r="CI239" s="66" t="e">
        <f t="shared" ca="1" si="2152"/>
        <v>#NAME?</v>
      </c>
      <c r="CJ239" s="66" t="e">
        <f t="shared" ca="1" si="2152"/>
        <v>#NAME?</v>
      </c>
      <c r="CK239" s="66" t="e">
        <f t="shared" ca="1" si="2152"/>
        <v>#NAME?</v>
      </c>
      <c r="CL239" s="66" t="e">
        <f t="shared" ca="1" si="2152"/>
        <v>#NAME?</v>
      </c>
      <c r="CM239" s="50" t="e">
        <f t="shared" ca="1" si="2152"/>
        <v>#NAME?</v>
      </c>
      <c r="CN239" s="50" t="e">
        <f t="shared" ca="1" si="2152"/>
        <v>#NAME?</v>
      </c>
      <c r="CO239" s="50" t="e">
        <f t="shared" ca="1" si="2152"/>
        <v>#NAME?</v>
      </c>
      <c r="CP239" s="50" t="e">
        <f t="shared" ca="1" si="2152"/>
        <v>#NAME?</v>
      </c>
      <c r="CQ239" s="50" t="e">
        <f t="shared" ca="1" si="2152"/>
        <v>#NAME?</v>
      </c>
      <c r="CR239" s="50" t="e">
        <f t="shared" ca="1" si="2152"/>
        <v>#NAME?</v>
      </c>
      <c r="CS239" s="50" t="e">
        <f t="shared" ca="1" si="2152"/>
        <v>#NAME?</v>
      </c>
      <c r="CT239" s="50" t="e">
        <f t="shared" ca="1" si="2152"/>
        <v>#NAME?</v>
      </c>
      <c r="CU239" s="50" t="e">
        <f t="shared" ca="1" si="2152"/>
        <v>#NAME?</v>
      </c>
      <c r="CV239" s="50" t="e">
        <f t="shared" ca="1" si="2152"/>
        <v>#NAME?</v>
      </c>
      <c r="CW239" s="50" t="e">
        <f t="shared" ca="1" si="2152"/>
        <v>#NAME?</v>
      </c>
      <c r="CX239" s="50" t="e">
        <f t="shared" ref="CX239:DB239" ca="1" si="2153">SUM(CU36:CX36)</f>
        <v>#NAME?</v>
      </c>
      <c r="CY239" s="50" t="e">
        <f t="shared" ca="1" si="2153"/>
        <v>#NAME?</v>
      </c>
      <c r="CZ239" s="50" t="e">
        <f t="shared" ca="1" si="2153"/>
        <v>#NAME?</v>
      </c>
      <c r="DA239" s="50" t="e">
        <f t="shared" ca="1" si="2153"/>
        <v>#NAME?</v>
      </c>
      <c r="DB239" s="50" t="e">
        <f t="shared" ca="1" si="2153"/>
        <v>#NAME?</v>
      </c>
      <c r="DE239" s="138"/>
    </row>
    <row r="240" spans="1:110" s="66" customFormat="1" x14ac:dyDescent="0.2">
      <c r="A240" s="66" t="s">
        <v>473</v>
      </c>
      <c r="AB240" s="50"/>
      <c r="AC240" s="50"/>
      <c r="AD240" s="50"/>
      <c r="AE240" s="50"/>
      <c r="AL240" s="66" t="e">
        <f t="shared" ref="AL240:BQ240" ca="1" si="2154">SUM(AI49:AL49)</f>
        <v>#NAME?</v>
      </c>
      <c r="AM240" s="66" t="e">
        <f t="shared" ca="1" si="2154"/>
        <v>#NAME?</v>
      </c>
      <c r="AN240" s="66" t="e">
        <f t="shared" ca="1" si="2154"/>
        <v>#NAME?</v>
      </c>
      <c r="AO240" s="66" t="e">
        <f t="shared" ca="1" si="2154"/>
        <v>#NAME?</v>
      </c>
      <c r="AP240" s="66" t="e">
        <f t="shared" ca="1" si="2154"/>
        <v>#NAME?</v>
      </c>
      <c r="AQ240" s="66" t="e">
        <f t="shared" ca="1" si="2154"/>
        <v>#NAME?</v>
      </c>
      <c r="AR240" s="66" t="e">
        <f t="shared" ca="1" si="2154"/>
        <v>#NAME?</v>
      </c>
      <c r="AS240" s="66" t="e">
        <f t="shared" ca="1" si="2154"/>
        <v>#NAME?</v>
      </c>
      <c r="AT240" s="66" t="e">
        <f t="shared" ca="1" si="2154"/>
        <v>#NAME?</v>
      </c>
      <c r="AU240" s="66" t="e">
        <f t="shared" ca="1" si="2154"/>
        <v>#NAME?</v>
      </c>
      <c r="AV240" s="66" t="e">
        <f t="shared" ca="1" si="2154"/>
        <v>#NAME?</v>
      </c>
      <c r="AW240" s="66" t="e">
        <f t="shared" ca="1" si="2154"/>
        <v>#NAME?</v>
      </c>
      <c r="AX240" s="66" t="e">
        <f t="shared" ca="1" si="2154"/>
        <v>#NAME?</v>
      </c>
      <c r="AY240" s="66" t="e">
        <f t="shared" ca="1" si="2154"/>
        <v>#NAME?</v>
      </c>
      <c r="AZ240" s="66" t="e">
        <f t="shared" ca="1" si="2154"/>
        <v>#NAME?</v>
      </c>
      <c r="BA240" s="66" t="e">
        <f t="shared" ca="1" si="2154"/>
        <v>#NAME?</v>
      </c>
      <c r="BB240" s="66" t="e">
        <f t="shared" ca="1" si="2154"/>
        <v>#NAME?</v>
      </c>
      <c r="BC240" s="66" t="e">
        <f t="shared" ca="1" si="2154"/>
        <v>#NAME?</v>
      </c>
      <c r="BD240" s="66" t="e">
        <f t="shared" ca="1" si="2154"/>
        <v>#NAME?</v>
      </c>
      <c r="BE240" s="66" t="e">
        <f t="shared" ca="1" si="2154"/>
        <v>#NAME?</v>
      </c>
      <c r="BF240" s="66" t="e">
        <f t="shared" ca="1" si="2154"/>
        <v>#NAME?</v>
      </c>
      <c r="BG240" s="66" t="e">
        <f t="shared" ca="1" si="2154"/>
        <v>#NAME?</v>
      </c>
      <c r="BH240" s="66" t="e">
        <f t="shared" ca="1" si="2154"/>
        <v>#NAME?</v>
      </c>
      <c r="BI240" s="66" t="e">
        <f t="shared" ca="1" si="2154"/>
        <v>#NAME?</v>
      </c>
      <c r="BJ240" s="66" t="e">
        <f t="shared" ca="1" si="2154"/>
        <v>#NAME?</v>
      </c>
      <c r="BK240" s="66" t="e">
        <f t="shared" ca="1" si="2154"/>
        <v>#NAME?</v>
      </c>
      <c r="BL240" s="66" t="e">
        <f t="shared" ca="1" si="2154"/>
        <v>#NAME?</v>
      </c>
      <c r="BM240" s="66" t="e">
        <f t="shared" ca="1" si="2154"/>
        <v>#NAME?</v>
      </c>
      <c r="BN240" s="66" t="e">
        <f t="shared" ca="1" si="2154"/>
        <v>#NAME?</v>
      </c>
      <c r="BO240" s="66" t="e">
        <f t="shared" ca="1" si="2154"/>
        <v>#NAME?</v>
      </c>
      <c r="BP240" s="66" t="e">
        <f t="shared" ca="1" si="2154"/>
        <v>#NAME?</v>
      </c>
      <c r="BQ240" s="66" t="e">
        <f t="shared" ca="1" si="2154"/>
        <v>#NAME?</v>
      </c>
      <c r="BR240" s="66" t="e">
        <f t="shared" ref="BR240:CW240" ca="1" si="2155">SUM(BO49:BR49)</f>
        <v>#NAME?</v>
      </c>
      <c r="BS240" s="66" t="e">
        <f t="shared" ca="1" si="2155"/>
        <v>#NAME?</v>
      </c>
      <c r="BT240" s="66" t="e">
        <f t="shared" ca="1" si="2155"/>
        <v>#NAME?</v>
      </c>
      <c r="BU240" s="66" t="e">
        <f t="shared" ca="1" si="2155"/>
        <v>#NAME?</v>
      </c>
      <c r="BV240" s="66" t="e">
        <f t="shared" ca="1" si="2155"/>
        <v>#NAME?</v>
      </c>
      <c r="BW240" s="66" t="e">
        <f t="shared" ca="1" si="2155"/>
        <v>#NAME?</v>
      </c>
      <c r="BX240" s="66" t="e">
        <f t="shared" ca="1" si="2155"/>
        <v>#NAME?</v>
      </c>
      <c r="BY240" s="66" t="e">
        <f t="shared" ca="1" si="2155"/>
        <v>#NAME?</v>
      </c>
      <c r="BZ240" s="66" t="e">
        <f t="shared" ca="1" si="2155"/>
        <v>#NAME?</v>
      </c>
      <c r="CA240" s="66" t="e">
        <f t="shared" ca="1" si="2155"/>
        <v>#NAME?</v>
      </c>
      <c r="CB240" s="66" t="e">
        <f t="shared" ca="1" si="2155"/>
        <v>#NAME?</v>
      </c>
      <c r="CC240" s="66" t="e">
        <f t="shared" ca="1" si="2155"/>
        <v>#NAME?</v>
      </c>
      <c r="CD240" s="66" t="e">
        <f t="shared" ca="1" si="2155"/>
        <v>#NAME?</v>
      </c>
      <c r="CE240" s="66" t="e">
        <f t="shared" ca="1" si="2155"/>
        <v>#NAME?</v>
      </c>
      <c r="CF240" s="66" t="e">
        <f t="shared" ca="1" si="2155"/>
        <v>#NAME?</v>
      </c>
      <c r="CG240" s="66" t="e">
        <f t="shared" ca="1" si="2155"/>
        <v>#NAME?</v>
      </c>
      <c r="CH240" s="66" t="e">
        <f t="shared" ca="1" si="2155"/>
        <v>#NAME?</v>
      </c>
      <c r="CI240" s="66" t="e">
        <f t="shared" ca="1" si="2155"/>
        <v>#NAME?</v>
      </c>
      <c r="CJ240" s="66" t="e">
        <f t="shared" ca="1" si="2155"/>
        <v>#NAME?</v>
      </c>
      <c r="CK240" s="66" t="e">
        <f t="shared" ca="1" si="2155"/>
        <v>#NAME?</v>
      </c>
      <c r="CL240" s="66" t="e">
        <f t="shared" ca="1" si="2155"/>
        <v>#NAME?</v>
      </c>
      <c r="CM240" s="50" t="e">
        <f t="shared" ca="1" si="2155"/>
        <v>#NAME?</v>
      </c>
      <c r="CN240" s="50" t="e">
        <f t="shared" ca="1" si="2155"/>
        <v>#NAME?</v>
      </c>
      <c r="CO240" s="50" t="e">
        <f t="shared" ca="1" si="2155"/>
        <v>#NAME?</v>
      </c>
      <c r="CP240" s="50" t="e">
        <f t="shared" ca="1" si="2155"/>
        <v>#NAME?</v>
      </c>
      <c r="CQ240" s="50" t="e">
        <f t="shared" ca="1" si="2155"/>
        <v>#NAME?</v>
      </c>
      <c r="CR240" s="50" t="e">
        <f t="shared" ca="1" si="2155"/>
        <v>#NAME?</v>
      </c>
      <c r="CS240" s="50" t="e">
        <f t="shared" ca="1" si="2155"/>
        <v>#NAME?</v>
      </c>
      <c r="CT240" s="50" t="e">
        <f t="shared" ca="1" si="2155"/>
        <v>#NAME?</v>
      </c>
      <c r="CU240" s="50" t="e">
        <f t="shared" ca="1" si="2155"/>
        <v>#NAME?</v>
      </c>
      <c r="CV240" s="50" t="e">
        <f t="shared" ca="1" si="2155"/>
        <v>#NAME?</v>
      </c>
      <c r="CW240" s="50" t="e">
        <f t="shared" ca="1" si="2155"/>
        <v>#NAME?</v>
      </c>
      <c r="CX240" s="50" t="e">
        <f t="shared" ref="CX240:DB240" ca="1" si="2156">SUM(CU49:CX49)</f>
        <v>#NAME?</v>
      </c>
      <c r="CY240" s="50" t="e">
        <f t="shared" ca="1" si="2156"/>
        <v>#NAME?</v>
      </c>
      <c r="CZ240" s="50" t="e">
        <f t="shared" ca="1" si="2156"/>
        <v>#NAME?</v>
      </c>
      <c r="DA240" s="50" t="e">
        <f t="shared" ca="1" si="2156"/>
        <v>#NAME?</v>
      </c>
      <c r="DB240" s="50" t="e">
        <f t="shared" ca="1" si="2156"/>
        <v>#NAME?</v>
      </c>
      <c r="DE240" s="138"/>
    </row>
    <row r="241" spans="1:109" s="93" customFormat="1" x14ac:dyDescent="0.2">
      <c r="AB241" s="30"/>
      <c r="AC241" s="30"/>
      <c r="AD241" s="30"/>
      <c r="AE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09" s="11" customFormat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09" s="62" customFormat="1" hidden="1" outlineLevel="1" x14ac:dyDescent="0.2">
      <c r="A243" s="61" t="s">
        <v>339</v>
      </c>
      <c r="AB243" s="63"/>
      <c r="AC243" s="63"/>
      <c r="AD243" s="63"/>
      <c r="AE243" s="63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09" s="64" customFormat="1" hidden="1" outlineLevel="1" x14ac:dyDescent="0.2">
      <c r="A244" s="64" t="s">
        <v>474</v>
      </c>
      <c r="B244" s="64" t="e">
        <f t="shared" ref="B244:Z244" ca="1" si="2157">B16-B250</f>
        <v>#NAME?</v>
      </c>
      <c r="C244" s="64" t="e">
        <f t="shared" ca="1" si="2157"/>
        <v>#NAME?</v>
      </c>
      <c r="D244" s="64" t="e">
        <f t="shared" ca="1" si="2157"/>
        <v>#NAME?</v>
      </c>
      <c r="E244" s="64" t="e">
        <f t="shared" ca="1" si="2157"/>
        <v>#NAME?</v>
      </c>
      <c r="F244" s="64" t="e">
        <f t="shared" ca="1" si="2157"/>
        <v>#NAME?</v>
      </c>
      <c r="G244" s="64" t="e">
        <f t="shared" ca="1" si="2157"/>
        <v>#NAME?</v>
      </c>
      <c r="H244" s="64" t="e">
        <f t="shared" ca="1" si="2157"/>
        <v>#NAME?</v>
      </c>
      <c r="I244" s="64" t="e">
        <f t="shared" ca="1" si="2157"/>
        <v>#NAME?</v>
      </c>
      <c r="J244" s="64" t="e">
        <f t="shared" ca="1" si="2157"/>
        <v>#NAME?</v>
      </c>
      <c r="K244" s="64" t="e">
        <f t="shared" ca="1" si="2157"/>
        <v>#NAME?</v>
      </c>
      <c r="L244" s="64" t="e">
        <f t="shared" ca="1" si="2157"/>
        <v>#NAME?</v>
      </c>
      <c r="M244" s="64" t="e">
        <f t="shared" ca="1" si="2157"/>
        <v>#NAME?</v>
      </c>
      <c r="N244" s="64" t="e">
        <f t="shared" ca="1" si="2157"/>
        <v>#NAME?</v>
      </c>
      <c r="O244" s="64" t="e">
        <f t="shared" ca="1" si="2157"/>
        <v>#NAME?</v>
      </c>
      <c r="P244" s="64" t="e">
        <f t="shared" ca="1" si="2157"/>
        <v>#NAME?</v>
      </c>
      <c r="Q244" s="64" t="e">
        <f t="shared" ca="1" si="2157"/>
        <v>#NAME?</v>
      </c>
      <c r="R244" s="64" t="e">
        <f t="shared" ca="1" si="2157"/>
        <v>#NAME?</v>
      </c>
      <c r="S244" s="64" t="e">
        <f t="shared" ca="1" si="2157"/>
        <v>#NAME?</v>
      </c>
      <c r="T244" s="64" t="e">
        <f t="shared" ca="1" si="2157"/>
        <v>#NAME?</v>
      </c>
      <c r="U244" s="64" t="e">
        <f t="shared" ca="1" si="2157"/>
        <v>#NAME?</v>
      </c>
      <c r="V244" s="64" t="e">
        <f t="shared" ca="1" si="2157"/>
        <v>#NAME?</v>
      </c>
      <c r="W244" s="64" t="e">
        <f t="shared" ca="1" si="2157"/>
        <v>#NAME?</v>
      </c>
      <c r="X244" s="64" t="e">
        <f t="shared" ca="1" si="2157"/>
        <v>#NAME?</v>
      </c>
      <c r="Y244" s="64" t="e">
        <f t="shared" ca="1" si="2157"/>
        <v>#NAME?</v>
      </c>
      <c r="Z244" s="64" t="e">
        <f t="shared" ca="1" si="2157"/>
        <v>#NAME?</v>
      </c>
      <c r="AA244" s="64" t="e">
        <f t="shared" ref="AA244" ca="1" si="2158">AA16-AA250</f>
        <v>#NAME?</v>
      </c>
      <c r="AB244" s="30"/>
      <c r="AC244" s="30"/>
      <c r="AD244" s="30"/>
      <c r="AE244" s="30"/>
      <c r="AI244" s="64" t="e">
        <f t="shared" ref="AI244:BN244" ca="1" si="2159">AI16-AI250</f>
        <v>#NAME?</v>
      </c>
      <c r="AJ244" s="64" t="e">
        <f t="shared" ca="1" si="2159"/>
        <v>#NAME?</v>
      </c>
      <c r="AK244" s="64" t="e">
        <f t="shared" ca="1" si="2159"/>
        <v>#NAME?</v>
      </c>
      <c r="AL244" s="64" t="e">
        <f t="shared" ca="1" si="2159"/>
        <v>#NAME?</v>
      </c>
      <c r="AM244" s="64" t="e">
        <f t="shared" ca="1" si="2159"/>
        <v>#NAME?</v>
      </c>
      <c r="AN244" s="64" t="e">
        <f t="shared" ca="1" si="2159"/>
        <v>#NAME?</v>
      </c>
      <c r="AO244" s="64" t="e">
        <f t="shared" ca="1" si="2159"/>
        <v>#NAME?</v>
      </c>
      <c r="AP244" s="64" t="e">
        <f t="shared" ca="1" si="2159"/>
        <v>#NAME?</v>
      </c>
      <c r="AQ244" s="64" t="e">
        <f t="shared" ca="1" si="2159"/>
        <v>#NAME?</v>
      </c>
      <c r="AR244" s="64" t="e">
        <f t="shared" ca="1" si="2159"/>
        <v>#NAME?</v>
      </c>
      <c r="AS244" s="64" t="e">
        <f t="shared" ca="1" si="2159"/>
        <v>#NAME?</v>
      </c>
      <c r="AT244" s="64" t="e">
        <f t="shared" ca="1" si="2159"/>
        <v>#NAME?</v>
      </c>
      <c r="AU244" s="64" t="e">
        <f t="shared" ca="1" si="2159"/>
        <v>#NAME?</v>
      </c>
      <c r="AV244" s="64" t="e">
        <f t="shared" ca="1" si="2159"/>
        <v>#NAME?</v>
      </c>
      <c r="AW244" s="64" t="e">
        <f t="shared" ca="1" si="2159"/>
        <v>#NAME?</v>
      </c>
      <c r="AX244" s="64" t="e">
        <f t="shared" ca="1" si="2159"/>
        <v>#NAME?</v>
      </c>
      <c r="AY244" s="64" t="e">
        <f t="shared" ca="1" si="2159"/>
        <v>#NAME?</v>
      </c>
      <c r="AZ244" s="64" t="e">
        <f t="shared" ca="1" si="2159"/>
        <v>#NAME?</v>
      </c>
      <c r="BA244" s="64" t="e">
        <f t="shared" ca="1" si="2159"/>
        <v>#NAME?</v>
      </c>
      <c r="BB244" s="64" t="e">
        <f t="shared" ca="1" si="2159"/>
        <v>#NAME?</v>
      </c>
      <c r="BC244" s="64" t="e">
        <f t="shared" ca="1" si="2159"/>
        <v>#NAME?</v>
      </c>
      <c r="BD244" s="64" t="e">
        <f t="shared" ca="1" si="2159"/>
        <v>#NAME?</v>
      </c>
      <c r="BE244" s="64" t="e">
        <f t="shared" ca="1" si="2159"/>
        <v>#NAME?</v>
      </c>
      <c r="BF244" s="64" t="e">
        <f t="shared" ca="1" si="2159"/>
        <v>#NAME?</v>
      </c>
      <c r="BG244" s="64" t="e">
        <f t="shared" ca="1" si="2159"/>
        <v>#NAME?</v>
      </c>
      <c r="BH244" s="64" t="e">
        <f t="shared" ca="1" si="2159"/>
        <v>#NAME?</v>
      </c>
      <c r="BI244" s="64" t="e">
        <f t="shared" ca="1" si="2159"/>
        <v>#NAME?</v>
      </c>
      <c r="BJ244" s="64" t="e">
        <f t="shared" ca="1" si="2159"/>
        <v>#NAME?</v>
      </c>
      <c r="BK244" s="64" t="e">
        <f t="shared" ca="1" si="2159"/>
        <v>#NAME?</v>
      </c>
      <c r="BL244" s="64" t="e">
        <f t="shared" ca="1" si="2159"/>
        <v>#NAME?</v>
      </c>
      <c r="BM244" s="64" t="e">
        <f t="shared" ca="1" si="2159"/>
        <v>#NAME?</v>
      </c>
      <c r="BN244" s="64" t="e">
        <f t="shared" ca="1" si="2159"/>
        <v>#NAME?</v>
      </c>
      <c r="BO244" s="64" t="e">
        <f t="shared" ref="BO244:CT244" ca="1" si="2160">BO16-BO250</f>
        <v>#NAME?</v>
      </c>
      <c r="BP244" s="64" t="e">
        <f t="shared" ca="1" si="2160"/>
        <v>#NAME?</v>
      </c>
      <c r="BQ244" s="64" t="e">
        <f t="shared" ca="1" si="2160"/>
        <v>#NAME?</v>
      </c>
      <c r="BR244" s="64" t="e">
        <f t="shared" ca="1" si="2160"/>
        <v>#NAME?</v>
      </c>
      <c r="BS244" s="64" t="e">
        <f t="shared" ca="1" si="2160"/>
        <v>#NAME?</v>
      </c>
      <c r="BT244" s="64" t="e">
        <f t="shared" ca="1" si="2160"/>
        <v>#NAME?</v>
      </c>
      <c r="BU244" s="64" t="e">
        <f t="shared" ca="1" si="2160"/>
        <v>#NAME?</v>
      </c>
      <c r="BV244" s="64" t="e">
        <f t="shared" ca="1" si="2160"/>
        <v>#NAME?</v>
      </c>
      <c r="BW244" s="64" t="e">
        <f t="shared" ca="1" si="2160"/>
        <v>#NAME?</v>
      </c>
      <c r="BX244" s="64" t="e">
        <f t="shared" ca="1" si="2160"/>
        <v>#NAME?</v>
      </c>
      <c r="BY244" s="64" t="e">
        <f t="shared" ca="1" si="2160"/>
        <v>#NAME?</v>
      </c>
      <c r="BZ244" s="64" t="e">
        <f t="shared" ca="1" si="2160"/>
        <v>#NAME?</v>
      </c>
      <c r="CA244" s="64" t="e">
        <f t="shared" ca="1" si="2160"/>
        <v>#NAME?</v>
      </c>
      <c r="CB244" s="64" t="e">
        <f t="shared" ca="1" si="2160"/>
        <v>#NAME?</v>
      </c>
      <c r="CC244" s="64" t="e">
        <f t="shared" ca="1" si="2160"/>
        <v>#NAME?</v>
      </c>
      <c r="CD244" s="64" t="e">
        <f t="shared" ca="1" si="2160"/>
        <v>#NAME?</v>
      </c>
      <c r="CE244" s="64" t="e">
        <f t="shared" ca="1" si="2160"/>
        <v>#NAME?</v>
      </c>
      <c r="CF244" s="64" t="e">
        <f t="shared" ca="1" si="2160"/>
        <v>#NAME?</v>
      </c>
      <c r="CG244" s="64" t="e">
        <f t="shared" ca="1" si="2160"/>
        <v>#NAME?</v>
      </c>
      <c r="CH244" s="64" t="e">
        <f t="shared" ca="1" si="2160"/>
        <v>#NAME?</v>
      </c>
      <c r="CI244" s="64" t="e">
        <f t="shared" ca="1" si="2160"/>
        <v>#NAME?</v>
      </c>
      <c r="CJ244" s="64" t="e">
        <f t="shared" ca="1" si="2160"/>
        <v>#NAME?</v>
      </c>
      <c r="CK244" s="64" t="e">
        <f t="shared" ca="1" si="2160"/>
        <v>#NAME?</v>
      </c>
      <c r="CL244" s="64" t="e">
        <f t="shared" ref="CL244" ca="1" si="2161">CL16-CL250</f>
        <v>#NAME?</v>
      </c>
      <c r="CM244" s="30" t="e">
        <f t="shared" ca="1" si="2160"/>
        <v>#NAME?</v>
      </c>
      <c r="CN244" s="30" t="e">
        <f t="shared" ca="1" si="2160"/>
        <v>#NAME?</v>
      </c>
      <c r="CO244" s="30" t="e">
        <f t="shared" ca="1" si="2160"/>
        <v>#NAME?</v>
      </c>
      <c r="CP244" s="30" t="e">
        <f t="shared" ca="1" si="2160"/>
        <v>#NAME?</v>
      </c>
      <c r="CQ244" s="30" t="e">
        <f t="shared" ca="1" si="2160"/>
        <v>#NAME?</v>
      </c>
      <c r="CR244" s="30" t="e">
        <f t="shared" ca="1" si="2160"/>
        <v>#NAME?</v>
      </c>
      <c r="CS244" s="30" t="e">
        <f t="shared" ca="1" si="2160"/>
        <v>#NAME?</v>
      </c>
      <c r="CT244" s="30" t="e">
        <f t="shared" ca="1" si="2160"/>
        <v>#NAME?</v>
      </c>
      <c r="CU244" s="30" t="e">
        <f t="shared" ref="CU244:DB244" ca="1" si="2162">CU16-CU250</f>
        <v>#NAME?</v>
      </c>
      <c r="CV244" s="30" t="e">
        <f t="shared" ca="1" si="2162"/>
        <v>#NAME?</v>
      </c>
      <c r="CW244" s="30" t="e">
        <f t="shared" ca="1" si="2162"/>
        <v>#NAME?</v>
      </c>
      <c r="CX244" s="30" t="e">
        <f t="shared" ca="1" si="2162"/>
        <v>#NAME?</v>
      </c>
      <c r="CY244" s="30" t="e">
        <f t="shared" ca="1" si="2162"/>
        <v>#NAME?</v>
      </c>
      <c r="CZ244" s="30" t="e">
        <f t="shared" ca="1" si="2162"/>
        <v>#NAME?</v>
      </c>
      <c r="DA244" s="30" t="e">
        <f t="shared" ca="1" si="2162"/>
        <v>#NAME?</v>
      </c>
      <c r="DB244" s="30" t="e">
        <f t="shared" ca="1" si="2162"/>
        <v>#NAME?</v>
      </c>
      <c r="DE244" s="139"/>
    </row>
    <row r="245" spans="1:109" s="64" customFormat="1" hidden="1" outlineLevel="1" x14ac:dyDescent="0.2">
      <c r="A245" s="64" t="s">
        <v>475</v>
      </c>
      <c r="B245" s="64" t="e">
        <f t="shared" ref="B245:Z245" ca="1" si="2163">B36-B251</f>
        <v>#NAME?</v>
      </c>
      <c r="C245" s="64" t="e">
        <f t="shared" ca="1" si="2163"/>
        <v>#NAME?</v>
      </c>
      <c r="D245" s="64" t="e">
        <f t="shared" ca="1" si="2163"/>
        <v>#NAME?</v>
      </c>
      <c r="E245" s="64" t="e">
        <f t="shared" ca="1" si="2163"/>
        <v>#NAME?</v>
      </c>
      <c r="F245" s="64" t="e">
        <f t="shared" ca="1" si="2163"/>
        <v>#NAME?</v>
      </c>
      <c r="G245" s="64" t="e">
        <f t="shared" ca="1" si="2163"/>
        <v>#NAME?</v>
      </c>
      <c r="H245" s="64" t="e">
        <f t="shared" ca="1" si="2163"/>
        <v>#NAME?</v>
      </c>
      <c r="I245" s="64" t="e">
        <f t="shared" ca="1" si="2163"/>
        <v>#NAME?</v>
      </c>
      <c r="J245" s="64" t="e">
        <f t="shared" ca="1" si="2163"/>
        <v>#NAME?</v>
      </c>
      <c r="K245" s="64" t="e">
        <f t="shared" ca="1" si="2163"/>
        <v>#NAME?</v>
      </c>
      <c r="L245" s="64" t="e">
        <f t="shared" ca="1" si="2163"/>
        <v>#NAME?</v>
      </c>
      <c r="M245" s="64" t="e">
        <f t="shared" ca="1" si="2163"/>
        <v>#NAME?</v>
      </c>
      <c r="N245" s="64" t="e">
        <f t="shared" ca="1" si="2163"/>
        <v>#NAME?</v>
      </c>
      <c r="O245" s="64" t="e">
        <f t="shared" ca="1" si="2163"/>
        <v>#NAME?</v>
      </c>
      <c r="P245" s="64" t="e">
        <f t="shared" ca="1" si="2163"/>
        <v>#NAME?</v>
      </c>
      <c r="Q245" s="64" t="e">
        <f t="shared" ca="1" si="2163"/>
        <v>#NAME?</v>
      </c>
      <c r="R245" s="64" t="e">
        <f t="shared" ca="1" si="2163"/>
        <v>#NAME?</v>
      </c>
      <c r="S245" s="64" t="e">
        <f t="shared" ca="1" si="2163"/>
        <v>#NAME?</v>
      </c>
      <c r="T245" s="64" t="e">
        <f t="shared" ca="1" si="2163"/>
        <v>#NAME?</v>
      </c>
      <c r="U245" s="64" t="e">
        <f t="shared" ca="1" si="2163"/>
        <v>#NAME?</v>
      </c>
      <c r="V245" s="64" t="e">
        <f t="shared" ca="1" si="2163"/>
        <v>#NAME?</v>
      </c>
      <c r="W245" s="64" t="e">
        <f t="shared" ca="1" si="2163"/>
        <v>#NAME?</v>
      </c>
      <c r="X245" s="64" t="e">
        <f t="shared" ca="1" si="2163"/>
        <v>#NAME?</v>
      </c>
      <c r="Y245" s="64" t="e">
        <f t="shared" ca="1" si="2163"/>
        <v>#NAME?</v>
      </c>
      <c r="Z245" s="64" t="e">
        <f t="shared" ca="1" si="2163"/>
        <v>#NAME?</v>
      </c>
      <c r="AA245" s="64" t="e">
        <f t="shared" ref="AA245" ca="1" si="2164">AA36-AA251</f>
        <v>#NAME?</v>
      </c>
      <c r="AB245" s="30"/>
      <c r="AC245" s="30"/>
      <c r="AD245" s="30"/>
      <c r="AE245" s="30"/>
      <c r="AI245" s="64" t="e">
        <f t="shared" ref="AI245:BN245" ca="1" si="2165">AI36-AI251</f>
        <v>#NAME?</v>
      </c>
      <c r="AJ245" s="64" t="e">
        <f t="shared" ca="1" si="2165"/>
        <v>#NAME?</v>
      </c>
      <c r="AK245" s="64" t="e">
        <f t="shared" ca="1" si="2165"/>
        <v>#NAME?</v>
      </c>
      <c r="AL245" s="64" t="e">
        <f t="shared" ca="1" si="2165"/>
        <v>#NAME?</v>
      </c>
      <c r="AM245" s="64" t="e">
        <f t="shared" ca="1" si="2165"/>
        <v>#NAME?</v>
      </c>
      <c r="AN245" s="64" t="e">
        <f t="shared" ca="1" si="2165"/>
        <v>#NAME?</v>
      </c>
      <c r="AO245" s="64" t="e">
        <f t="shared" ca="1" si="2165"/>
        <v>#NAME?</v>
      </c>
      <c r="AP245" s="64" t="e">
        <f t="shared" ca="1" si="2165"/>
        <v>#NAME?</v>
      </c>
      <c r="AQ245" s="64" t="e">
        <f t="shared" ca="1" si="2165"/>
        <v>#NAME?</v>
      </c>
      <c r="AR245" s="64" t="e">
        <f t="shared" ca="1" si="2165"/>
        <v>#NAME?</v>
      </c>
      <c r="AS245" s="64" t="e">
        <f t="shared" ca="1" si="2165"/>
        <v>#NAME?</v>
      </c>
      <c r="AT245" s="64" t="e">
        <f t="shared" ca="1" si="2165"/>
        <v>#NAME?</v>
      </c>
      <c r="AU245" s="64" t="e">
        <f t="shared" ca="1" si="2165"/>
        <v>#NAME?</v>
      </c>
      <c r="AV245" s="64" t="e">
        <f t="shared" ca="1" si="2165"/>
        <v>#NAME?</v>
      </c>
      <c r="AW245" s="64" t="e">
        <f t="shared" ca="1" si="2165"/>
        <v>#NAME?</v>
      </c>
      <c r="AX245" s="64" t="e">
        <f t="shared" ca="1" si="2165"/>
        <v>#NAME?</v>
      </c>
      <c r="AY245" s="64" t="e">
        <f t="shared" ca="1" si="2165"/>
        <v>#NAME?</v>
      </c>
      <c r="AZ245" s="64" t="e">
        <f t="shared" ca="1" si="2165"/>
        <v>#NAME?</v>
      </c>
      <c r="BA245" s="64" t="e">
        <f t="shared" ca="1" si="2165"/>
        <v>#NAME?</v>
      </c>
      <c r="BB245" s="64" t="e">
        <f t="shared" ca="1" si="2165"/>
        <v>#NAME?</v>
      </c>
      <c r="BC245" s="64" t="e">
        <f t="shared" ca="1" si="2165"/>
        <v>#NAME?</v>
      </c>
      <c r="BD245" s="64" t="e">
        <f t="shared" ca="1" si="2165"/>
        <v>#NAME?</v>
      </c>
      <c r="BE245" s="64" t="e">
        <f t="shared" ca="1" si="2165"/>
        <v>#NAME?</v>
      </c>
      <c r="BF245" s="64" t="e">
        <f t="shared" ca="1" si="2165"/>
        <v>#NAME?</v>
      </c>
      <c r="BG245" s="64" t="e">
        <f t="shared" ca="1" si="2165"/>
        <v>#NAME?</v>
      </c>
      <c r="BH245" s="64" t="e">
        <f t="shared" ca="1" si="2165"/>
        <v>#NAME?</v>
      </c>
      <c r="BI245" s="64" t="e">
        <f t="shared" ca="1" si="2165"/>
        <v>#NAME?</v>
      </c>
      <c r="BJ245" s="64" t="e">
        <f t="shared" ca="1" si="2165"/>
        <v>#NAME?</v>
      </c>
      <c r="BK245" s="64" t="e">
        <f t="shared" ca="1" si="2165"/>
        <v>#NAME?</v>
      </c>
      <c r="BL245" s="64" t="e">
        <f t="shared" ca="1" si="2165"/>
        <v>#NAME?</v>
      </c>
      <c r="BM245" s="64" t="e">
        <f t="shared" ca="1" si="2165"/>
        <v>#NAME?</v>
      </c>
      <c r="BN245" s="64" t="e">
        <f t="shared" ca="1" si="2165"/>
        <v>#NAME?</v>
      </c>
      <c r="BO245" s="64" t="e">
        <f t="shared" ref="BO245:CT245" ca="1" si="2166">BO36-BO251</f>
        <v>#NAME?</v>
      </c>
      <c r="BP245" s="64" t="e">
        <f t="shared" ca="1" si="2166"/>
        <v>#NAME?</v>
      </c>
      <c r="BQ245" s="64" t="e">
        <f t="shared" ca="1" si="2166"/>
        <v>#NAME?</v>
      </c>
      <c r="BR245" s="64" t="e">
        <f t="shared" ca="1" si="2166"/>
        <v>#NAME?</v>
      </c>
      <c r="BS245" s="64" t="e">
        <f t="shared" ca="1" si="2166"/>
        <v>#NAME?</v>
      </c>
      <c r="BT245" s="64" t="e">
        <f t="shared" ca="1" si="2166"/>
        <v>#NAME?</v>
      </c>
      <c r="BU245" s="64" t="e">
        <f t="shared" ca="1" si="2166"/>
        <v>#NAME?</v>
      </c>
      <c r="BV245" s="64" t="e">
        <f t="shared" ca="1" si="2166"/>
        <v>#NAME?</v>
      </c>
      <c r="BW245" s="64" t="e">
        <f t="shared" ca="1" si="2166"/>
        <v>#NAME?</v>
      </c>
      <c r="BX245" s="64" t="e">
        <f t="shared" ca="1" si="2166"/>
        <v>#NAME?</v>
      </c>
      <c r="BY245" s="64" t="e">
        <f t="shared" ca="1" si="2166"/>
        <v>#NAME?</v>
      </c>
      <c r="BZ245" s="64" t="e">
        <f t="shared" ca="1" si="2166"/>
        <v>#NAME?</v>
      </c>
      <c r="CA245" s="64" t="e">
        <f t="shared" ca="1" si="2166"/>
        <v>#NAME?</v>
      </c>
      <c r="CB245" s="64" t="e">
        <f t="shared" ca="1" si="2166"/>
        <v>#NAME?</v>
      </c>
      <c r="CC245" s="64" t="e">
        <f t="shared" ca="1" si="2166"/>
        <v>#NAME?</v>
      </c>
      <c r="CD245" s="64" t="e">
        <f t="shared" ca="1" si="2166"/>
        <v>#NAME?</v>
      </c>
      <c r="CE245" s="64" t="e">
        <f t="shared" ca="1" si="2166"/>
        <v>#NAME?</v>
      </c>
      <c r="CF245" s="64" t="e">
        <f t="shared" ca="1" si="2166"/>
        <v>#NAME?</v>
      </c>
      <c r="CG245" s="64" t="e">
        <f t="shared" ca="1" si="2166"/>
        <v>#NAME?</v>
      </c>
      <c r="CH245" s="64" t="e">
        <f t="shared" ca="1" si="2166"/>
        <v>#NAME?</v>
      </c>
      <c r="CI245" s="64" t="e">
        <f t="shared" ca="1" si="2166"/>
        <v>#NAME?</v>
      </c>
      <c r="CJ245" s="64" t="e">
        <f t="shared" ca="1" si="2166"/>
        <v>#NAME?</v>
      </c>
      <c r="CK245" s="64" t="e">
        <f t="shared" ca="1" si="2166"/>
        <v>#NAME?</v>
      </c>
      <c r="CL245" s="64" t="e">
        <f t="shared" ref="CL245" ca="1" si="2167">CL36-CL251</f>
        <v>#NAME?</v>
      </c>
      <c r="CM245" s="30" t="e">
        <f t="shared" ca="1" si="2166"/>
        <v>#NAME?</v>
      </c>
      <c r="CN245" s="30" t="e">
        <f t="shared" ca="1" si="2166"/>
        <v>#NAME?</v>
      </c>
      <c r="CO245" s="30" t="e">
        <f t="shared" ca="1" si="2166"/>
        <v>#NAME?</v>
      </c>
      <c r="CP245" s="30" t="e">
        <f t="shared" ca="1" si="2166"/>
        <v>#NAME?</v>
      </c>
      <c r="CQ245" s="30" t="e">
        <f t="shared" ca="1" si="2166"/>
        <v>#NAME?</v>
      </c>
      <c r="CR245" s="30" t="e">
        <f t="shared" ca="1" si="2166"/>
        <v>#NAME?</v>
      </c>
      <c r="CS245" s="30" t="e">
        <f t="shared" ca="1" si="2166"/>
        <v>#NAME?</v>
      </c>
      <c r="CT245" s="30" t="e">
        <f t="shared" ca="1" si="2166"/>
        <v>#NAME?</v>
      </c>
      <c r="CU245" s="30" t="e">
        <f t="shared" ref="CU245:DB245" ca="1" si="2168">CU36-CU251</f>
        <v>#NAME?</v>
      </c>
      <c r="CV245" s="30" t="e">
        <f t="shared" ca="1" si="2168"/>
        <v>#NAME?</v>
      </c>
      <c r="CW245" s="30" t="e">
        <f t="shared" ca="1" si="2168"/>
        <v>#NAME?</v>
      </c>
      <c r="CX245" s="30" t="e">
        <f t="shared" ca="1" si="2168"/>
        <v>#NAME?</v>
      </c>
      <c r="CY245" s="30" t="e">
        <f t="shared" ca="1" si="2168"/>
        <v>#NAME?</v>
      </c>
      <c r="CZ245" s="30" t="e">
        <f t="shared" ca="1" si="2168"/>
        <v>#NAME?</v>
      </c>
      <c r="DA245" s="30" t="e">
        <f t="shared" ca="1" si="2168"/>
        <v>#NAME?</v>
      </c>
      <c r="DB245" s="30" t="e">
        <f t="shared" ca="1" si="2168"/>
        <v>#NAME?</v>
      </c>
      <c r="DE245" s="139"/>
    </row>
    <row r="246" spans="1:109" s="89" customFormat="1" hidden="1" outlineLevel="1" x14ac:dyDescent="0.2">
      <c r="A246" s="86" t="s">
        <v>476</v>
      </c>
      <c r="B246" s="86" t="e">
        <f ca="1">+B245/B244</f>
        <v>#NAME?</v>
      </c>
      <c r="C246" s="86" t="e">
        <f t="shared" ref="C246" ca="1" si="2169">+C245/C244</f>
        <v>#NAME?</v>
      </c>
      <c r="D246" s="86" t="e">
        <f t="shared" ref="D246" ca="1" si="2170">+D245/D244</f>
        <v>#NAME?</v>
      </c>
      <c r="E246" s="86" t="e">
        <f t="shared" ref="E246" ca="1" si="2171">+E245/E244</f>
        <v>#NAME?</v>
      </c>
      <c r="F246" s="86" t="e">
        <f t="shared" ref="F246" ca="1" si="2172">+F245/F244</f>
        <v>#NAME?</v>
      </c>
      <c r="G246" s="86" t="e">
        <f t="shared" ref="G246" ca="1" si="2173">+G245/G244</f>
        <v>#NAME?</v>
      </c>
      <c r="H246" s="86" t="e">
        <f t="shared" ref="H246" ca="1" si="2174">+H245/H244</f>
        <v>#NAME?</v>
      </c>
      <c r="I246" s="86" t="e">
        <f t="shared" ref="I246" ca="1" si="2175">+I245/I244</f>
        <v>#NAME?</v>
      </c>
      <c r="J246" s="86" t="e">
        <f t="shared" ref="J246" ca="1" si="2176">+J245/J244</f>
        <v>#NAME?</v>
      </c>
      <c r="K246" s="86" t="e">
        <f t="shared" ref="K246" ca="1" si="2177">+K245/K244</f>
        <v>#NAME?</v>
      </c>
      <c r="L246" s="86" t="e">
        <f t="shared" ref="L246" ca="1" si="2178">+L245/L244</f>
        <v>#NAME?</v>
      </c>
      <c r="M246" s="86" t="e">
        <f t="shared" ref="M246" ca="1" si="2179">+M245/M244</f>
        <v>#NAME?</v>
      </c>
      <c r="N246" s="86" t="e">
        <f t="shared" ref="N246" ca="1" si="2180">+N245/N244</f>
        <v>#NAME?</v>
      </c>
      <c r="O246" s="86" t="e">
        <f t="shared" ref="O246" ca="1" si="2181">+O245/O244</f>
        <v>#NAME?</v>
      </c>
      <c r="P246" s="86" t="e">
        <f t="shared" ref="P246" ca="1" si="2182">+P245/P244</f>
        <v>#NAME?</v>
      </c>
      <c r="Q246" s="86" t="e">
        <f t="shared" ref="Q246" ca="1" si="2183">+Q245/Q244</f>
        <v>#NAME?</v>
      </c>
      <c r="R246" s="86" t="e">
        <f t="shared" ref="R246" ca="1" si="2184">+R245/R244</f>
        <v>#NAME?</v>
      </c>
      <c r="S246" s="86" t="e">
        <f t="shared" ref="S246" ca="1" si="2185">+S245/S244</f>
        <v>#NAME?</v>
      </c>
      <c r="T246" s="86" t="e">
        <f t="shared" ref="T246" ca="1" si="2186">+T245/T244</f>
        <v>#NAME?</v>
      </c>
      <c r="U246" s="86" t="e">
        <f t="shared" ref="U246" ca="1" si="2187">+U245/U244</f>
        <v>#NAME?</v>
      </c>
      <c r="V246" s="86" t="e">
        <f t="shared" ref="V246" ca="1" si="2188">+V245/V244</f>
        <v>#NAME?</v>
      </c>
      <c r="W246" s="86" t="e">
        <f t="shared" ref="W246" ca="1" si="2189">+W245/W244</f>
        <v>#NAME?</v>
      </c>
      <c r="X246" s="86" t="e">
        <f t="shared" ref="X246:Y246" ca="1" si="2190">+X245/X244</f>
        <v>#NAME?</v>
      </c>
      <c r="Y246" s="86" t="e">
        <f t="shared" ca="1" si="2190"/>
        <v>#NAME?</v>
      </c>
      <c r="Z246" s="86" t="e">
        <f t="shared" ref="Z246:AA246" ca="1" si="2191">+Z245/Z244</f>
        <v>#NAME?</v>
      </c>
      <c r="AA246" s="86" t="e">
        <f t="shared" ca="1" si="2191"/>
        <v>#NAME?</v>
      </c>
      <c r="AB246" s="87"/>
      <c r="AC246" s="87"/>
      <c r="AD246" s="87"/>
      <c r="AE246" s="87"/>
      <c r="AF246" s="86"/>
      <c r="AG246" s="86"/>
      <c r="AH246" s="86"/>
      <c r="AI246" s="86" t="e">
        <f t="shared" ref="AI246" ca="1" si="2192">+AI245/AI244</f>
        <v>#NAME?</v>
      </c>
      <c r="AJ246" s="86" t="e">
        <f t="shared" ref="AJ246" ca="1" si="2193">+AJ245/AJ244</f>
        <v>#NAME?</v>
      </c>
      <c r="AK246" s="86" t="e">
        <f t="shared" ref="AK246" ca="1" si="2194">+AK245/AK244</f>
        <v>#NAME?</v>
      </c>
      <c r="AL246" s="86" t="e">
        <f t="shared" ref="AL246" ca="1" si="2195">+AL245/AL244</f>
        <v>#NAME?</v>
      </c>
      <c r="AM246" s="86" t="e">
        <f t="shared" ref="AM246" ca="1" si="2196">+AM245/AM244</f>
        <v>#NAME?</v>
      </c>
      <c r="AN246" s="86" t="e">
        <f t="shared" ref="AN246" ca="1" si="2197">+AN245/AN244</f>
        <v>#NAME?</v>
      </c>
      <c r="AO246" s="86" t="e">
        <f t="shared" ref="AO246" ca="1" si="2198">+AO245/AO244</f>
        <v>#NAME?</v>
      </c>
      <c r="AP246" s="86" t="e">
        <f t="shared" ref="AP246" ca="1" si="2199">+AP245/AP244</f>
        <v>#NAME?</v>
      </c>
      <c r="AQ246" s="86" t="e">
        <f t="shared" ref="AQ246" ca="1" si="2200">+AQ245/AQ244</f>
        <v>#NAME?</v>
      </c>
      <c r="AR246" s="86" t="e">
        <f t="shared" ref="AR246" ca="1" si="2201">+AR245/AR244</f>
        <v>#NAME?</v>
      </c>
      <c r="AS246" s="86" t="e">
        <f t="shared" ref="AS246" ca="1" si="2202">+AS245/AS244</f>
        <v>#NAME?</v>
      </c>
      <c r="AT246" s="86" t="e">
        <f t="shared" ref="AT246" ca="1" si="2203">+AT245/AT244</f>
        <v>#NAME?</v>
      </c>
      <c r="AU246" s="86" t="e">
        <f t="shared" ref="AU246" ca="1" si="2204">+AU245/AU244</f>
        <v>#NAME?</v>
      </c>
      <c r="AV246" s="86" t="e">
        <f t="shared" ref="AV246" ca="1" si="2205">+AV245/AV244</f>
        <v>#NAME?</v>
      </c>
      <c r="AW246" s="86" t="e">
        <f t="shared" ref="AW246" ca="1" si="2206">+AW245/AW244</f>
        <v>#NAME?</v>
      </c>
      <c r="AX246" s="86" t="e">
        <f t="shared" ref="AX246" ca="1" si="2207">+AX245/AX244</f>
        <v>#NAME?</v>
      </c>
      <c r="AY246" s="86" t="e">
        <f t="shared" ref="AY246" ca="1" si="2208">+AY245/AY244</f>
        <v>#NAME?</v>
      </c>
      <c r="AZ246" s="86" t="e">
        <f t="shared" ref="AZ246" ca="1" si="2209">+AZ245/AZ244</f>
        <v>#NAME?</v>
      </c>
      <c r="BA246" s="86" t="e">
        <f t="shared" ref="BA246" ca="1" si="2210">+BA245/BA244</f>
        <v>#NAME?</v>
      </c>
      <c r="BB246" s="86" t="e">
        <f t="shared" ref="BB246" ca="1" si="2211">+BB245/BB244</f>
        <v>#NAME?</v>
      </c>
      <c r="BC246" s="86" t="e">
        <f t="shared" ref="BC246" ca="1" si="2212">+BC245/BC244</f>
        <v>#NAME?</v>
      </c>
      <c r="BD246" s="86" t="e">
        <f t="shared" ref="BD246" ca="1" si="2213">+BD245/BD244</f>
        <v>#NAME?</v>
      </c>
      <c r="BE246" s="86" t="e">
        <f t="shared" ref="BE246" ca="1" si="2214">+BE245/BE244</f>
        <v>#NAME?</v>
      </c>
      <c r="BF246" s="86" t="e">
        <f t="shared" ref="BF246" ca="1" si="2215">+BF245/BF244</f>
        <v>#NAME?</v>
      </c>
      <c r="BG246" s="86" t="e">
        <f t="shared" ref="BG246" ca="1" si="2216">+BG245/BG244</f>
        <v>#NAME?</v>
      </c>
      <c r="BH246" s="86" t="e">
        <f t="shared" ref="BH246" ca="1" si="2217">+BH245/BH244</f>
        <v>#NAME?</v>
      </c>
      <c r="BI246" s="86" t="e">
        <f t="shared" ref="BI246" ca="1" si="2218">+BI245/BI244</f>
        <v>#NAME?</v>
      </c>
      <c r="BJ246" s="86" t="e">
        <f t="shared" ref="BJ246" ca="1" si="2219">+BJ245/BJ244</f>
        <v>#NAME?</v>
      </c>
      <c r="BK246" s="86" t="e">
        <f t="shared" ref="BK246" ca="1" si="2220">+BK245/BK244</f>
        <v>#NAME?</v>
      </c>
      <c r="BL246" s="86" t="e">
        <f t="shared" ref="BL246" ca="1" si="2221">+BL245/BL244</f>
        <v>#NAME?</v>
      </c>
      <c r="BM246" s="86" t="e">
        <f t="shared" ref="BM246" ca="1" si="2222">+BM245/BM244</f>
        <v>#NAME?</v>
      </c>
      <c r="BN246" s="86" t="e">
        <f t="shared" ref="BN246" ca="1" si="2223">+BN245/BN244</f>
        <v>#NAME?</v>
      </c>
      <c r="BO246" s="86" t="e">
        <f t="shared" ref="BO246" ca="1" si="2224">+BO245/BO244</f>
        <v>#NAME?</v>
      </c>
      <c r="BP246" s="86" t="e">
        <f t="shared" ref="BP246" ca="1" si="2225">+BP245/BP244</f>
        <v>#NAME?</v>
      </c>
      <c r="BQ246" s="86" t="e">
        <f t="shared" ref="BQ246" ca="1" si="2226">+BQ245/BQ244</f>
        <v>#NAME?</v>
      </c>
      <c r="BR246" s="86" t="e">
        <f t="shared" ref="BR246" ca="1" si="2227">+BR245/BR244</f>
        <v>#NAME?</v>
      </c>
      <c r="BS246" s="86" t="e">
        <f t="shared" ref="BS246" ca="1" si="2228">+BS245/BS244</f>
        <v>#NAME?</v>
      </c>
      <c r="BT246" s="86" t="e">
        <f t="shared" ref="BT246" ca="1" si="2229">+BT245/BT244</f>
        <v>#NAME?</v>
      </c>
      <c r="BU246" s="86" t="e">
        <f t="shared" ref="BU246" ca="1" si="2230">+BU245/BU244</f>
        <v>#NAME?</v>
      </c>
      <c r="BV246" s="86" t="e">
        <f t="shared" ref="BV246" ca="1" si="2231">+BV245/BV244</f>
        <v>#NAME?</v>
      </c>
      <c r="BW246" s="86" t="e">
        <f t="shared" ref="BW246" ca="1" si="2232">+BW245/BW244</f>
        <v>#NAME?</v>
      </c>
      <c r="BX246" s="86" t="e">
        <f t="shared" ref="BX246" ca="1" si="2233">+BX245/BX244</f>
        <v>#NAME?</v>
      </c>
      <c r="BY246" s="86" t="e">
        <f t="shared" ref="BY246" ca="1" si="2234">+BY245/BY244</f>
        <v>#NAME?</v>
      </c>
      <c r="BZ246" s="86" t="e">
        <f t="shared" ref="BZ246" ca="1" si="2235">+BZ245/BZ244</f>
        <v>#NAME?</v>
      </c>
      <c r="CA246" s="86" t="e">
        <f t="shared" ref="CA246" ca="1" si="2236">+CA245/CA244</f>
        <v>#NAME?</v>
      </c>
      <c r="CB246" s="86" t="e">
        <f t="shared" ref="CB246:CC246" ca="1" si="2237">+CB245/CB244</f>
        <v>#NAME?</v>
      </c>
      <c r="CC246" s="86" t="e">
        <f t="shared" ca="1" si="2237"/>
        <v>#NAME?</v>
      </c>
      <c r="CD246" s="86" t="e">
        <f t="shared" ref="CD246" ca="1" si="2238">+CD245/CD244</f>
        <v>#NAME?</v>
      </c>
      <c r="CE246" s="86" t="e">
        <f t="shared" ref="CE246:CF246" ca="1" si="2239">+CE245/CE244</f>
        <v>#NAME?</v>
      </c>
      <c r="CF246" s="86" t="e">
        <f t="shared" ca="1" si="2239"/>
        <v>#NAME?</v>
      </c>
      <c r="CG246" s="86" t="e">
        <f t="shared" ref="CG246:CH246" ca="1" si="2240">+CG245/CG244</f>
        <v>#NAME?</v>
      </c>
      <c r="CH246" s="86" t="e">
        <f t="shared" ca="1" si="2240"/>
        <v>#NAME?</v>
      </c>
      <c r="CI246" s="86" t="e">
        <f t="shared" ref="CI246:CJ246" ca="1" si="2241">+CI245/CI244</f>
        <v>#NAME?</v>
      </c>
      <c r="CJ246" s="86" t="e">
        <f t="shared" ca="1" si="2241"/>
        <v>#NAME?</v>
      </c>
      <c r="CK246" s="86" t="e">
        <f t="shared" ref="CK246:DB246" ca="1" si="2242">+CK245/CK244</f>
        <v>#NAME?</v>
      </c>
      <c r="CL246" s="86" t="e">
        <f t="shared" ca="1" si="2242"/>
        <v>#NAME?</v>
      </c>
      <c r="CM246" s="47" t="e">
        <f t="shared" ca="1" si="2242"/>
        <v>#NAME?</v>
      </c>
      <c r="CN246" s="47" t="e">
        <f t="shared" ca="1" si="2242"/>
        <v>#NAME?</v>
      </c>
      <c r="CO246" s="47" t="e">
        <f t="shared" ca="1" si="2242"/>
        <v>#NAME?</v>
      </c>
      <c r="CP246" s="47" t="e">
        <f t="shared" ca="1" si="2242"/>
        <v>#NAME?</v>
      </c>
      <c r="CQ246" s="47" t="e">
        <f t="shared" ca="1" si="2242"/>
        <v>#NAME?</v>
      </c>
      <c r="CR246" s="47" t="e">
        <f t="shared" ca="1" si="2242"/>
        <v>#NAME?</v>
      </c>
      <c r="CS246" s="47" t="e">
        <f t="shared" ca="1" si="2242"/>
        <v>#NAME?</v>
      </c>
      <c r="CT246" s="47" t="e">
        <f t="shared" ca="1" si="2242"/>
        <v>#NAME?</v>
      </c>
      <c r="CU246" s="47" t="e">
        <f t="shared" ca="1" si="2242"/>
        <v>#NAME?</v>
      </c>
      <c r="CV246" s="47" t="e">
        <f t="shared" ca="1" si="2242"/>
        <v>#NAME?</v>
      </c>
      <c r="CW246" s="47" t="e">
        <f t="shared" ca="1" si="2242"/>
        <v>#NAME?</v>
      </c>
      <c r="CX246" s="47" t="e">
        <f t="shared" ca="1" si="2242"/>
        <v>#NAME?</v>
      </c>
      <c r="CY246" s="47" t="e">
        <f t="shared" ca="1" si="2242"/>
        <v>#NAME?</v>
      </c>
      <c r="CZ246" s="47" t="e">
        <f t="shared" ca="1" si="2242"/>
        <v>#NAME?</v>
      </c>
      <c r="DA246" s="47" t="e">
        <f t="shared" ca="1" si="2242"/>
        <v>#NAME?</v>
      </c>
      <c r="DB246" s="47" t="e">
        <f t="shared" ca="1" si="2242"/>
        <v>#NAME?</v>
      </c>
      <c r="DE246" s="130"/>
    </row>
    <row r="247" spans="1:109" s="64" customFormat="1" hidden="1" outlineLevel="1" x14ac:dyDescent="0.2">
      <c r="A247" s="64" t="s">
        <v>477</v>
      </c>
      <c r="B247" s="64" t="e">
        <f t="shared" ref="B247:Z247" ca="1" si="2243">B49-B253</f>
        <v>#NAME?</v>
      </c>
      <c r="C247" s="64" t="e">
        <f t="shared" ca="1" si="2243"/>
        <v>#NAME?</v>
      </c>
      <c r="D247" s="64" t="e">
        <f t="shared" ca="1" si="2243"/>
        <v>#NAME?</v>
      </c>
      <c r="E247" s="64" t="e">
        <f t="shared" ca="1" si="2243"/>
        <v>#NAME?</v>
      </c>
      <c r="F247" s="64" t="e">
        <f t="shared" ca="1" si="2243"/>
        <v>#NAME?</v>
      </c>
      <c r="G247" s="64" t="e">
        <f t="shared" ca="1" si="2243"/>
        <v>#NAME?</v>
      </c>
      <c r="H247" s="64" t="e">
        <f t="shared" ca="1" si="2243"/>
        <v>#NAME?</v>
      </c>
      <c r="I247" s="64" t="e">
        <f t="shared" ca="1" si="2243"/>
        <v>#NAME?</v>
      </c>
      <c r="J247" s="64" t="e">
        <f t="shared" ca="1" si="2243"/>
        <v>#NAME?</v>
      </c>
      <c r="K247" s="64" t="e">
        <f t="shared" ca="1" si="2243"/>
        <v>#NAME?</v>
      </c>
      <c r="L247" s="64" t="e">
        <f t="shared" ca="1" si="2243"/>
        <v>#NAME?</v>
      </c>
      <c r="M247" s="64" t="e">
        <f t="shared" ca="1" si="2243"/>
        <v>#NAME?</v>
      </c>
      <c r="N247" s="64" t="e">
        <f t="shared" ca="1" si="2243"/>
        <v>#NAME?</v>
      </c>
      <c r="O247" s="64" t="e">
        <f t="shared" ca="1" si="2243"/>
        <v>#NAME?</v>
      </c>
      <c r="P247" s="64" t="e">
        <f t="shared" ca="1" si="2243"/>
        <v>#NAME?</v>
      </c>
      <c r="Q247" s="64" t="e">
        <f t="shared" ca="1" si="2243"/>
        <v>#NAME?</v>
      </c>
      <c r="R247" s="64" t="e">
        <f t="shared" ca="1" si="2243"/>
        <v>#NAME?</v>
      </c>
      <c r="S247" s="64" t="e">
        <f t="shared" ca="1" si="2243"/>
        <v>#NAME?</v>
      </c>
      <c r="T247" s="64" t="e">
        <f t="shared" ca="1" si="2243"/>
        <v>#NAME?</v>
      </c>
      <c r="U247" s="64" t="e">
        <f t="shared" ca="1" si="2243"/>
        <v>#NAME?</v>
      </c>
      <c r="V247" s="64" t="e">
        <f t="shared" ca="1" si="2243"/>
        <v>#NAME?</v>
      </c>
      <c r="W247" s="64" t="e">
        <f t="shared" ca="1" si="2243"/>
        <v>#NAME?</v>
      </c>
      <c r="X247" s="64" t="e">
        <f t="shared" ca="1" si="2243"/>
        <v>#NAME?</v>
      </c>
      <c r="Y247" s="64" t="e">
        <f t="shared" ca="1" si="2243"/>
        <v>#NAME?</v>
      </c>
      <c r="Z247" s="64" t="e">
        <f t="shared" ca="1" si="2243"/>
        <v>#NAME?</v>
      </c>
      <c r="AA247" s="64" t="e">
        <f t="shared" ref="AA247" ca="1" si="2244">AA49-AA253</f>
        <v>#NAME?</v>
      </c>
      <c r="AB247" s="30"/>
      <c r="AC247" s="30"/>
      <c r="AD247" s="30"/>
      <c r="AE247" s="30"/>
      <c r="AI247" s="64" t="e">
        <f t="shared" ref="AI247:BN247" ca="1" si="2245">AI49-AI253</f>
        <v>#NAME?</v>
      </c>
      <c r="AJ247" s="64" t="e">
        <f t="shared" ca="1" si="2245"/>
        <v>#NAME?</v>
      </c>
      <c r="AK247" s="64" t="e">
        <f t="shared" ca="1" si="2245"/>
        <v>#NAME?</v>
      </c>
      <c r="AL247" s="64" t="e">
        <f t="shared" ca="1" si="2245"/>
        <v>#NAME?</v>
      </c>
      <c r="AM247" s="64" t="e">
        <f t="shared" ca="1" si="2245"/>
        <v>#NAME?</v>
      </c>
      <c r="AN247" s="64" t="e">
        <f t="shared" ca="1" si="2245"/>
        <v>#NAME?</v>
      </c>
      <c r="AO247" s="64" t="e">
        <f t="shared" ca="1" si="2245"/>
        <v>#NAME?</v>
      </c>
      <c r="AP247" s="64" t="e">
        <f t="shared" ca="1" si="2245"/>
        <v>#NAME?</v>
      </c>
      <c r="AQ247" s="64" t="e">
        <f t="shared" ca="1" si="2245"/>
        <v>#NAME?</v>
      </c>
      <c r="AR247" s="64" t="e">
        <f t="shared" ca="1" si="2245"/>
        <v>#NAME?</v>
      </c>
      <c r="AS247" s="64" t="e">
        <f t="shared" ca="1" si="2245"/>
        <v>#NAME?</v>
      </c>
      <c r="AT247" s="64" t="e">
        <f t="shared" ca="1" si="2245"/>
        <v>#NAME?</v>
      </c>
      <c r="AU247" s="64" t="e">
        <f t="shared" ca="1" si="2245"/>
        <v>#NAME?</v>
      </c>
      <c r="AV247" s="64" t="e">
        <f t="shared" ca="1" si="2245"/>
        <v>#NAME?</v>
      </c>
      <c r="AW247" s="64" t="e">
        <f t="shared" ca="1" si="2245"/>
        <v>#NAME?</v>
      </c>
      <c r="AX247" s="64" t="e">
        <f t="shared" ca="1" si="2245"/>
        <v>#NAME?</v>
      </c>
      <c r="AY247" s="64" t="e">
        <f t="shared" ca="1" si="2245"/>
        <v>#NAME?</v>
      </c>
      <c r="AZ247" s="64" t="e">
        <f t="shared" ca="1" si="2245"/>
        <v>#NAME?</v>
      </c>
      <c r="BA247" s="64" t="e">
        <f t="shared" ca="1" si="2245"/>
        <v>#NAME?</v>
      </c>
      <c r="BB247" s="64" t="e">
        <f t="shared" ca="1" si="2245"/>
        <v>#NAME?</v>
      </c>
      <c r="BC247" s="64" t="e">
        <f t="shared" ca="1" si="2245"/>
        <v>#NAME?</v>
      </c>
      <c r="BD247" s="64" t="e">
        <f t="shared" ca="1" si="2245"/>
        <v>#NAME?</v>
      </c>
      <c r="BE247" s="64" t="e">
        <f t="shared" ca="1" si="2245"/>
        <v>#NAME?</v>
      </c>
      <c r="BF247" s="64" t="e">
        <f t="shared" ca="1" si="2245"/>
        <v>#NAME?</v>
      </c>
      <c r="BG247" s="64" t="e">
        <f t="shared" ca="1" si="2245"/>
        <v>#NAME?</v>
      </c>
      <c r="BH247" s="64" t="e">
        <f t="shared" ca="1" si="2245"/>
        <v>#NAME?</v>
      </c>
      <c r="BI247" s="64" t="e">
        <f t="shared" ca="1" si="2245"/>
        <v>#NAME?</v>
      </c>
      <c r="BJ247" s="64" t="e">
        <f t="shared" ca="1" si="2245"/>
        <v>#NAME?</v>
      </c>
      <c r="BK247" s="64" t="e">
        <f t="shared" ca="1" si="2245"/>
        <v>#NAME?</v>
      </c>
      <c r="BL247" s="64" t="e">
        <f t="shared" ca="1" si="2245"/>
        <v>#NAME?</v>
      </c>
      <c r="BM247" s="64" t="e">
        <f t="shared" ca="1" si="2245"/>
        <v>#NAME?</v>
      </c>
      <c r="BN247" s="64" t="e">
        <f t="shared" ca="1" si="2245"/>
        <v>#NAME?</v>
      </c>
      <c r="BO247" s="64" t="e">
        <f t="shared" ref="BO247:CT247" ca="1" si="2246">BO49-BO253</f>
        <v>#NAME?</v>
      </c>
      <c r="BP247" s="64" t="e">
        <f t="shared" ca="1" si="2246"/>
        <v>#NAME?</v>
      </c>
      <c r="BQ247" s="64" t="e">
        <f t="shared" ca="1" si="2246"/>
        <v>#NAME?</v>
      </c>
      <c r="BR247" s="64" t="e">
        <f t="shared" ca="1" si="2246"/>
        <v>#NAME?</v>
      </c>
      <c r="BS247" s="64" t="e">
        <f t="shared" ca="1" si="2246"/>
        <v>#NAME?</v>
      </c>
      <c r="BT247" s="64" t="e">
        <f t="shared" ca="1" si="2246"/>
        <v>#NAME?</v>
      </c>
      <c r="BU247" s="64" t="e">
        <f t="shared" ca="1" si="2246"/>
        <v>#NAME?</v>
      </c>
      <c r="BV247" s="64" t="e">
        <f t="shared" ca="1" si="2246"/>
        <v>#NAME?</v>
      </c>
      <c r="BW247" s="64" t="e">
        <f t="shared" ca="1" si="2246"/>
        <v>#NAME?</v>
      </c>
      <c r="BX247" s="64" t="e">
        <f t="shared" ca="1" si="2246"/>
        <v>#NAME?</v>
      </c>
      <c r="BY247" s="64" t="e">
        <f t="shared" ca="1" si="2246"/>
        <v>#NAME?</v>
      </c>
      <c r="BZ247" s="64" t="e">
        <f t="shared" ca="1" si="2246"/>
        <v>#NAME?</v>
      </c>
      <c r="CA247" s="64" t="e">
        <f t="shared" ca="1" si="2246"/>
        <v>#NAME?</v>
      </c>
      <c r="CB247" s="64" t="e">
        <f t="shared" ca="1" si="2246"/>
        <v>#NAME?</v>
      </c>
      <c r="CC247" s="64" t="e">
        <f t="shared" ca="1" si="2246"/>
        <v>#NAME?</v>
      </c>
      <c r="CD247" s="64" t="e">
        <f t="shared" ca="1" si="2246"/>
        <v>#NAME?</v>
      </c>
      <c r="CE247" s="64" t="e">
        <f t="shared" ca="1" si="2246"/>
        <v>#NAME?</v>
      </c>
      <c r="CF247" s="64" t="e">
        <f t="shared" ca="1" si="2246"/>
        <v>#NAME?</v>
      </c>
      <c r="CG247" s="64" t="e">
        <f t="shared" ca="1" si="2246"/>
        <v>#NAME?</v>
      </c>
      <c r="CH247" s="64" t="e">
        <f t="shared" ca="1" si="2246"/>
        <v>#NAME?</v>
      </c>
      <c r="CI247" s="64" t="e">
        <f t="shared" ca="1" si="2246"/>
        <v>#NAME?</v>
      </c>
      <c r="CJ247" s="64" t="e">
        <f t="shared" ca="1" si="2246"/>
        <v>#NAME?</v>
      </c>
      <c r="CK247" s="64" t="e">
        <f t="shared" ca="1" si="2246"/>
        <v>#NAME?</v>
      </c>
      <c r="CL247" s="64" t="e">
        <f t="shared" ref="CL247" ca="1" si="2247">CL49-CL253</f>
        <v>#NAME?</v>
      </c>
      <c r="CM247" s="30" t="e">
        <f t="shared" ca="1" si="2246"/>
        <v>#NAME?</v>
      </c>
      <c r="CN247" s="30" t="e">
        <f t="shared" ca="1" si="2246"/>
        <v>#NAME?</v>
      </c>
      <c r="CO247" s="30" t="e">
        <f t="shared" ca="1" si="2246"/>
        <v>#NAME?</v>
      </c>
      <c r="CP247" s="30" t="e">
        <f t="shared" ca="1" si="2246"/>
        <v>#NAME?</v>
      </c>
      <c r="CQ247" s="30" t="e">
        <f t="shared" ca="1" si="2246"/>
        <v>#NAME?</v>
      </c>
      <c r="CR247" s="30" t="e">
        <f t="shared" ca="1" si="2246"/>
        <v>#NAME?</v>
      </c>
      <c r="CS247" s="30" t="e">
        <f t="shared" ca="1" si="2246"/>
        <v>#NAME?</v>
      </c>
      <c r="CT247" s="30" t="e">
        <f t="shared" ca="1" si="2246"/>
        <v>#NAME?</v>
      </c>
      <c r="CU247" s="30" t="e">
        <f t="shared" ref="CU247:DB247" ca="1" si="2248">CU49-CU253</f>
        <v>#NAME?</v>
      </c>
      <c r="CV247" s="30" t="e">
        <f t="shared" ca="1" si="2248"/>
        <v>#NAME?</v>
      </c>
      <c r="CW247" s="30" t="e">
        <f t="shared" ca="1" si="2248"/>
        <v>#NAME?</v>
      </c>
      <c r="CX247" s="30" t="e">
        <f t="shared" ca="1" si="2248"/>
        <v>#NAME?</v>
      </c>
      <c r="CY247" s="30" t="e">
        <f t="shared" ca="1" si="2248"/>
        <v>#NAME?</v>
      </c>
      <c r="CZ247" s="30" t="e">
        <f t="shared" ca="1" si="2248"/>
        <v>#NAME?</v>
      </c>
      <c r="DA247" s="30" t="e">
        <f t="shared" ca="1" si="2248"/>
        <v>#NAME?</v>
      </c>
      <c r="DB247" s="30" t="e">
        <f t="shared" ca="1" si="2248"/>
        <v>#NAME?</v>
      </c>
      <c r="DE247" s="139"/>
    </row>
    <row r="248" spans="1:109" s="64" customFormat="1" hidden="1" outlineLevel="1" x14ac:dyDescent="0.2"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09" s="64" customFormat="1" hidden="1" outlineLevel="1" x14ac:dyDescent="0.2">
      <c r="A249" s="65" t="s">
        <v>352</v>
      </c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09" s="64" customFormat="1" hidden="1" outlineLevel="1" x14ac:dyDescent="0.2">
      <c r="A250" s="64" t="s">
        <v>478</v>
      </c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09" s="64" customFormat="1" hidden="1" outlineLevel="1" x14ac:dyDescent="0.2">
      <c r="A251" s="64" t="s">
        <v>479</v>
      </c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09" s="89" customFormat="1" hidden="1" outlineLevel="1" x14ac:dyDescent="0.2">
      <c r="A252" s="86" t="s">
        <v>480</v>
      </c>
      <c r="B252" s="86" t="e">
        <f>+B251/B250</f>
        <v>#DIV/0!</v>
      </c>
      <c r="C252" s="86" t="e">
        <f t="shared" ref="C252:X252" si="2249">+C251/C250</f>
        <v>#DIV/0!</v>
      </c>
      <c r="D252" s="86" t="e">
        <f t="shared" si="2249"/>
        <v>#DIV/0!</v>
      </c>
      <c r="E252" s="86" t="e">
        <f t="shared" si="2249"/>
        <v>#DIV/0!</v>
      </c>
      <c r="F252" s="86" t="e">
        <f t="shared" si="2249"/>
        <v>#DIV/0!</v>
      </c>
      <c r="G252" s="86" t="e">
        <f t="shared" si="2249"/>
        <v>#DIV/0!</v>
      </c>
      <c r="H252" s="86" t="e">
        <f t="shared" si="2249"/>
        <v>#DIV/0!</v>
      </c>
      <c r="I252" s="86" t="e">
        <f t="shared" si="2249"/>
        <v>#DIV/0!</v>
      </c>
      <c r="J252" s="86" t="e">
        <f t="shared" si="2249"/>
        <v>#DIV/0!</v>
      </c>
      <c r="K252" s="86" t="e">
        <f t="shared" si="2249"/>
        <v>#DIV/0!</v>
      </c>
      <c r="L252" s="86" t="e">
        <f t="shared" si="2249"/>
        <v>#DIV/0!</v>
      </c>
      <c r="M252" s="86" t="e">
        <f t="shared" si="2249"/>
        <v>#DIV/0!</v>
      </c>
      <c r="N252" s="86" t="e">
        <f t="shared" si="2249"/>
        <v>#DIV/0!</v>
      </c>
      <c r="O252" s="86" t="e">
        <f t="shared" si="2249"/>
        <v>#DIV/0!</v>
      </c>
      <c r="P252" s="86" t="e">
        <f t="shared" si="2249"/>
        <v>#DIV/0!</v>
      </c>
      <c r="Q252" s="86" t="e">
        <f t="shared" si="2249"/>
        <v>#DIV/0!</v>
      </c>
      <c r="R252" s="86" t="e">
        <f t="shared" si="2249"/>
        <v>#DIV/0!</v>
      </c>
      <c r="S252" s="86" t="e">
        <f t="shared" si="2249"/>
        <v>#DIV/0!</v>
      </c>
      <c r="T252" s="86" t="e">
        <f t="shared" si="2249"/>
        <v>#DIV/0!</v>
      </c>
      <c r="U252" s="86" t="e">
        <f t="shared" si="2249"/>
        <v>#DIV/0!</v>
      </c>
      <c r="V252" s="86" t="e">
        <f t="shared" si="2249"/>
        <v>#DIV/0!</v>
      </c>
      <c r="W252" s="86" t="e">
        <f t="shared" si="2249"/>
        <v>#DIV/0!</v>
      </c>
      <c r="X252" s="86" t="e">
        <f t="shared" si="2249"/>
        <v>#DIV/0!</v>
      </c>
      <c r="Y252" s="86" t="e">
        <f t="shared" ref="Y252:Z252" si="2250">+Y251/Y250</f>
        <v>#DIV/0!</v>
      </c>
      <c r="Z252" s="86" t="e">
        <f t="shared" si="2250"/>
        <v>#DIV/0!</v>
      </c>
      <c r="AA252" s="86" t="e">
        <f t="shared" ref="AA252" si="2251">+AA251/AA250</f>
        <v>#DIV/0!</v>
      </c>
      <c r="AB252" s="87"/>
      <c r="AC252" s="87"/>
      <c r="AD252" s="87"/>
      <c r="AE252" s="87"/>
      <c r="AF252" s="86"/>
      <c r="AG252" s="86"/>
      <c r="AH252" s="86"/>
      <c r="AI252" s="86" t="e">
        <f t="shared" ref="AI252" si="2252">+AI251/AI250</f>
        <v>#DIV/0!</v>
      </c>
      <c r="AJ252" s="86" t="e">
        <f t="shared" ref="AJ252" si="2253">+AJ251/AJ250</f>
        <v>#DIV/0!</v>
      </c>
      <c r="AK252" s="86" t="e">
        <f t="shared" ref="AK252" si="2254">+AK251/AK250</f>
        <v>#DIV/0!</v>
      </c>
      <c r="AL252" s="86" t="e">
        <f t="shared" ref="AL252" si="2255">+AL251/AL250</f>
        <v>#DIV/0!</v>
      </c>
      <c r="AM252" s="86" t="e">
        <f t="shared" ref="AM252" si="2256">+AM251/AM250</f>
        <v>#DIV/0!</v>
      </c>
      <c r="AN252" s="86" t="e">
        <f t="shared" ref="AN252" si="2257">+AN251/AN250</f>
        <v>#DIV/0!</v>
      </c>
      <c r="AO252" s="86" t="e">
        <f t="shared" ref="AO252" si="2258">+AO251/AO250</f>
        <v>#DIV/0!</v>
      </c>
      <c r="AP252" s="86" t="e">
        <f t="shared" ref="AP252" si="2259">+AP251/AP250</f>
        <v>#DIV/0!</v>
      </c>
      <c r="AQ252" s="86" t="e">
        <f t="shared" ref="AQ252" si="2260">+AQ251/AQ250</f>
        <v>#DIV/0!</v>
      </c>
      <c r="AR252" s="86" t="e">
        <f t="shared" ref="AR252" si="2261">+AR251/AR250</f>
        <v>#DIV/0!</v>
      </c>
      <c r="AS252" s="86" t="e">
        <f t="shared" ref="AS252" si="2262">+AS251/AS250</f>
        <v>#DIV/0!</v>
      </c>
      <c r="AT252" s="86" t="e">
        <f t="shared" ref="AT252" si="2263">+AT251/AT250</f>
        <v>#DIV/0!</v>
      </c>
      <c r="AU252" s="86" t="e">
        <f t="shared" ref="AU252" si="2264">+AU251/AU250</f>
        <v>#DIV/0!</v>
      </c>
      <c r="AV252" s="86" t="e">
        <f t="shared" ref="AV252" si="2265">+AV251/AV250</f>
        <v>#DIV/0!</v>
      </c>
      <c r="AW252" s="86" t="e">
        <f t="shared" ref="AW252" si="2266">+AW251/AW250</f>
        <v>#DIV/0!</v>
      </c>
      <c r="AX252" s="86" t="e">
        <f t="shared" ref="AX252" si="2267">+AX251/AX250</f>
        <v>#DIV/0!</v>
      </c>
      <c r="AY252" s="86" t="e">
        <f t="shared" ref="AY252" si="2268">+AY251/AY250</f>
        <v>#DIV/0!</v>
      </c>
      <c r="AZ252" s="86" t="e">
        <f t="shared" ref="AZ252" si="2269">+AZ251/AZ250</f>
        <v>#DIV/0!</v>
      </c>
      <c r="BA252" s="86" t="e">
        <f t="shared" ref="BA252" si="2270">+BA251/BA250</f>
        <v>#DIV/0!</v>
      </c>
      <c r="BB252" s="86" t="e">
        <f t="shared" ref="BB252" si="2271">+BB251/BB250</f>
        <v>#DIV/0!</v>
      </c>
      <c r="BC252" s="86" t="e">
        <f t="shared" ref="BC252" si="2272">+BC251/BC250</f>
        <v>#DIV/0!</v>
      </c>
      <c r="BD252" s="86" t="e">
        <f t="shared" ref="BD252" si="2273">+BD251/BD250</f>
        <v>#DIV/0!</v>
      </c>
      <c r="BE252" s="86" t="e">
        <f t="shared" ref="BE252" si="2274">+BE251/BE250</f>
        <v>#DIV/0!</v>
      </c>
      <c r="BF252" s="86" t="e">
        <f t="shared" ref="BF252" si="2275">+BF251/BF250</f>
        <v>#DIV/0!</v>
      </c>
      <c r="BG252" s="86" t="e">
        <f t="shared" ref="BG252" si="2276">+BG251/BG250</f>
        <v>#DIV/0!</v>
      </c>
      <c r="BH252" s="86" t="e">
        <f t="shared" ref="BH252" si="2277">+BH251/BH250</f>
        <v>#DIV/0!</v>
      </c>
      <c r="BI252" s="86" t="e">
        <f t="shared" ref="BI252" si="2278">+BI251/BI250</f>
        <v>#DIV/0!</v>
      </c>
      <c r="BJ252" s="86" t="e">
        <f t="shared" ref="BJ252" si="2279">+BJ251/BJ250</f>
        <v>#DIV/0!</v>
      </c>
      <c r="BK252" s="86" t="e">
        <f t="shared" ref="BK252" si="2280">+BK251/BK250</f>
        <v>#DIV/0!</v>
      </c>
      <c r="BL252" s="86" t="e">
        <f t="shared" ref="BL252" si="2281">+BL251/BL250</f>
        <v>#DIV/0!</v>
      </c>
      <c r="BM252" s="86" t="e">
        <f t="shared" ref="BM252" si="2282">+BM251/BM250</f>
        <v>#DIV/0!</v>
      </c>
      <c r="BN252" s="86" t="e">
        <f t="shared" ref="BN252" si="2283">+BN251/BN250</f>
        <v>#DIV/0!</v>
      </c>
      <c r="BO252" s="86" t="e">
        <f t="shared" ref="BO252" si="2284">+BO251/BO250</f>
        <v>#DIV/0!</v>
      </c>
      <c r="BP252" s="86" t="e">
        <f t="shared" ref="BP252" si="2285">+BP251/BP250</f>
        <v>#DIV/0!</v>
      </c>
      <c r="BQ252" s="86" t="e">
        <f t="shared" ref="BQ252" si="2286">+BQ251/BQ250</f>
        <v>#DIV/0!</v>
      </c>
      <c r="BR252" s="86" t="e">
        <f t="shared" ref="BR252" si="2287">+BR251/BR250</f>
        <v>#DIV/0!</v>
      </c>
      <c r="BS252" s="86" t="e">
        <f t="shared" ref="BS252" si="2288">+BS251/BS250</f>
        <v>#DIV/0!</v>
      </c>
      <c r="BT252" s="86" t="e">
        <f t="shared" ref="BT252" si="2289">+BT251/BT250</f>
        <v>#DIV/0!</v>
      </c>
      <c r="BU252" s="86" t="e">
        <f t="shared" ref="BU252" si="2290">+BU251/BU250</f>
        <v>#DIV/0!</v>
      </c>
      <c r="BV252" s="86" t="e">
        <f t="shared" ref="BV252" si="2291">+BV251/BV250</f>
        <v>#DIV/0!</v>
      </c>
      <c r="BW252" s="86" t="e">
        <f t="shared" ref="BW252" si="2292">+BW251/BW250</f>
        <v>#DIV/0!</v>
      </c>
      <c r="BX252" s="86" t="e">
        <f t="shared" ref="BX252" si="2293">+BX251/BX250</f>
        <v>#DIV/0!</v>
      </c>
      <c r="BY252" s="86" t="e">
        <f t="shared" ref="BY252" si="2294">+BY251/BY250</f>
        <v>#DIV/0!</v>
      </c>
      <c r="BZ252" s="86" t="e">
        <f t="shared" ref="BZ252" si="2295">+BZ251/BZ250</f>
        <v>#DIV/0!</v>
      </c>
      <c r="CA252" s="86" t="e">
        <f t="shared" ref="CA252" si="2296">+CA251/CA250</f>
        <v>#DIV/0!</v>
      </c>
      <c r="CB252" s="86" t="e">
        <f t="shared" ref="CB252:CC252" si="2297">+CB251/CB250</f>
        <v>#DIV/0!</v>
      </c>
      <c r="CC252" s="86" t="e">
        <f t="shared" si="2297"/>
        <v>#DIV/0!</v>
      </c>
      <c r="CD252" s="86" t="e">
        <f t="shared" ref="CD252" si="2298">+CD251/CD250</f>
        <v>#DIV/0!</v>
      </c>
      <c r="CE252" s="86" t="e">
        <f t="shared" ref="CE252:CF252" si="2299">+CE251/CE250</f>
        <v>#DIV/0!</v>
      </c>
      <c r="CF252" s="86" t="e">
        <f t="shared" si="2299"/>
        <v>#DIV/0!</v>
      </c>
      <c r="CG252" s="86" t="e">
        <f t="shared" ref="CG252:CH252" si="2300">+CG251/CG250</f>
        <v>#DIV/0!</v>
      </c>
      <c r="CH252" s="86" t="e">
        <f t="shared" si="2300"/>
        <v>#DIV/0!</v>
      </c>
      <c r="CI252" s="86" t="e">
        <f t="shared" ref="CI252:CJ252" si="2301">+CI251/CI250</f>
        <v>#DIV/0!</v>
      </c>
      <c r="CJ252" s="86" t="e">
        <f t="shared" si="2301"/>
        <v>#DIV/0!</v>
      </c>
      <c r="CK252" s="86" t="e">
        <f t="shared" ref="CK252:DB252" si="2302">+CK251/CK250</f>
        <v>#DIV/0!</v>
      </c>
      <c r="CL252" s="86" t="e">
        <f t="shared" si="2302"/>
        <v>#DIV/0!</v>
      </c>
      <c r="CM252" s="47" t="e">
        <f t="shared" si="2302"/>
        <v>#DIV/0!</v>
      </c>
      <c r="CN252" s="47" t="e">
        <f t="shared" si="2302"/>
        <v>#DIV/0!</v>
      </c>
      <c r="CO252" s="47" t="e">
        <f t="shared" si="2302"/>
        <v>#DIV/0!</v>
      </c>
      <c r="CP252" s="47" t="e">
        <f t="shared" si="2302"/>
        <v>#DIV/0!</v>
      </c>
      <c r="CQ252" s="47" t="e">
        <f t="shared" si="2302"/>
        <v>#DIV/0!</v>
      </c>
      <c r="CR252" s="47" t="e">
        <f t="shared" si="2302"/>
        <v>#DIV/0!</v>
      </c>
      <c r="CS252" s="47" t="e">
        <f t="shared" si="2302"/>
        <v>#DIV/0!</v>
      </c>
      <c r="CT252" s="47" t="e">
        <f t="shared" si="2302"/>
        <v>#DIV/0!</v>
      </c>
      <c r="CU252" s="47" t="e">
        <f t="shared" si="2302"/>
        <v>#DIV/0!</v>
      </c>
      <c r="CV252" s="47" t="e">
        <f t="shared" si="2302"/>
        <v>#DIV/0!</v>
      </c>
      <c r="CW252" s="47" t="e">
        <f t="shared" si="2302"/>
        <v>#DIV/0!</v>
      </c>
      <c r="CX252" s="47" t="e">
        <f t="shared" si="2302"/>
        <v>#DIV/0!</v>
      </c>
      <c r="CY252" s="47" t="e">
        <f t="shared" si="2302"/>
        <v>#DIV/0!</v>
      </c>
      <c r="CZ252" s="47" t="e">
        <f t="shared" si="2302"/>
        <v>#DIV/0!</v>
      </c>
      <c r="DA252" s="47" t="e">
        <f t="shared" si="2302"/>
        <v>#DIV/0!</v>
      </c>
      <c r="DB252" s="47" t="e">
        <f t="shared" si="2302"/>
        <v>#DIV/0!</v>
      </c>
      <c r="DE252" s="130"/>
    </row>
    <row r="253" spans="1:109" s="64" customFormat="1" hidden="1" outlineLevel="1" x14ac:dyDescent="0.2">
      <c r="A253" s="64" t="s">
        <v>481</v>
      </c>
      <c r="AB253" s="30"/>
      <c r="AC253" s="30"/>
      <c r="AD253" s="30"/>
      <c r="AE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09" s="62" customFormat="1" hidden="1" outlineLevel="1" x14ac:dyDescent="0.2">
      <c r="AB254" s="63"/>
      <c r="AC254" s="63"/>
      <c r="AD254" s="63"/>
      <c r="AE254" s="63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09" s="11" customFormat="1" collapsed="1" x14ac:dyDescent="0.2">
      <c r="AB255" s="63"/>
      <c r="AC255" s="63"/>
      <c r="AD255" s="63"/>
      <c r="AE255" s="63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09" s="62" customFormat="1" x14ac:dyDescent="0.2">
      <c r="A256" s="154" t="s">
        <v>497</v>
      </c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63"/>
      <c r="AC256" s="63"/>
      <c r="AD256" s="63"/>
      <c r="AE256" s="63"/>
      <c r="AL256" s="180"/>
      <c r="CF256" s="180"/>
      <c r="CG256" s="180"/>
      <c r="CH256" s="180"/>
      <c r="CI256" s="180"/>
      <c r="CJ256" s="180"/>
      <c r="CK256" s="180"/>
      <c r="CL256" s="18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84" customFormat="1" x14ac:dyDescent="0.2">
      <c r="A257" s="84" t="s">
        <v>512</v>
      </c>
      <c r="B257" s="84" t="e">
        <f ca="1">B16/B178</f>
        <v>#NAME?</v>
      </c>
      <c r="C257" s="84" t="e">
        <f ca="1">C16/C178</f>
        <v>#NAME?</v>
      </c>
      <c r="D257" s="84" t="e">
        <f ca="1">D16/D178</f>
        <v>#NAME?</v>
      </c>
      <c r="E257" s="84" t="e">
        <f t="shared" ref="E257:Y257" ca="1" si="2303">E18/(E174+E161+E151)</f>
        <v>#NAME?</v>
      </c>
      <c r="F257" s="84" t="e">
        <f t="shared" ca="1" si="2303"/>
        <v>#NAME?</v>
      </c>
      <c r="G257" s="84" t="e">
        <f t="shared" ca="1" si="2303"/>
        <v>#NAME?</v>
      </c>
      <c r="H257" s="84" t="e">
        <f t="shared" ca="1" si="2303"/>
        <v>#NAME?</v>
      </c>
      <c r="I257" s="84" t="e">
        <f t="shared" ca="1" si="2303"/>
        <v>#NAME?</v>
      </c>
      <c r="J257" s="84" t="e">
        <f t="shared" ca="1" si="2303"/>
        <v>#NAME?</v>
      </c>
      <c r="K257" s="84" t="e">
        <f t="shared" ca="1" si="2303"/>
        <v>#NAME?</v>
      </c>
      <c r="L257" s="84" t="e">
        <f t="shared" ca="1" si="2303"/>
        <v>#NAME?</v>
      </c>
      <c r="M257" s="84" t="e">
        <f t="shared" ca="1" si="2303"/>
        <v>#NAME?</v>
      </c>
      <c r="N257" s="84" t="e">
        <f t="shared" ca="1" si="2303"/>
        <v>#NAME?</v>
      </c>
      <c r="O257" s="84" t="e">
        <f t="shared" ca="1" si="2303"/>
        <v>#NAME?</v>
      </c>
      <c r="P257" s="84" t="e">
        <f t="shared" ca="1" si="2303"/>
        <v>#NAME?</v>
      </c>
      <c r="Q257" s="84" t="e">
        <f t="shared" ca="1" si="2303"/>
        <v>#NAME?</v>
      </c>
      <c r="R257" s="84" t="e">
        <f t="shared" ca="1" si="2303"/>
        <v>#NAME?</v>
      </c>
      <c r="S257" s="84" t="e">
        <f t="shared" ca="1" si="2303"/>
        <v>#NAME?</v>
      </c>
      <c r="T257" s="84" t="e">
        <f t="shared" ca="1" si="2303"/>
        <v>#NAME?</v>
      </c>
      <c r="U257" s="84" t="e">
        <f t="shared" ca="1" si="2303"/>
        <v>#NAME?</v>
      </c>
      <c r="V257" s="84" t="e">
        <f t="shared" ca="1" si="2303"/>
        <v>#NAME?</v>
      </c>
      <c r="W257" s="84" t="e">
        <f t="shared" ca="1" si="2303"/>
        <v>#NAME?</v>
      </c>
      <c r="X257" s="84" t="e">
        <f t="shared" ca="1" si="2303"/>
        <v>#NAME?</v>
      </c>
      <c r="Y257" s="84" t="e">
        <f t="shared" ca="1" si="2303"/>
        <v>#NAME?</v>
      </c>
      <c r="Z257" s="84" t="e">
        <f ca="1">Z18/(Z174+Z161+Z151)</f>
        <v>#NAME?</v>
      </c>
      <c r="AA257" s="84" t="e">
        <f ca="1">AA18/(AA174+AA161+AA151)</f>
        <v>#NAME?</v>
      </c>
      <c r="AB257" s="50" t="e">
        <f t="shared" ref="AA257:AE257" ca="1" si="2304">AB18/(AB174+AB161+AB151)</f>
        <v>#NAME?</v>
      </c>
      <c r="AC257" s="50" t="e">
        <f t="shared" ca="1" si="2304"/>
        <v>#NAME?</v>
      </c>
      <c r="AD257" s="50" t="e">
        <f t="shared" ca="1" si="2304"/>
        <v>#NAME?</v>
      </c>
      <c r="AE257" s="50" t="e">
        <f t="shared" ca="1" si="2304"/>
        <v>#NAME?</v>
      </c>
      <c r="AL257" s="84" t="e">
        <f ca="1">SUM(AI18:AL18)/(AL174+AL161+AL151)</f>
        <v>#NAME?</v>
      </c>
      <c r="AM257" s="84" t="e">
        <f t="shared" ref="AM257:CL257" ca="1" si="2305">SUM(AJ18:AM18)/(AM174+AM161+AM151)</f>
        <v>#NAME?</v>
      </c>
      <c r="AN257" s="84" t="e">
        <f t="shared" ca="1" si="2305"/>
        <v>#NAME?</v>
      </c>
      <c r="AO257" s="84" t="e">
        <f t="shared" ca="1" si="2305"/>
        <v>#NAME?</v>
      </c>
      <c r="AP257" s="84" t="e">
        <f t="shared" ca="1" si="2305"/>
        <v>#NAME?</v>
      </c>
      <c r="AQ257" s="84" t="e">
        <f t="shared" ca="1" si="2305"/>
        <v>#NAME?</v>
      </c>
      <c r="AR257" s="84" t="e">
        <f t="shared" ca="1" si="2305"/>
        <v>#NAME?</v>
      </c>
      <c r="AS257" s="84" t="e">
        <f t="shared" ca="1" si="2305"/>
        <v>#NAME?</v>
      </c>
      <c r="AT257" s="84" t="e">
        <f t="shared" ca="1" si="2305"/>
        <v>#NAME?</v>
      </c>
      <c r="AU257" s="84" t="e">
        <f t="shared" ca="1" si="2305"/>
        <v>#NAME?</v>
      </c>
      <c r="AV257" s="84" t="e">
        <f t="shared" ca="1" si="2305"/>
        <v>#NAME?</v>
      </c>
      <c r="AW257" s="84" t="e">
        <f t="shared" ca="1" si="2305"/>
        <v>#NAME?</v>
      </c>
      <c r="AX257" s="84" t="e">
        <f t="shared" ca="1" si="2305"/>
        <v>#NAME?</v>
      </c>
      <c r="AY257" s="84" t="e">
        <f t="shared" ca="1" si="2305"/>
        <v>#NAME?</v>
      </c>
      <c r="AZ257" s="84" t="e">
        <f t="shared" ca="1" si="2305"/>
        <v>#NAME?</v>
      </c>
      <c r="BA257" s="84" t="e">
        <f t="shared" ca="1" si="2305"/>
        <v>#NAME?</v>
      </c>
      <c r="BB257" s="84" t="e">
        <f t="shared" ca="1" si="2305"/>
        <v>#NAME?</v>
      </c>
      <c r="BC257" s="84" t="e">
        <f t="shared" ca="1" si="2305"/>
        <v>#NAME?</v>
      </c>
      <c r="BD257" s="84" t="e">
        <f t="shared" ca="1" si="2305"/>
        <v>#NAME?</v>
      </c>
      <c r="BE257" s="84" t="e">
        <f t="shared" ca="1" si="2305"/>
        <v>#NAME?</v>
      </c>
      <c r="BF257" s="84" t="e">
        <f t="shared" ca="1" si="2305"/>
        <v>#NAME?</v>
      </c>
      <c r="BG257" s="84" t="e">
        <f t="shared" ca="1" si="2305"/>
        <v>#NAME?</v>
      </c>
      <c r="BH257" s="84" t="e">
        <f t="shared" ca="1" si="2305"/>
        <v>#NAME?</v>
      </c>
      <c r="BI257" s="84" t="e">
        <f t="shared" ca="1" si="2305"/>
        <v>#NAME?</v>
      </c>
      <c r="BJ257" s="84" t="e">
        <f t="shared" ca="1" si="2305"/>
        <v>#NAME?</v>
      </c>
      <c r="BK257" s="84" t="e">
        <f t="shared" ca="1" si="2305"/>
        <v>#NAME?</v>
      </c>
      <c r="BL257" s="84" t="e">
        <f t="shared" ca="1" si="2305"/>
        <v>#NAME?</v>
      </c>
      <c r="BM257" s="84" t="e">
        <f t="shared" ca="1" si="2305"/>
        <v>#NAME?</v>
      </c>
      <c r="BN257" s="84" t="e">
        <f t="shared" ca="1" si="2305"/>
        <v>#NAME?</v>
      </c>
      <c r="BO257" s="84" t="e">
        <f t="shared" ca="1" si="2305"/>
        <v>#NAME?</v>
      </c>
      <c r="BP257" s="84" t="e">
        <f t="shared" ca="1" si="2305"/>
        <v>#NAME?</v>
      </c>
      <c r="BQ257" s="84" t="e">
        <f t="shared" ca="1" si="2305"/>
        <v>#NAME?</v>
      </c>
      <c r="BR257" s="84" t="e">
        <f t="shared" ca="1" si="2305"/>
        <v>#NAME?</v>
      </c>
      <c r="BS257" s="84" t="e">
        <f t="shared" ca="1" si="2305"/>
        <v>#NAME?</v>
      </c>
      <c r="BT257" s="84" t="e">
        <f t="shared" ca="1" si="2305"/>
        <v>#NAME?</v>
      </c>
      <c r="BU257" s="84" t="e">
        <f t="shared" ca="1" si="2305"/>
        <v>#NAME?</v>
      </c>
      <c r="BV257" s="84" t="e">
        <f t="shared" ca="1" si="2305"/>
        <v>#NAME?</v>
      </c>
      <c r="BW257" s="84" t="e">
        <f t="shared" ca="1" si="2305"/>
        <v>#NAME?</v>
      </c>
      <c r="BX257" s="84" t="e">
        <f t="shared" ca="1" si="2305"/>
        <v>#NAME?</v>
      </c>
      <c r="BY257" s="84" t="e">
        <f t="shared" ca="1" si="2305"/>
        <v>#NAME?</v>
      </c>
      <c r="BZ257" s="84" t="e">
        <f t="shared" ca="1" si="2305"/>
        <v>#NAME?</v>
      </c>
      <c r="CA257" s="84" t="e">
        <f t="shared" ca="1" si="2305"/>
        <v>#NAME?</v>
      </c>
      <c r="CB257" s="84" t="e">
        <f t="shared" ca="1" si="2305"/>
        <v>#NAME?</v>
      </c>
      <c r="CC257" s="84" t="e">
        <f t="shared" ca="1" si="2305"/>
        <v>#NAME?</v>
      </c>
      <c r="CD257" s="84" t="e">
        <f t="shared" ca="1" si="2305"/>
        <v>#NAME?</v>
      </c>
      <c r="CE257" s="84" t="e">
        <f t="shared" ca="1" si="2305"/>
        <v>#NAME?</v>
      </c>
      <c r="CF257" s="84" t="e">
        <f t="shared" ca="1" si="2305"/>
        <v>#NAME?</v>
      </c>
      <c r="CG257" s="84" t="e">
        <f t="shared" ca="1" si="2305"/>
        <v>#NAME?</v>
      </c>
      <c r="CH257" s="84" t="e">
        <f t="shared" ca="1" si="2305"/>
        <v>#NAME?</v>
      </c>
      <c r="CI257" s="84" t="e">
        <f t="shared" ca="1" si="2305"/>
        <v>#NAME?</v>
      </c>
      <c r="CJ257" s="84" t="e">
        <f t="shared" ca="1" si="2305"/>
        <v>#NAME?</v>
      </c>
      <c r="CK257" s="84" t="e">
        <f t="shared" ref="CK257" ca="1" si="2306">SUM(CH18:CK18)/(CK174+CK161+CK151)</f>
        <v>#NAME?</v>
      </c>
      <c r="CL257" s="84" t="e">
        <f t="shared" ca="1" si="2305"/>
        <v>#NAME?</v>
      </c>
      <c r="CM257" s="50" t="e">
        <f t="shared" ref="CM257:DB257" ca="1" si="2307">SUM(CJ18:CM18)/(CM174+CM161+CM151)</f>
        <v>#NAME?</v>
      </c>
      <c r="CN257" s="50" t="e">
        <f t="shared" ca="1" si="2307"/>
        <v>#NAME?</v>
      </c>
      <c r="CO257" s="50" t="e">
        <f t="shared" ca="1" si="2307"/>
        <v>#NAME?</v>
      </c>
      <c r="CP257" s="50" t="e">
        <f t="shared" ca="1" si="2307"/>
        <v>#NAME?</v>
      </c>
      <c r="CQ257" s="50" t="e">
        <f t="shared" ca="1" si="2307"/>
        <v>#NAME?</v>
      </c>
      <c r="CR257" s="50" t="e">
        <f t="shared" ca="1" si="2307"/>
        <v>#NAME?</v>
      </c>
      <c r="CS257" s="50" t="e">
        <f t="shared" ca="1" si="2307"/>
        <v>#NAME?</v>
      </c>
      <c r="CT257" s="50" t="e">
        <f t="shared" ca="1" si="2307"/>
        <v>#NAME?</v>
      </c>
      <c r="CU257" s="50" t="e">
        <f t="shared" ca="1" si="2307"/>
        <v>#NAME?</v>
      </c>
      <c r="CV257" s="50" t="e">
        <f t="shared" ca="1" si="2307"/>
        <v>#NAME?</v>
      </c>
      <c r="CW257" s="50" t="e">
        <f t="shared" ca="1" si="2307"/>
        <v>#NAME?</v>
      </c>
      <c r="CX257" s="50" t="e">
        <f t="shared" ca="1" si="2307"/>
        <v>#NAME?</v>
      </c>
      <c r="CY257" s="50" t="e">
        <f t="shared" ca="1" si="2307"/>
        <v>#NAME?</v>
      </c>
      <c r="CZ257" s="50" t="e">
        <f t="shared" ca="1" si="2307"/>
        <v>#NAME?</v>
      </c>
      <c r="DA257" s="50" t="e">
        <f t="shared" ca="1" si="2307"/>
        <v>#NAME?</v>
      </c>
      <c r="DB257" s="50" t="e">
        <f t="shared" ca="1" si="2307"/>
        <v>#NAME?</v>
      </c>
      <c r="DE257" s="138"/>
      <c r="DF257" s="84">
        <v>0.45445260531515663</v>
      </c>
    </row>
    <row r="258" spans="1:110" s="84" customFormat="1" x14ac:dyDescent="0.2">
      <c r="A258" s="84" t="s">
        <v>513</v>
      </c>
      <c r="E258" s="181" t="e">
        <f ca="1">+E50</f>
        <v>#NAME?</v>
      </c>
      <c r="F258" s="181" t="e">
        <f t="shared" ref="F258:AE258" ca="1" si="2308">+F50</f>
        <v>#NAME?</v>
      </c>
      <c r="G258" s="181" t="e">
        <f t="shared" ca="1" si="2308"/>
        <v>#NAME?</v>
      </c>
      <c r="H258" s="181" t="e">
        <f t="shared" ca="1" si="2308"/>
        <v>#NAME?</v>
      </c>
      <c r="I258" s="181" t="e">
        <f t="shared" ca="1" si="2308"/>
        <v>#NAME?</v>
      </c>
      <c r="J258" s="181" t="e">
        <f t="shared" ca="1" si="2308"/>
        <v>#NAME?</v>
      </c>
      <c r="K258" s="181" t="e">
        <f t="shared" ca="1" si="2308"/>
        <v>#NAME?</v>
      </c>
      <c r="L258" s="181" t="e">
        <f t="shared" ca="1" si="2308"/>
        <v>#NAME?</v>
      </c>
      <c r="M258" s="181" t="e">
        <f t="shared" ca="1" si="2308"/>
        <v>#NAME?</v>
      </c>
      <c r="N258" s="181" t="e">
        <f t="shared" ca="1" si="2308"/>
        <v>#NAME?</v>
      </c>
      <c r="O258" s="181" t="e">
        <f t="shared" ca="1" si="2308"/>
        <v>#NAME?</v>
      </c>
      <c r="P258" s="181" t="e">
        <f t="shared" ca="1" si="2308"/>
        <v>#NAME?</v>
      </c>
      <c r="Q258" s="181" t="e">
        <f t="shared" ca="1" si="2308"/>
        <v>#NAME?</v>
      </c>
      <c r="R258" s="181" t="e">
        <f t="shared" ca="1" si="2308"/>
        <v>#NAME?</v>
      </c>
      <c r="S258" s="181" t="e">
        <f t="shared" ca="1" si="2308"/>
        <v>#NAME?</v>
      </c>
      <c r="T258" s="181" t="e">
        <f t="shared" ca="1" si="2308"/>
        <v>#NAME?</v>
      </c>
      <c r="U258" s="181" t="e">
        <f t="shared" ca="1" si="2308"/>
        <v>#NAME?</v>
      </c>
      <c r="V258" s="181" t="e">
        <f t="shared" ca="1" si="2308"/>
        <v>#NAME?</v>
      </c>
      <c r="W258" s="181" t="e">
        <f t="shared" ca="1" si="2308"/>
        <v>#NAME?</v>
      </c>
      <c r="X258" s="181" t="e">
        <f t="shared" ca="1" si="2308"/>
        <v>#NAME?</v>
      </c>
      <c r="Y258" s="181" t="e">
        <f t="shared" ca="1" si="2308"/>
        <v>#NAME?</v>
      </c>
      <c r="Z258" s="181" t="e">
        <f t="shared" ca="1" si="2308"/>
        <v>#NAME?</v>
      </c>
      <c r="AA258" s="181" t="e">
        <f t="shared" ref="AA258" ca="1" si="2309">+AA50</f>
        <v>#NAME?</v>
      </c>
      <c r="AB258" s="182" t="e">
        <f t="shared" ca="1" si="2308"/>
        <v>#NAME?</v>
      </c>
      <c r="AC258" s="182" t="e">
        <f t="shared" ca="1" si="2308"/>
        <v>#NAME?</v>
      </c>
      <c r="AD258" s="182" t="e">
        <f t="shared" ca="1" si="2308"/>
        <v>#NAME?</v>
      </c>
      <c r="AE258" s="182" t="e">
        <f t="shared" ca="1" si="2308"/>
        <v>#NAME?</v>
      </c>
      <c r="AL258" s="181" t="e">
        <f t="shared" ref="AL258:CW258" ca="1" si="2310">+AL50</f>
        <v>#NAME?</v>
      </c>
      <c r="AM258" s="181" t="e">
        <f t="shared" ca="1" si="2310"/>
        <v>#NAME?</v>
      </c>
      <c r="AN258" s="181" t="e">
        <f t="shared" ca="1" si="2310"/>
        <v>#NAME?</v>
      </c>
      <c r="AO258" s="181" t="e">
        <f t="shared" ca="1" si="2310"/>
        <v>#NAME?</v>
      </c>
      <c r="AP258" s="181" t="e">
        <f t="shared" ca="1" si="2310"/>
        <v>#NAME?</v>
      </c>
      <c r="AQ258" s="181" t="e">
        <f t="shared" ca="1" si="2310"/>
        <v>#NAME?</v>
      </c>
      <c r="AR258" s="181" t="e">
        <f t="shared" ca="1" si="2310"/>
        <v>#NAME?</v>
      </c>
      <c r="AS258" s="181" t="e">
        <f t="shared" ca="1" si="2310"/>
        <v>#NAME?</v>
      </c>
      <c r="AT258" s="181" t="e">
        <f t="shared" ca="1" si="2310"/>
        <v>#NAME?</v>
      </c>
      <c r="AU258" s="181" t="e">
        <f t="shared" ca="1" si="2310"/>
        <v>#NAME?</v>
      </c>
      <c r="AV258" s="181" t="e">
        <f t="shared" ca="1" si="2310"/>
        <v>#NAME?</v>
      </c>
      <c r="AW258" s="181" t="e">
        <f t="shared" ca="1" si="2310"/>
        <v>#NAME?</v>
      </c>
      <c r="AX258" s="181" t="e">
        <f t="shared" ca="1" si="2310"/>
        <v>#NAME?</v>
      </c>
      <c r="AY258" s="181" t="e">
        <f t="shared" ca="1" si="2310"/>
        <v>#NAME?</v>
      </c>
      <c r="AZ258" s="181" t="e">
        <f t="shared" ca="1" si="2310"/>
        <v>#NAME?</v>
      </c>
      <c r="BA258" s="181" t="e">
        <f t="shared" ca="1" si="2310"/>
        <v>#NAME?</v>
      </c>
      <c r="BB258" s="181" t="e">
        <f t="shared" ca="1" si="2310"/>
        <v>#NAME?</v>
      </c>
      <c r="BC258" s="181" t="e">
        <f t="shared" ca="1" si="2310"/>
        <v>#NAME?</v>
      </c>
      <c r="BD258" s="181" t="e">
        <f t="shared" ca="1" si="2310"/>
        <v>#NAME?</v>
      </c>
      <c r="BE258" s="181" t="e">
        <f t="shared" ca="1" si="2310"/>
        <v>#NAME?</v>
      </c>
      <c r="BF258" s="181" t="e">
        <f t="shared" ca="1" si="2310"/>
        <v>#NAME?</v>
      </c>
      <c r="BG258" s="181" t="e">
        <f t="shared" ca="1" si="2310"/>
        <v>#NAME?</v>
      </c>
      <c r="BH258" s="181" t="e">
        <f t="shared" ca="1" si="2310"/>
        <v>#NAME?</v>
      </c>
      <c r="BI258" s="181" t="e">
        <f t="shared" ca="1" si="2310"/>
        <v>#NAME?</v>
      </c>
      <c r="BJ258" s="181" t="e">
        <f t="shared" ca="1" si="2310"/>
        <v>#NAME?</v>
      </c>
      <c r="BK258" s="181" t="e">
        <f t="shared" ca="1" si="2310"/>
        <v>#NAME?</v>
      </c>
      <c r="BL258" s="181" t="e">
        <f t="shared" ca="1" si="2310"/>
        <v>#NAME?</v>
      </c>
      <c r="BM258" s="181" t="e">
        <f t="shared" ca="1" si="2310"/>
        <v>#NAME?</v>
      </c>
      <c r="BN258" s="181" t="e">
        <f t="shared" ca="1" si="2310"/>
        <v>#NAME?</v>
      </c>
      <c r="BO258" s="181" t="e">
        <f t="shared" ca="1" si="2310"/>
        <v>#NAME?</v>
      </c>
      <c r="BP258" s="181" t="e">
        <f t="shared" ca="1" si="2310"/>
        <v>#NAME?</v>
      </c>
      <c r="BQ258" s="181" t="e">
        <f t="shared" ca="1" si="2310"/>
        <v>#NAME?</v>
      </c>
      <c r="BR258" s="181" t="e">
        <f t="shared" ca="1" si="2310"/>
        <v>#NAME?</v>
      </c>
      <c r="BS258" s="181" t="e">
        <f t="shared" ca="1" si="2310"/>
        <v>#NAME?</v>
      </c>
      <c r="BT258" s="181" t="e">
        <f t="shared" ca="1" si="2310"/>
        <v>#NAME?</v>
      </c>
      <c r="BU258" s="181" t="e">
        <f t="shared" ca="1" si="2310"/>
        <v>#NAME?</v>
      </c>
      <c r="BV258" s="181" t="e">
        <f t="shared" ca="1" si="2310"/>
        <v>#NAME?</v>
      </c>
      <c r="BW258" s="181" t="e">
        <f t="shared" ca="1" si="2310"/>
        <v>#NAME?</v>
      </c>
      <c r="BX258" s="181" t="e">
        <f t="shared" ca="1" si="2310"/>
        <v>#NAME?</v>
      </c>
      <c r="BY258" s="181" t="e">
        <f t="shared" ca="1" si="2310"/>
        <v>#NAME?</v>
      </c>
      <c r="BZ258" s="181" t="e">
        <f t="shared" ca="1" si="2310"/>
        <v>#NAME?</v>
      </c>
      <c r="CA258" s="181" t="e">
        <f t="shared" ca="1" si="2310"/>
        <v>#NAME?</v>
      </c>
      <c r="CB258" s="181" t="e">
        <f t="shared" ca="1" si="2310"/>
        <v>#NAME?</v>
      </c>
      <c r="CC258" s="181" t="e">
        <f t="shared" ca="1" si="2310"/>
        <v>#NAME?</v>
      </c>
      <c r="CD258" s="181" t="e">
        <f t="shared" ca="1" si="2310"/>
        <v>#NAME?</v>
      </c>
      <c r="CE258" s="181" t="e">
        <f t="shared" ca="1" si="2310"/>
        <v>#NAME?</v>
      </c>
      <c r="CF258" s="181" t="e">
        <f t="shared" ca="1" si="2310"/>
        <v>#NAME?</v>
      </c>
      <c r="CG258" s="181" t="e">
        <f t="shared" ca="1" si="2310"/>
        <v>#NAME?</v>
      </c>
      <c r="CH258" s="181" t="e">
        <f t="shared" ca="1" si="2310"/>
        <v>#NAME?</v>
      </c>
      <c r="CI258" s="181" t="e">
        <f t="shared" ca="1" si="2310"/>
        <v>#NAME?</v>
      </c>
      <c r="CJ258" s="181" t="e">
        <f t="shared" ca="1" si="2310"/>
        <v>#NAME?</v>
      </c>
      <c r="CK258" s="181" t="e">
        <f t="shared" ca="1" si="2310"/>
        <v>#NAME?</v>
      </c>
      <c r="CL258" s="181" t="e">
        <f t="shared" ref="CL258" ca="1" si="2311">+CL50</f>
        <v>#NAME?</v>
      </c>
      <c r="CM258" s="182" t="e">
        <f t="shared" ca="1" si="2310"/>
        <v>#NAME?</v>
      </c>
      <c r="CN258" s="182" t="e">
        <f t="shared" ca="1" si="2310"/>
        <v>#NAME?</v>
      </c>
      <c r="CO258" s="182" t="e">
        <f t="shared" ca="1" si="2310"/>
        <v>#NAME?</v>
      </c>
      <c r="CP258" s="182" t="e">
        <f t="shared" ca="1" si="2310"/>
        <v>#NAME?</v>
      </c>
      <c r="CQ258" s="182" t="e">
        <f t="shared" ca="1" si="2310"/>
        <v>#NAME?</v>
      </c>
      <c r="CR258" s="182" t="e">
        <f t="shared" ca="1" si="2310"/>
        <v>#NAME?</v>
      </c>
      <c r="CS258" s="182" t="e">
        <f t="shared" ca="1" si="2310"/>
        <v>#NAME?</v>
      </c>
      <c r="CT258" s="182" t="e">
        <f t="shared" ca="1" si="2310"/>
        <v>#NAME?</v>
      </c>
      <c r="CU258" s="182" t="e">
        <f t="shared" ca="1" si="2310"/>
        <v>#NAME?</v>
      </c>
      <c r="CV258" s="182" t="e">
        <f t="shared" ca="1" si="2310"/>
        <v>#NAME?</v>
      </c>
      <c r="CW258" s="182" t="e">
        <f t="shared" ca="1" si="2310"/>
        <v>#NAME?</v>
      </c>
      <c r="CX258" s="182" t="e">
        <f t="shared" ref="CX258:DB258" ca="1" si="2312">+CX50</f>
        <v>#NAME?</v>
      </c>
      <c r="CY258" s="182" t="e">
        <f t="shared" ca="1" si="2312"/>
        <v>#NAME?</v>
      </c>
      <c r="CZ258" s="182" t="e">
        <f t="shared" ca="1" si="2312"/>
        <v>#NAME?</v>
      </c>
      <c r="DA258" s="182" t="e">
        <f t="shared" ca="1" si="2312"/>
        <v>#NAME?</v>
      </c>
      <c r="DB258" s="182" t="e">
        <f t="shared" ca="1" si="2312"/>
        <v>#NAME?</v>
      </c>
      <c r="DE258" s="138"/>
      <c r="DF258" s="84">
        <v>0.14209158474289452</v>
      </c>
    </row>
    <row r="259" spans="1:110" s="84" customFormat="1" x14ac:dyDescent="0.2">
      <c r="A259" s="84" t="s">
        <v>514</v>
      </c>
      <c r="E259" s="84" t="e">
        <f ca="1">(E174+E161+E151+E153)/E133</f>
        <v>#NAME?</v>
      </c>
      <c r="F259" s="84" t="e">
        <f t="shared" ref="F259:AE259" ca="1" si="2313">(F174+F161+F151+F153)/F133</f>
        <v>#NAME?</v>
      </c>
      <c r="G259" s="84" t="e">
        <f t="shared" ca="1" si="2313"/>
        <v>#NAME?</v>
      </c>
      <c r="H259" s="84" t="e">
        <f t="shared" ca="1" si="2313"/>
        <v>#NAME?</v>
      </c>
      <c r="I259" s="84" t="e">
        <f t="shared" ca="1" si="2313"/>
        <v>#NAME?</v>
      </c>
      <c r="J259" s="84" t="e">
        <f t="shared" ca="1" si="2313"/>
        <v>#NAME?</v>
      </c>
      <c r="K259" s="84" t="e">
        <f t="shared" ca="1" si="2313"/>
        <v>#NAME?</v>
      </c>
      <c r="L259" s="84" t="e">
        <f t="shared" ca="1" si="2313"/>
        <v>#NAME?</v>
      </c>
      <c r="M259" s="84" t="e">
        <f t="shared" ca="1" si="2313"/>
        <v>#NAME?</v>
      </c>
      <c r="N259" s="84" t="e">
        <f t="shared" ca="1" si="2313"/>
        <v>#NAME?</v>
      </c>
      <c r="O259" s="84" t="e">
        <f t="shared" ca="1" si="2313"/>
        <v>#NAME?</v>
      </c>
      <c r="P259" s="84" t="e">
        <f t="shared" ca="1" si="2313"/>
        <v>#NAME?</v>
      </c>
      <c r="Q259" s="84" t="e">
        <f t="shared" ca="1" si="2313"/>
        <v>#NAME?</v>
      </c>
      <c r="R259" s="84" t="e">
        <f t="shared" ca="1" si="2313"/>
        <v>#NAME?</v>
      </c>
      <c r="S259" s="84" t="e">
        <f t="shared" ca="1" si="2313"/>
        <v>#NAME?</v>
      </c>
      <c r="T259" s="84" t="e">
        <f t="shared" ca="1" si="2313"/>
        <v>#NAME?</v>
      </c>
      <c r="U259" s="84" t="e">
        <f t="shared" ca="1" si="2313"/>
        <v>#NAME?</v>
      </c>
      <c r="V259" s="84" t="e">
        <f t="shared" ca="1" si="2313"/>
        <v>#NAME?</v>
      </c>
      <c r="W259" s="84" t="e">
        <f t="shared" ca="1" si="2313"/>
        <v>#NAME?</v>
      </c>
      <c r="X259" s="84" t="e">
        <f t="shared" ca="1" si="2313"/>
        <v>#NAME?</v>
      </c>
      <c r="Y259" s="84" t="e">
        <f t="shared" ca="1" si="2313"/>
        <v>#NAME?</v>
      </c>
      <c r="Z259" s="84" t="e">
        <f t="shared" ca="1" si="2313"/>
        <v>#NAME?</v>
      </c>
      <c r="AA259" s="84" t="e">
        <f t="shared" ref="AA259" ca="1" si="2314">(AA174+AA161+AA151+AA153)/AA133</f>
        <v>#NAME?</v>
      </c>
      <c r="AB259" s="50" t="e">
        <f t="shared" ca="1" si="2313"/>
        <v>#NAME?</v>
      </c>
      <c r="AC259" s="50" t="e">
        <f t="shared" ca="1" si="2313"/>
        <v>#NAME?</v>
      </c>
      <c r="AD259" s="50" t="e">
        <f t="shared" ca="1" si="2313"/>
        <v>#NAME?</v>
      </c>
      <c r="AE259" s="50" t="e">
        <f t="shared" ca="1" si="2313"/>
        <v>#NAME?</v>
      </c>
      <c r="AL259" s="84" t="e">
        <f t="shared" ref="AL259:CW259" ca="1" si="2315">(AL174+AL161+AL151+AL153)/AL133</f>
        <v>#NAME?</v>
      </c>
      <c r="AM259" s="84" t="e">
        <f t="shared" ca="1" si="2315"/>
        <v>#NAME?</v>
      </c>
      <c r="AN259" s="84" t="e">
        <f t="shared" ca="1" si="2315"/>
        <v>#NAME?</v>
      </c>
      <c r="AO259" s="84" t="e">
        <f t="shared" ca="1" si="2315"/>
        <v>#NAME?</v>
      </c>
      <c r="AP259" s="84" t="e">
        <f t="shared" ca="1" si="2315"/>
        <v>#NAME?</v>
      </c>
      <c r="AQ259" s="84" t="e">
        <f t="shared" ca="1" si="2315"/>
        <v>#NAME?</v>
      </c>
      <c r="AR259" s="84" t="e">
        <f t="shared" ca="1" si="2315"/>
        <v>#NAME?</v>
      </c>
      <c r="AS259" s="84" t="e">
        <f t="shared" ca="1" si="2315"/>
        <v>#NAME?</v>
      </c>
      <c r="AT259" s="84" t="e">
        <f t="shared" ca="1" si="2315"/>
        <v>#NAME?</v>
      </c>
      <c r="AU259" s="84" t="e">
        <f t="shared" ca="1" si="2315"/>
        <v>#NAME?</v>
      </c>
      <c r="AV259" s="84" t="e">
        <f t="shared" ca="1" si="2315"/>
        <v>#NAME?</v>
      </c>
      <c r="AW259" s="84" t="e">
        <f t="shared" ca="1" si="2315"/>
        <v>#NAME?</v>
      </c>
      <c r="AX259" s="84" t="e">
        <f t="shared" ca="1" si="2315"/>
        <v>#NAME?</v>
      </c>
      <c r="AY259" s="84" t="e">
        <f t="shared" ca="1" si="2315"/>
        <v>#NAME?</v>
      </c>
      <c r="AZ259" s="84" t="e">
        <f t="shared" ca="1" si="2315"/>
        <v>#NAME?</v>
      </c>
      <c r="BA259" s="84" t="e">
        <f t="shared" ca="1" si="2315"/>
        <v>#NAME?</v>
      </c>
      <c r="BB259" s="84" t="e">
        <f t="shared" ca="1" si="2315"/>
        <v>#NAME?</v>
      </c>
      <c r="BC259" s="84" t="e">
        <f t="shared" ca="1" si="2315"/>
        <v>#NAME?</v>
      </c>
      <c r="BD259" s="84" t="e">
        <f t="shared" ca="1" si="2315"/>
        <v>#NAME?</v>
      </c>
      <c r="BE259" s="84" t="e">
        <f t="shared" ca="1" si="2315"/>
        <v>#NAME?</v>
      </c>
      <c r="BF259" s="84" t="e">
        <f t="shared" ca="1" si="2315"/>
        <v>#NAME?</v>
      </c>
      <c r="BG259" s="84" t="e">
        <f t="shared" ca="1" si="2315"/>
        <v>#NAME?</v>
      </c>
      <c r="BH259" s="84" t="e">
        <f t="shared" ca="1" si="2315"/>
        <v>#NAME?</v>
      </c>
      <c r="BI259" s="84" t="e">
        <f t="shared" ca="1" si="2315"/>
        <v>#NAME?</v>
      </c>
      <c r="BJ259" s="84" t="e">
        <f t="shared" ca="1" si="2315"/>
        <v>#NAME?</v>
      </c>
      <c r="BK259" s="84" t="e">
        <f t="shared" ca="1" si="2315"/>
        <v>#NAME?</v>
      </c>
      <c r="BL259" s="84" t="e">
        <f t="shared" ca="1" si="2315"/>
        <v>#NAME?</v>
      </c>
      <c r="BM259" s="84" t="e">
        <f t="shared" ca="1" si="2315"/>
        <v>#NAME?</v>
      </c>
      <c r="BN259" s="84" t="e">
        <f t="shared" ca="1" si="2315"/>
        <v>#NAME?</v>
      </c>
      <c r="BO259" s="84" t="e">
        <f t="shared" ca="1" si="2315"/>
        <v>#NAME?</v>
      </c>
      <c r="BP259" s="84" t="e">
        <f t="shared" ca="1" si="2315"/>
        <v>#NAME?</v>
      </c>
      <c r="BQ259" s="84" t="e">
        <f t="shared" ca="1" si="2315"/>
        <v>#NAME?</v>
      </c>
      <c r="BR259" s="84" t="e">
        <f t="shared" ca="1" si="2315"/>
        <v>#NAME?</v>
      </c>
      <c r="BS259" s="84" t="e">
        <f t="shared" ca="1" si="2315"/>
        <v>#NAME?</v>
      </c>
      <c r="BT259" s="84" t="e">
        <f t="shared" ca="1" si="2315"/>
        <v>#NAME?</v>
      </c>
      <c r="BU259" s="84" t="e">
        <f t="shared" ca="1" si="2315"/>
        <v>#NAME?</v>
      </c>
      <c r="BV259" s="84" t="e">
        <f t="shared" ca="1" si="2315"/>
        <v>#NAME?</v>
      </c>
      <c r="BW259" s="84" t="e">
        <f t="shared" ca="1" si="2315"/>
        <v>#NAME?</v>
      </c>
      <c r="BX259" s="84" t="e">
        <f t="shared" ca="1" si="2315"/>
        <v>#NAME?</v>
      </c>
      <c r="BY259" s="84" t="e">
        <f t="shared" ca="1" si="2315"/>
        <v>#NAME?</v>
      </c>
      <c r="BZ259" s="84" t="e">
        <f t="shared" ca="1" si="2315"/>
        <v>#NAME?</v>
      </c>
      <c r="CA259" s="84" t="e">
        <f t="shared" ca="1" si="2315"/>
        <v>#NAME?</v>
      </c>
      <c r="CB259" s="84" t="e">
        <f t="shared" ca="1" si="2315"/>
        <v>#NAME?</v>
      </c>
      <c r="CC259" s="84" t="e">
        <f t="shared" ca="1" si="2315"/>
        <v>#NAME?</v>
      </c>
      <c r="CD259" s="84" t="e">
        <f t="shared" ca="1" si="2315"/>
        <v>#NAME?</v>
      </c>
      <c r="CE259" s="84" t="e">
        <f t="shared" ca="1" si="2315"/>
        <v>#NAME?</v>
      </c>
      <c r="CF259" s="84" t="e">
        <f t="shared" ca="1" si="2315"/>
        <v>#NAME?</v>
      </c>
      <c r="CG259" s="84" t="e">
        <f t="shared" ca="1" si="2315"/>
        <v>#NAME?</v>
      </c>
      <c r="CH259" s="84" t="e">
        <f t="shared" ca="1" si="2315"/>
        <v>#NAME?</v>
      </c>
      <c r="CI259" s="84" t="e">
        <f t="shared" ca="1" si="2315"/>
        <v>#NAME?</v>
      </c>
      <c r="CJ259" s="84" t="e">
        <f t="shared" ca="1" si="2315"/>
        <v>#NAME?</v>
      </c>
      <c r="CK259" s="84" t="e">
        <f t="shared" ca="1" si="2315"/>
        <v>#NAME?</v>
      </c>
      <c r="CL259" s="84" t="e">
        <f t="shared" ref="CL259" ca="1" si="2316">(CL174+CL161+CL151+CL153)/CL133</f>
        <v>#NAME?</v>
      </c>
      <c r="CM259" s="50" t="e">
        <f t="shared" ca="1" si="2315"/>
        <v>#NAME?</v>
      </c>
      <c r="CN259" s="50" t="e">
        <f t="shared" ca="1" si="2315"/>
        <v>#NAME?</v>
      </c>
      <c r="CO259" s="50" t="e">
        <f t="shared" ca="1" si="2315"/>
        <v>#NAME?</v>
      </c>
      <c r="CP259" s="50" t="e">
        <f t="shared" ca="1" si="2315"/>
        <v>#NAME?</v>
      </c>
      <c r="CQ259" s="50" t="e">
        <f t="shared" ca="1" si="2315"/>
        <v>#NAME?</v>
      </c>
      <c r="CR259" s="50" t="e">
        <f t="shared" ca="1" si="2315"/>
        <v>#NAME?</v>
      </c>
      <c r="CS259" s="50" t="e">
        <f t="shared" ca="1" si="2315"/>
        <v>#NAME?</v>
      </c>
      <c r="CT259" s="50" t="e">
        <f t="shared" ca="1" si="2315"/>
        <v>#NAME?</v>
      </c>
      <c r="CU259" s="50" t="e">
        <f t="shared" ca="1" si="2315"/>
        <v>#NAME?</v>
      </c>
      <c r="CV259" s="50" t="e">
        <f t="shared" ca="1" si="2315"/>
        <v>#NAME?</v>
      </c>
      <c r="CW259" s="50" t="e">
        <f t="shared" ca="1" si="2315"/>
        <v>#NAME?</v>
      </c>
      <c r="CX259" s="50" t="e">
        <f t="shared" ref="CX259:DB259" ca="1" si="2317">(CX174+CX161+CX151+CX153)/CX133</f>
        <v>#NAME?</v>
      </c>
      <c r="CY259" s="50" t="e">
        <f t="shared" ca="1" si="2317"/>
        <v>#NAME?</v>
      </c>
      <c r="CZ259" s="50" t="e">
        <f t="shared" ca="1" si="2317"/>
        <v>#NAME?</v>
      </c>
      <c r="DA259" s="50" t="e">
        <f t="shared" ca="1" si="2317"/>
        <v>#NAME?</v>
      </c>
      <c r="DB259" s="50" t="e">
        <f t="shared" ca="1" si="2317"/>
        <v>#NAME?</v>
      </c>
      <c r="DE259" s="138"/>
      <c r="DF259" s="84">
        <v>1.5093173541787563</v>
      </c>
    </row>
    <row r="260" spans="1:110" s="84" customFormat="1" x14ac:dyDescent="0.2">
      <c r="A260" s="154" t="s">
        <v>498</v>
      </c>
      <c r="AB260" s="50"/>
      <c r="AC260" s="50"/>
      <c r="AD260" s="50"/>
      <c r="AE260" s="50"/>
      <c r="CM260" s="50"/>
      <c r="CN260" s="50"/>
      <c r="CO260" s="50"/>
      <c r="CP260" s="50"/>
      <c r="CQ260" s="50"/>
      <c r="CR260" s="50"/>
      <c r="CS260" s="50"/>
      <c r="CT260" s="50"/>
      <c r="CU260" s="50"/>
      <c r="CV260" s="50"/>
      <c r="CW260" s="50"/>
      <c r="CX260" s="50"/>
      <c r="CY260" s="50"/>
      <c r="CZ260" s="50"/>
      <c r="DA260" s="50"/>
      <c r="DB260" s="50"/>
      <c r="DE260" s="138"/>
    </row>
    <row r="261" spans="1:110" s="88" customFormat="1" x14ac:dyDescent="0.2">
      <c r="A261" s="88" t="s">
        <v>102</v>
      </c>
      <c r="B261" s="88" t="e">
        <f t="shared" ref="B261:AE261" ca="1" si="2318">B174/B133</f>
        <v>#NAME?</v>
      </c>
      <c r="C261" s="88" t="e">
        <f t="shared" ca="1" si="2318"/>
        <v>#NAME?</v>
      </c>
      <c r="D261" s="88" t="e">
        <f t="shared" ca="1" si="2318"/>
        <v>#NAME?</v>
      </c>
      <c r="F261" s="88" t="e">
        <f t="shared" ca="1" si="2318"/>
        <v>#NAME?</v>
      </c>
      <c r="G261" s="88" t="e">
        <f t="shared" ca="1" si="2318"/>
        <v>#NAME?</v>
      </c>
      <c r="H261" s="88" t="e">
        <f t="shared" ca="1" si="2318"/>
        <v>#NAME?</v>
      </c>
      <c r="I261" s="88" t="e">
        <f t="shared" ca="1" si="2318"/>
        <v>#NAME?</v>
      </c>
      <c r="J261" s="88" t="e">
        <f t="shared" ca="1" si="2318"/>
        <v>#NAME?</v>
      </c>
      <c r="K261" s="88" t="e">
        <f t="shared" ca="1" si="2318"/>
        <v>#NAME?</v>
      </c>
      <c r="L261" s="88" t="e">
        <f t="shared" ca="1" si="2318"/>
        <v>#NAME?</v>
      </c>
      <c r="M261" s="88" t="e">
        <f t="shared" ca="1" si="2318"/>
        <v>#NAME?</v>
      </c>
      <c r="N261" s="88" t="e">
        <f t="shared" ca="1" si="2318"/>
        <v>#NAME?</v>
      </c>
      <c r="O261" s="88" t="e">
        <f t="shared" ca="1" si="2318"/>
        <v>#NAME?</v>
      </c>
      <c r="P261" s="88" t="e">
        <f t="shared" ca="1" si="2318"/>
        <v>#NAME?</v>
      </c>
      <c r="Q261" s="88" t="e">
        <f t="shared" ca="1" si="2318"/>
        <v>#NAME?</v>
      </c>
      <c r="R261" s="88" t="e">
        <f t="shared" ca="1" si="2318"/>
        <v>#NAME?</v>
      </c>
      <c r="S261" s="88" t="e">
        <f t="shared" ca="1" si="2318"/>
        <v>#NAME?</v>
      </c>
      <c r="T261" s="88" t="e">
        <f t="shared" ca="1" si="2318"/>
        <v>#NAME?</v>
      </c>
      <c r="U261" s="88" t="e">
        <f t="shared" ca="1" si="2318"/>
        <v>#NAME?</v>
      </c>
      <c r="V261" s="88" t="e">
        <f t="shared" ca="1" si="2318"/>
        <v>#NAME?</v>
      </c>
      <c r="W261" s="88" t="e">
        <f t="shared" ca="1" si="2318"/>
        <v>#NAME?</v>
      </c>
      <c r="X261" s="88" t="e">
        <f t="shared" ca="1" si="2318"/>
        <v>#NAME?</v>
      </c>
      <c r="Y261" s="88" t="e">
        <f t="shared" ca="1" si="2318"/>
        <v>#NAME?</v>
      </c>
      <c r="Z261" s="88" t="e">
        <f t="shared" ca="1" si="2318"/>
        <v>#NAME?</v>
      </c>
      <c r="AA261" s="88" t="e">
        <f t="shared" ref="AA261" ca="1" si="2319">AA174/AA133</f>
        <v>#NAME?</v>
      </c>
      <c r="AB261" s="42" t="e">
        <f t="shared" ca="1" si="2318"/>
        <v>#NAME?</v>
      </c>
      <c r="AC261" s="42" t="e">
        <f t="shared" ca="1" si="2318"/>
        <v>#NAME?</v>
      </c>
      <c r="AD261" s="42" t="e">
        <f t="shared" ca="1" si="2318"/>
        <v>#NAME?</v>
      </c>
      <c r="AE261" s="42" t="e">
        <f t="shared" ca="1" si="2318"/>
        <v>#NAME?</v>
      </c>
      <c r="AL261" s="88" t="e">
        <f t="shared" ref="AL261:CW261" ca="1" si="2320">AL174/AL133</f>
        <v>#NAME?</v>
      </c>
      <c r="AM261" s="88" t="e">
        <f t="shared" ca="1" si="2320"/>
        <v>#NAME?</v>
      </c>
      <c r="AN261" s="88" t="e">
        <f t="shared" ca="1" si="2320"/>
        <v>#NAME?</v>
      </c>
      <c r="AO261" s="88" t="e">
        <f t="shared" ca="1" si="2320"/>
        <v>#NAME?</v>
      </c>
      <c r="AP261" s="88" t="e">
        <f t="shared" ca="1" si="2320"/>
        <v>#NAME?</v>
      </c>
      <c r="AQ261" s="88" t="e">
        <f t="shared" ca="1" si="2320"/>
        <v>#NAME?</v>
      </c>
      <c r="AR261" s="88" t="e">
        <f t="shared" ca="1" si="2320"/>
        <v>#NAME?</v>
      </c>
      <c r="AS261" s="88" t="e">
        <f t="shared" ca="1" si="2320"/>
        <v>#NAME?</v>
      </c>
      <c r="AT261" s="88" t="e">
        <f t="shared" ca="1" si="2320"/>
        <v>#NAME?</v>
      </c>
      <c r="AU261" s="88" t="e">
        <f t="shared" ca="1" si="2320"/>
        <v>#NAME?</v>
      </c>
      <c r="AV261" s="88" t="e">
        <f t="shared" ca="1" si="2320"/>
        <v>#NAME?</v>
      </c>
      <c r="AW261" s="88" t="e">
        <f t="shared" ca="1" si="2320"/>
        <v>#NAME?</v>
      </c>
      <c r="AX261" s="88" t="e">
        <f t="shared" ca="1" si="2320"/>
        <v>#NAME?</v>
      </c>
      <c r="AY261" s="88" t="e">
        <f t="shared" ca="1" si="2320"/>
        <v>#NAME?</v>
      </c>
      <c r="AZ261" s="88" t="e">
        <f t="shared" ca="1" si="2320"/>
        <v>#NAME?</v>
      </c>
      <c r="BA261" s="88" t="e">
        <f t="shared" ca="1" si="2320"/>
        <v>#NAME?</v>
      </c>
      <c r="BB261" s="88" t="e">
        <f t="shared" ca="1" si="2320"/>
        <v>#NAME?</v>
      </c>
      <c r="BC261" s="88" t="e">
        <f t="shared" ca="1" si="2320"/>
        <v>#NAME?</v>
      </c>
      <c r="BD261" s="88" t="e">
        <f t="shared" ca="1" si="2320"/>
        <v>#NAME?</v>
      </c>
      <c r="BE261" s="88" t="e">
        <f t="shared" ca="1" si="2320"/>
        <v>#NAME?</v>
      </c>
      <c r="BF261" s="88" t="e">
        <f t="shared" ca="1" si="2320"/>
        <v>#NAME?</v>
      </c>
      <c r="BG261" s="88" t="e">
        <f t="shared" ca="1" si="2320"/>
        <v>#NAME?</v>
      </c>
      <c r="BH261" s="88" t="e">
        <f t="shared" ca="1" si="2320"/>
        <v>#NAME?</v>
      </c>
      <c r="BI261" s="88" t="e">
        <f t="shared" ca="1" si="2320"/>
        <v>#NAME?</v>
      </c>
      <c r="BJ261" s="88" t="e">
        <f t="shared" ca="1" si="2320"/>
        <v>#NAME?</v>
      </c>
      <c r="BK261" s="88" t="e">
        <f t="shared" ca="1" si="2320"/>
        <v>#NAME?</v>
      </c>
      <c r="BL261" s="88" t="e">
        <f t="shared" ca="1" si="2320"/>
        <v>#NAME?</v>
      </c>
      <c r="BM261" s="88" t="e">
        <f t="shared" ca="1" si="2320"/>
        <v>#NAME?</v>
      </c>
      <c r="BN261" s="88" t="e">
        <f t="shared" ca="1" si="2320"/>
        <v>#NAME?</v>
      </c>
      <c r="BO261" s="88" t="e">
        <f t="shared" ca="1" si="2320"/>
        <v>#NAME?</v>
      </c>
      <c r="BP261" s="88" t="e">
        <f t="shared" ca="1" si="2320"/>
        <v>#NAME?</v>
      </c>
      <c r="BQ261" s="88" t="e">
        <f t="shared" ca="1" si="2320"/>
        <v>#NAME?</v>
      </c>
      <c r="BR261" s="88" t="e">
        <f t="shared" ca="1" si="2320"/>
        <v>#NAME?</v>
      </c>
      <c r="BS261" s="88" t="e">
        <f t="shared" ca="1" si="2320"/>
        <v>#NAME?</v>
      </c>
      <c r="BT261" s="88" t="e">
        <f t="shared" ca="1" si="2320"/>
        <v>#NAME?</v>
      </c>
      <c r="BU261" s="88" t="e">
        <f t="shared" ca="1" si="2320"/>
        <v>#NAME?</v>
      </c>
      <c r="BV261" s="88" t="e">
        <f t="shared" ca="1" si="2320"/>
        <v>#NAME?</v>
      </c>
      <c r="BW261" s="88" t="e">
        <f t="shared" ca="1" si="2320"/>
        <v>#NAME?</v>
      </c>
      <c r="BX261" s="88" t="e">
        <f t="shared" ca="1" si="2320"/>
        <v>#NAME?</v>
      </c>
      <c r="BY261" s="88" t="e">
        <f t="shared" ca="1" si="2320"/>
        <v>#NAME?</v>
      </c>
      <c r="BZ261" s="88" t="e">
        <f t="shared" ca="1" si="2320"/>
        <v>#NAME?</v>
      </c>
      <c r="CA261" s="88" t="e">
        <f t="shared" ca="1" si="2320"/>
        <v>#NAME?</v>
      </c>
      <c r="CB261" s="88" t="e">
        <f t="shared" ca="1" si="2320"/>
        <v>#NAME?</v>
      </c>
      <c r="CC261" s="88" t="e">
        <f t="shared" ca="1" si="2320"/>
        <v>#NAME?</v>
      </c>
      <c r="CD261" s="88" t="e">
        <f t="shared" ca="1" si="2320"/>
        <v>#NAME?</v>
      </c>
      <c r="CE261" s="88" t="e">
        <f t="shared" ca="1" si="2320"/>
        <v>#NAME?</v>
      </c>
      <c r="CF261" s="88" t="e">
        <f t="shared" ca="1" si="2320"/>
        <v>#NAME?</v>
      </c>
      <c r="CG261" s="88" t="e">
        <f t="shared" ca="1" si="2320"/>
        <v>#NAME?</v>
      </c>
      <c r="CH261" s="88" t="e">
        <f t="shared" ca="1" si="2320"/>
        <v>#NAME?</v>
      </c>
      <c r="CI261" s="88" t="e">
        <f t="shared" ca="1" si="2320"/>
        <v>#NAME?</v>
      </c>
      <c r="CJ261" s="88" t="e">
        <f t="shared" ca="1" si="2320"/>
        <v>#NAME?</v>
      </c>
      <c r="CK261" s="88" t="e">
        <f t="shared" ca="1" si="2320"/>
        <v>#NAME?</v>
      </c>
      <c r="CL261" s="88" t="e">
        <f t="shared" ref="CL261" ca="1" si="2321">CL174/CL133</f>
        <v>#NAME?</v>
      </c>
      <c r="CM261" s="42" t="e">
        <f t="shared" ca="1" si="2320"/>
        <v>#NAME?</v>
      </c>
      <c r="CN261" s="42" t="e">
        <f t="shared" ca="1" si="2320"/>
        <v>#NAME?</v>
      </c>
      <c r="CO261" s="42" t="e">
        <f t="shared" ca="1" si="2320"/>
        <v>#NAME?</v>
      </c>
      <c r="CP261" s="42" t="e">
        <f t="shared" ca="1" si="2320"/>
        <v>#NAME?</v>
      </c>
      <c r="CQ261" s="42" t="e">
        <f t="shared" ca="1" si="2320"/>
        <v>#NAME?</v>
      </c>
      <c r="CR261" s="42" t="e">
        <f t="shared" ca="1" si="2320"/>
        <v>#NAME?</v>
      </c>
      <c r="CS261" s="42" t="e">
        <f t="shared" ca="1" si="2320"/>
        <v>#NAME?</v>
      </c>
      <c r="CT261" s="42" t="e">
        <f t="shared" ca="1" si="2320"/>
        <v>#NAME?</v>
      </c>
      <c r="CU261" s="42" t="e">
        <f t="shared" ca="1" si="2320"/>
        <v>#NAME?</v>
      </c>
      <c r="CV261" s="42" t="e">
        <f t="shared" ca="1" si="2320"/>
        <v>#NAME?</v>
      </c>
      <c r="CW261" s="42" t="e">
        <f t="shared" ca="1" si="2320"/>
        <v>#NAME?</v>
      </c>
      <c r="CX261" s="42" t="e">
        <f t="shared" ref="CX261:DB261" ca="1" si="2322">CX174/CX133</f>
        <v>#NAME?</v>
      </c>
      <c r="CY261" s="42" t="e">
        <f t="shared" ca="1" si="2322"/>
        <v>#NAME?</v>
      </c>
      <c r="CZ261" s="42" t="e">
        <f t="shared" ca="1" si="2322"/>
        <v>#NAME?</v>
      </c>
      <c r="DA261" s="42" t="e">
        <f t="shared" ca="1" si="2322"/>
        <v>#NAME?</v>
      </c>
      <c r="DB261" s="42" t="e">
        <f t="shared" ca="1" si="2322"/>
        <v>#NAME?</v>
      </c>
      <c r="DE261" s="125"/>
      <c r="DF261" s="88">
        <v>1.6152372171144375E-2</v>
      </c>
    </row>
    <row r="262" spans="1:110" s="89" customFormat="1" x14ac:dyDescent="0.2">
      <c r="A262" s="89" t="s">
        <v>103</v>
      </c>
      <c r="C262" s="89" t="e">
        <f t="shared" ref="C262:AE262" ca="1" si="2323">C141/B141-1</f>
        <v>#NAME?</v>
      </c>
      <c r="D262" s="89" t="e">
        <f t="shared" ca="1" si="2323"/>
        <v>#NAME?</v>
      </c>
      <c r="F262" s="89" t="e">
        <f t="shared" ca="1" si="2323"/>
        <v>#NAME?</v>
      </c>
      <c r="G262" s="89" t="e">
        <f t="shared" ca="1" si="2323"/>
        <v>#NAME?</v>
      </c>
      <c r="H262" s="89" t="e">
        <f t="shared" ca="1" si="2323"/>
        <v>#NAME?</v>
      </c>
      <c r="I262" s="89" t="e">
        <f t="shared" ca="1" si="2323"/>
        <v>#NAME?</v>
      </c>
      <c r="J262" s="89" t="e">
        <f t="shared" ca="1" si="2323"/>
        <v>#NAME?</v>
      </c>
      <c r="K262" s="89" t="e">
        <f ca="1">K141/J141-1</f>
        <v>#NAME?</v>
      </c>
      <c r="L262" s="89" t="e">
        <f t="shared" ca="1" si="2323"/>
        <v>#NAME?</v>
      </c>
      <c r="M262" s="89" t="e">
        <f t="shared" ca="1" si="2323"/>
        <v>#NAME?</v>
      </c>
      <c r="N262" s="89" t="e">
        <f t="shared" ca="1" si="2323"/>
        <v>#NAME?</v>
      </c>
      <c r="O262" s="89" t="e">
        <f t="shared" ca="1" si="2323"/>
        <v>#NAME?</v>
      </c>
      <c r="P262" s="89" t="e">
        <f t="shared" ca="1" si="2323"/>
        <v>#NAME?</v>
      </c>
      <c r="Q262" s="89" t="e">
        <f t="shared" ca="1" si="2323"/>
        <v>#NAME?</v>
      </c>
      <c r="R262" s="89" t="e">
        <f t="shared" ca="1" si="2323"/>
        <v>#NAME?</v>
      </c>
      <c r="S262" s="89" t="e">
        <f t="shared" ca="1" si="2323"/>
        <v>#NAME?</v>
      </c>
      <c r="T262" s="89" t="e">
        <f t="shared" ca="1" si="2323"/>
        <v>#NAME?</v>
      </c>
      <c r="U262" s="89" t="e">
        <f t="shared" ca="1" si="2323"/>
        <v>#NAME?</v>
      </c>
      <c r="V262" s="89" t="e">
        <f t="shared" ca="1" si="2323"/>
        <v>#NAME?</v>
      </c>
      <c r="W262" s="89" t="e">
        <f t="shared" ca="1" si="2323"/>
        <v>#NAME?</v>
      </c>
      <c r="X262" s="89" t="e">
        <f t="shared" ca="1" si="2323"/>
        <v>#NAME?</v>
      </c>
      <c r="Y262" s="89" t="e">
        <f t="shared" ca="1" si="2323"/>
        <v>#NAME?</v>
      </c>
      <c r="Z262" s="89" t="e">
        <f t="shared" ca="1" si="2323"/>
        <v>#NAME?</v>
      </c>
      <c r="AA262" s="89" t="e">
        <f t="shared" ca="1" si="2323"/>
        <v>#NAME?</v>
      </c>
      <c r="AB262" s="47" t="e">
        <f t="shared" ca="1" si="2323"/>
        <v>#NAME?</v>
      </c>
      <c r="AC262" s="47" t="e">
        <f t="shared" ca="1" si="2323"/>
        <v>#NAME?</v>
      </c>
      <c r="AD262" s="47" t="e">
        <f t="shared" ca="1" si="2323"/>
        <v>#NAME?</v>
      </c>
      <c r="AE262" s="47" t="e">
        <f t="shared" ca="1" si="2323"/>
        <v>#NAME?</v>
      </c>
      <c r="AL262" s="89" t="e">
        <f t="shared" ref="AL262:CW262" ca="1" si="2324">AL141/AK141-1</f>
        <v>#NAME?</v>
      </c>
      <c r="AM262" s="89" t="e">
        <f t="shared" ca="1" si="2324"/>
        <v>#NAME?</v>
      </c>
      <c r="AN262" s="89" t="e">
        <f t="shared" ca="1" si="2324"/>
        <v>#NAME?</v>
      </c>
      <c r="AO262" s="89" t="e">
        <f t="shared" ca="1" si="2324"/>
        <v>#NAME?</v>
      </c>
      <c r="AP262" s="89" t="e">
        <f t="shared" ca="1" si="2324"/>
        <v>#NAME?</v>
      </c>
      <c r="AQ262" s="89" t="e">
        <f t="shared" ca="1" si="2324"/>
        <v>#NAME?</v>
      </c>
      <c r="AR262" s="89" t="e">
        <f t="shared" ca="1" si="2324"/>
        <v>#NAME?</v>
      </c>
      <c r="AS262" s="89" t="e">
        <f t="shared" ca="1" si="2324"/>
        <v>#NAME?</v>
      </c>
      <c r="AT262" s="89" t="e">
        <f t="shared" ca="1" si="2324"/>
        <v>#NAME?</v>
      </c>
      <c r="AU262" s="89" t="e">
        <f t="shared" ca="1" si="2324"/>
        <v>#NAME?</v>
      </c>
      <c r="AV262" s="89" t="e">
        <f t="shared" ca="1" si="2324"/>
        <v>#NAME?</v>
      </c>
      <c r="AW262" s="89" t="e">
        <f t="shared" ca="1" si="2324"/>
        <v>#NAME?</v>
      </c>
      <c r="AX262" s="89" t="e">
        <f t="shared" ca="1" si="2324"/>
        <v>#NAME?</v>
      </c>
      <c r="AY262" s="89" t="e">
        <f t="shared" ca="1" si="2324"/>
        <v>#NAME?</v>
      </c>
      <c r="AZ262" s="89" t="e">
        <f t="shared" ca="1" si="2324"/>
        <v>#NAME?</v>
      </c>
      <c r="BA262" s="89" t="e">
        <f t="shared" ca="1" si="2324"/>
        <v>#NAME?</v>
      </c>
      <c r="BB262" s="89" t="e">
        <f t="shared" ca="1" si="2324"/>
        <v>#NAME?</v>
      </c>
      <c r="BC262" s="89" t="e">
        <f t="shared" ca="1" si="2324"/>
        <v>#NAME?</v>
      </c>
      <c r="BD262" s="89" t="e">
        <f t="shared" ca="1" si="2324"/>
        <v>#NAME?</v>
      </c>
      <c r="BE262" s="89" t="e">
        <f t="shared" ca="1" si="2324"/>
        <v>#NAME?</v>
      </c>
      <c r="BF262" s="89" t="e">
        <f t="shared" ca="1" si="2324"/>
        <v>#NAME?</v>
      </c>
      <c r="BG262" s="89" t="e">
        <f t="shared" ca="1" si="2324"/>
        <v>#NAME?</v>
      </c>
      <c r="BH262" s="89" t="e">
        <f t="shared" ca="1" si="2324"/>
        <v>#NAME?</v>
      </c>
      <c r="BI262" s="89" t="e">
        <f t="shared" ca="1" si="2324"/>
        <v>#NAME?</v>
      </c>
      <c r="BJ262" s="89" t="e">
        <f t="shared" ca="1" si="2324"/>
        <v>#NAME?</v>
      </c>
      <c r="BK262" s="89" t="e">
        <f t="shared" ca="1" si="2324"/>
        <v>#NAME?</v>
      </c>
      <c r="BL262" s="89" t="e">
        <f t="shared" ca="1" si="2324"/>
        <v>#NAME?</v>
      </c>
      <c r="BM262" s="89" t="e">
        <f t="shared" ca="1" si="2324"/>
        <v>#NAME?</v>
      </c>
      <c r="BN262" s="89" t="e">
        <f t="shared" ca="1" si="2324"/>
        <v>#NAME?</v>
      </c>
      <c r="BO262" s="89" t="e">
        <f t="shared" ca="1" si="2324"/>
        <v>#NAME?</v>
      </c>
      <c r="BP262" s="89" t="e">
        <f t="shared" ca="1" si="2324"/>
        <v>#NAME?</v>
      </c>
      <c r="BQ262" s="89" t="e">
        <f t="shared" ca="1" si="2324"/>
        <v>#NAME?</v>
      </c>
      <c r="BR262" s="89" t="e">
        <f t="shared" ca="1" si="2324"/>
        <v>#NAME?</v>
      </c>
      <c r="BS262" s="89" t="e">
        <f t="shared" ca="1" si="2324"/>
        <v>#NAME?</v>
      </c>
      <c r="BT262" s="89" t="e">
        <f t="shared" ca="1" si="2324"/>
        <v>#NAME?</v>
      </c>
      <c r="BU262" s="89" t="e">
        <f t="shared" ca="1" si="2324"/>
        <v>#NAME?</v>
      </c>
      <c r="BV262" s="89" t="e">
        <f t="shared" ca="1" si="2324"/>
        <v>#NAME?</v>
      </c>
      <c r="BW262" s="89" t="e">
        <f t="shared" ca="1" si="2324"/>
        <v>#NAME?</v>
      </c>
      <c r="BX262" s="89" t="e">
        <f t="shared" ca="1" si="2324"/>
        <v>#NAME?</v>
      </c>
      <c r="BY262" s="89" t="e">
        <f t="shared" ca="1" si="2324"/>
        <v>#NAME?</v>
      </c>
      <c r="BZ262" s="89" t="e">
        <f t="shared" ca="1" si="2324"/>
        <v>#NAME?</v>
      </c>
      <c r="CA262" s="89" t="e">
        <f t="shared" ca="1" si="2324"/>
        <v>#NAME?</v>
      </c>
      <c r="CB262" s="89" t="e">
        <f t="shared" ca="1" si="2324"/>
        <v>#NAME?</v>
      </c>
      <c r="CC262" s="89" t="e">
        <f t="shared" ca="1" si="2324"/>
        <v>#NAME?</v>
      </c>
      <c r="CD262" s="89" t="e">
        <f t="shared" ca="1" si="2324"/>
        <v>#NAME?</v>
      </c>
      <c r="CE262" s="89" t="e">
        <f t="shared" ca="1" si="2324"/>
        <v>#NAME?</v>
      </c>
      <c r="CF262" s="89" t="e">
        <f t="shared" ca="1" si="2324"/>
        <v>#NAME?</v>
      </c>
      <c r="CG262" s="89" t="e">
        <f t="shared" ca="1" si="2324"/>
        <v>#NAME?</v>
      </c>
      <c r="CH262" s="89" t="e">
        <f t="shared" ca="1" si="2324"/>
        <v>#NAME?</v>
      </c>
      <c r="CI262" s="89" t="e">
        <f t="shared" ca="1" si="2324"/>
        <v>#NAME?</v>
      </c>
      <c r="CJ262" s="89" t="e">
        <f t="shared" ca="1" si="2324"/>
        <v>#NAME?</v>
      </c>
      <c r="CK262" s="89" t="e">
        <f t="shared" ca="1" si="2324"/>
        <v>#NAME?</v>
      </c>
      <c r="CL262" s="89" t="e">
        <f t="shared" ca="1" si="2324"/>
        <v>#NAME?</v>
      </c>
      <c r="CM262" s="47" t="e">
        <f t="shared" ca="1" si="2324"/>
        <v>#NAME?</v>
      </c>
      <c r="CN262" s="47" t="e">
        <f t="shared" ca="1" si="2324"/>
        <v>#NAME?</v>
      </c>
      <c r="CO262" s="47" t="e">
        <f t="shared" ca="1" si="2324"/>
        <v>#NAME?</v>
      </c>
      <c r="CP262" s="47" t="e">
        <f t="shared" ca="1" si="2324"/>
        <v>#NAME?</v>
      </c>
      <c r="CQ262" s="47" t="e">
        <f t="shared" ca="1" si="2324"/>
        <v>#NAME?</v>
      </c>
      <c r="CR262" s="47" t="e">
        <f t="shared" ca="1" si="2324"/>
        <v>#NAME?</v>
      </c>
      <c r="CS262" s="47" t="e">
        <f t="shared" ca="1" si="2324"/>
        <v>#NAME?</v>
      </c>
      <c r="CT262" s="47" t="e">
        <f t="shared" ca="1" si="2324"/>
        <v>#NAME?</v>
      </c>
      <c r="CU262" s="47" t="e">
        <f t="shared" ca="1" si="2324"/>
        <v>#NAME?</v>
      </c>
      <c r="CV262" s="47" t="e">
        <f t="shared" ca="1" si="2324"/>
        <v>#NAME?</v>
      </c>
      <c r="CW262" s="47" t="e">
        <f t="shared" ca="1" si="2324"/>
        <v>#NAME?</v>
      </c>
      <c r="CX262" s="47" t="e">
        <f t="shared" ref="CX262:DB262" ca="1" si="2325">CX141/CW141-1</f>
        <v>#NAME?</v>
      </c>
      <c r="CY262" s="47" t="e">
        <f t="shared" ca="1" si="2325"/>
        <v>#NAME?</v>
      </c>
      <c r="CZ262" s="47" t="e">
        <f t="shared" ca="1" si="2325"/>
        <v>#NAME?</v>
      </c>
      <c r="DA262" s="47" t="e">
        <f t="shared" ca="1" si="2325"/>
        <v>#NAME?</v>
      </c>
      <c r="DB262" s="47" t="e">
        <f t="shared" ca="1" si="2325"/>
        <v>#NAME?</v>
      </c>
      <c r="DE262" s="130"/>
      <c r="DF262" s="89">
        <v>0.96793437733035059</v>
      </c>
    </row>
    <row r="263" spans="1:110" s="89" customFormat="1" x14ac:dyDescent="0.2">
      <c r="A263" s="89" t="s">
        <v>104</v>
      </c>
      <c r="C263" s="89" t="e">
        <f ca="1">C36/B36-1</f>
        <v>#NAME?</v>
      </c>
      <c r="D263" s="89" t="e">
        <f ca="1">D36/C36-1</f>
        <v>#NAME?</v>
      </c>
      <c r="F263" s="89" t="e">
        <f t="shared" ref="F263:AE263" ca="1" si="2326">F36/E36-1</f>
        <v>#NAME?</v>
      </c>
      <c r="G263" s="89" t="e">
        <f t="shared" ca="1" si="2326"/>
        <v>#NAME?</v>
      </c>
      <c r="H263" s="89" t="e">
        <f t="shared" ca="1" si="2326"/>
        <v>#NAME?</v>
      </c>
      <c r="I263" s="89" t="e">
        <f t="shared" ca="1" si="2326"/>
        <v>#NAME?</v>
      </c>
      <c r="J263" s="89" t="e">
        <f t="shared" ca="1" si="2326"/>
        <v>#NAME?</v>
      </c>
      <c r="K263" s="89" t="e">
        <f t="shared" ca="1" si="2326"/>
        <v>#NAME?</v>
      </c>
      <c r="L263" s="89" t="e">
        <f t="shared" ca="1" si="2326"/>
        <v>#NAME?</v>
      </c>
      <c r="M263" s="89" t="e">
        <f t="shared" ca="1" si="2326"/>
        <v>#NAME?</v>
      </c>
      <c r="N263" s="89" t="e">
        <f t="shared" ca="1" si="2326"/>
        <v>#NAME?</v>
      </c>
      <c r="O263" s="89" t="e">
        <f t="shared" ca="1" si="2326"/>
        <v>#NAME?</v>
      </c>
      <c r="P263" s="89" t="e">
        <f t="shared" ca="1" si="2326"/>
        <v>#NAME?</v>
      </c>
      <c r="Q263" s="89" t="e">
        <f t="shared" ca="1" si="2326"/>
        <v>#NAME?</v>
      </c>
      <c r="R263" s="89" t="e">
        <f t="shared" ca="1" si="2326"/>
        <v>#NAME?</v>
      </c>
      <c r="S263" s="89" t="e">
        <f t="shared" ca="1" si="2326"/>
        <v>#NAME?</v>
      </c>
      <c r="T263" s="89" t="e">
        <f t="shared" ca="1" si="2326"/>
        <v>#NAME?</v>
      </c>
      <c r="U263" s="89" t="e">
        <f t="shared" ca="1" si="2326"/>
        <v>#NAME?</v>
      </c>
      <c r="V263" s="89" t="e">
        <f t="shared" ca="1" si="2326"/>
        <v>#NAME?</v>
      </c>
      <c r="W263" s="89" t="e">
        <f t="shared" ca="1" si="2326"/>
        <v>#NAME?</v>
      </c>
      <c r="X263" s="89" t="e">
        <f t="shared" ca="1" si="2326"/>
        <v>#NAME?</v>
      </c>
      <c r="Y263" s="89" t="e">
        <f t="shared" ca="1" si="2326"/>
        <v>#NAME?</v>
      </c>
      <c r="Z263" s="89" t="e">
        <f t="shared" ca="1" si="2326"/>
        <v>#NAME?</v>
      </c>
      <c r="AA263" s="89" t="e">
        <f t="shared" ca="1" si="2326"/>
        <v>#NAME?</v>
      </c>
      <c r="AB263" s="47" t="e">
        <f t="shared" ca="1" si="2326"/>
        <v>#NAME?</v>
      </c>
      <c r="AC263" s="47" t="e">
        <f t="shared" ca="1" si="2326"/>
        <v>#NAME?</v>
      </c>
      <c r="AD263" s="47" t="e">
        <f t="shared" ca="1" si="2326"/>
        <v>#NAME?</v>
      </c>
      <c r="AE263" s="47" t="e">
        <f t="shared" ca="1" si="2326"/>
        <v>#NAME?</v>
      </c>
      <c r="AL263" s="89" t="e">
        <f t="shared" ref="AL263:CW263" ca="1" si="2327">AL36/AK36-1</f>
        <v>#NAME?</v>
      </c>
      <c r="AM263" s="89" t="e">
        <f t="shared" ca="1" si="2327"/>
        <v>#NAME?</v>
      </c>
      <c r="AN263" s="89" t="e">
        <f t="shared" ca="1" si="2327"/>
        <v>#NAME?</v>
      </c>
      <c r="AO263" s="89" t="e">
        <f t="shared" ca="1" si="2327"/>
        <v>#NAME?</v>
      </c>
      <c r="AP263" s="89" t="e">
        <f t="shared" ca="1" si="2327"/>
        <v>#NAME?</v>
      </c>
      <c r="AQ263" s="89" t="e">
        <f t="shared" ca="1" si="2327"/>
        <v>#NAME?</v>
      </c>
      <c r="AR263" s="89" t="e">
        <f t="shared" ca="1" si="2327"/>
        <v>#NAME?</v>
      </c>
      <c r="AS263" s="89" t="e">
        <f t="shared" ca="1" si="2327"/>
        <v>#NAME?</v>
      </c>
      <c r="AT263" s="89" t="e">
        <f t="shared" ca="1" si="2327"/>
        <v>#NAME?</v>
      </c>
      <c r="AU263" s="89" t="e">
        <f t="shared" ca="1" si="2327"/>
        <v>#NAME?</v>
      </c>
      <c r="AV263" s="89" t="e">
        <f t="shared" ca="1" si="2327"/>
        <v>#NAME?</v>
      </c>
      <c r="AW263" s="89" t="e">
        <f t="shared" ca="1" si="2327"/>
        <v>#NAME?</v>
      </c>
      <c r="AX263" s="89" t="e">
        <f t="shared" ca="1" si="2327"/>
        <v>#NAME?</v>
      </c>
      <c r="AY263" s="89" t="e">
        <f t="shared" ca="1" si="2327"/>
        <v>#NAME?</v>
      </c>
      <c r="AZ263" s="89" t="e">
        <f t="shared" ca="1" si="2327"/>
        <v>#NAME?</v>
      </c>
      <c r="BA263" s="89" t="e">
        <f t="shared" ca="1" si="2327"/>
        <v>#NAME?</v>
      </c>
      <c r="BB263" s="89" t="e">
        <f t="shared" ca="1" si="2327"/>
        <v>#NAME?</v>
      </c>
      <c r="BC263" s="89" t="e">
        <f t="shared" ca="1" si="2327"/>
        <v>#NAME?</v>
      </c>
      <c r="BD263" s="89" t="e">
        <f t="shared" ca="1" si="2327"/>
        <v>#NAME?</v>
      </c>
      <c r="BE263" s="89" t="e">
        <f t="shared" ca="1" si="2327"/>
        <v>#NAME?</v>
      </c>
      <c r="BF263" s="89" t="e">
        <f t="shared" ca="1" si="2327"/>
        <v>#NAME?</v>
      </c>
      <c r="BG263" s="89" t="e">
        <f t="shared" ca="1" si="2327"/>
        <v>#NAME?</v>
      </c>
      <c r="BH263" s="89" t="e">
        <f t="shared" ca="1" si="2327"/>
        <v>#NAME?</v>
      </c>
      <c r="BI263" s="89" t="e">
        <f t="shared" ca="1" si="2327"/>
        <v>#NAME?</v>
      </c>
      <c r="BJ263" s="89" t="e">
        <f t="shared" ca="1" si="2327"/>
        <v>#NAME?</v>
      </c>
      <c r="BK263" s="89" t="e">
        <f t="shared" ca="1" si="2327"/>
        <v>#NAME?</v>
      </c>
      <c r="BL263" s="89" t="e">
        <f t="shared" ca="1" si="2327"/>
        <v>#NAME?</v>
      </c>
      <c r="BM263" s="89" t="e">
        <f t="shared" ca="1" si="2327"/>
        <v>#NAME?</v>
      </c>
      <c r="BN263" s="89" t="e">
        <f t="shared" ca="1" si="2327"/>
        <v>#NAME?</v>
      </c>
      <c r="BO263" s="89" t="e">
        <f t="shared" ca="1" si="2327"/>
        <v>#NAME?</v>
      </c>
      <c r="BP263" s="89" t="e">
        <f t="shared" ca="1" si="2327"/>
        <v>#NAME?</v>
      </c>
      <c r="BQ263" s="89" t="e">
        <f t="shared" ca="1" si="2327"/>
        <v>#NAME?</v>
      </c>
      <c r="BR263" s="89" t="e">
        <f t="shared" ca="1" si="2327"/>
        <v>#NAME?</v>
      </c>
      <c r="BS263" s="89" t="e">
        <f t="shared" ca="1" si="2327"/>
        <v>#NAME?</v>
      </c>
      <c r="BT263" s="89" t="e">
        <f t="shared" ca="1" si="2327"/>
        <v>#NAME?</v>
      </c>
      <c r="BU263" s="89" t="e">
        <f t="shared" ca="1" si="2327"/>
        <v>#NAME?</v>
      </c>
      <c r="BV263" s="89" t="e">
        <f t="shared" ca="1" si="2327"/>
        <v>#NAME?</v>
      </c>
      <c r="BW263" s="89" t="e">
        <f t="shared" ca="1" si="2327"/>
        <v>#NAME?</v>
      </c>
      <c r="BX263" s="89" t="e">
        <f t="shared" ca="1" si="2327"/>
        <v>#NAME?</v>
      </c>
      <c r="BY263" s="89" t="e">
        <f t="shared" ca="1" si="2327"/>
        <v>#NAME?</v>
      </c>
      <c r="BZ263" s="89" t="e">
        <f t="shared" ca="1" si="2327"/>
        <v>#NAME?</v>
      </c>
      <c r="CA263" s="89" t="e">
        <f t="shared" ca="1" si="2327"/>
        <v>#NAME?</v>
      </c>
      <c r="CB263" s="89" t="e">
        <f t="shared" ca="1" si="2327"/>
        <v>#NAME?</v>
      </c>
      <c r="CC263" s="89" t="e">
        <f t="shared" ca="1" si="2327"/>
        <v>#NAME?</v>
      </c>
      <c r="CD263" s="89" t="e">
        <f t="shared" ca="1" si="2327"/>
        <v>#NAME?</v>
      </c>
      <c r="CE263" s="89" t="e">
        <f t="shared" ca="1" si="2327"/>
        <v>#NAME?</v>
      </c>
      <c r="CF263" s="89" t="e">
        <f t="shared" ca="1" si="2327"/>
        <v>#NAME?</v>
      </c>
      <c r="CG263" s="89" t="e">
        <f t="shared" ca="1" si="2327"/>
        <v>#NAME?</v>
      </c>
      <c r="CH263" s="89" t="e">
        <f t="shared" ca="1" si="2327"/>
        <v>#NAME?</v>
      </c>
      <c r="CI263" s="89" t="e">
        <f t="shared" ca="1" si="2327"/>
        <v>#NAME?</v>
      </c>
      <c r="CJ263" s="89" t="e">
        <f t="shared" ca="1" si="2327"/>
        <v>#NAME?</v>
      </c>
      <c r="CK263" s="89" t="e">
        <f t="shared" ca="1" si="2327"/>
        <v>#NAME?</v>
      </c>
      <c r="CL263" s="89" t="e">
        <f t="shared" ca="1" si="2327"/>
        <v>#NAME?</v>
      </c>
      <c r="CM263" s="47" t="e">
        <f t="shared" ca="1" si="2327"/>
        <v>#NAME?</v>
      </c>
      <c r="CN263" s="47" t="e">
        <f t="shared" ca="1" si="2327"/>
        <v>#NAME?</v>
      </c>
      <c r="CO263" s="47" t="e">
        <f t="shared" ca="1" si="2327"/>
        <v>#NAME?</v>
      </c>
      <c r="CP263" s="47" t="e">
        <f t="shared" ca="1" si="2327"/>
        <v>#NAME?</v>
      </c>
      <c r="CQ263" s="47" t="e">
        <f t="shared" ca="1" si="2327"/>
        <v>#NAME?</v>
      </c>
      <c r="CR263" s="47" t="e">
        <f t="shared" ca="1" si="2327"/>
        <v>#NAME?</v>
      </c>
      <c r="CS263" s="47" t="e">
        <f t="shared" ca="1" si="2327"/>
        <v>#NAME?</v>
      </c>
      <c r="CT263" s="47" t="e">
        <f t="shared" ca="1" si="2327"/>
        <v>#NAME?</v>
      </c>
      <c r="CU263" s="47" t="e">
        <f t="shared" ca="1" si="2327"/>
        <v>#NAME?</v>
      </c>
      <c r="CV263" s="47" t="e">
        <f t="shared" ca="1" si="2327"/>
        <v>#NAME?</v>
      </c>
      <c r="CW263" s="47" t="e">
        <f t="shared" ca="1" si="2327"/>
        <v>#NAME?</v>
      </c>
      <c r="CX263" s="47" t="e">
        <f t="shared" ref="CX263:DB263" ca="1" si="2328">CX36/CW36-1</f>
        <v>#NAME?</v>
      </c>
      <c r="CY263" s="47" t="e">
        <f t="shared" ca="1" si="2328"/>
        <v>#NAME?</v>
      </c>
      <c r="CZ263" s="47" t="e">
        <f t="shared" ca="1" si="2328"/>
        <v>#NAME?</v>
      </c>
      <c r="DA263" s="47" t="e">
        <f t="shared" ca="1" si="2328"/>
        <v>#NAME?</v>
      </c>
      <c r="DB263" s="47" t="e">
        <f t="shared" ca="1" si="2328"/>
        <v>#NAME?</v>
      </c>
      <c r="DE263" s="130"/>
      <c r="DF263" s="89">
        <v>9.5180591727869635E-2</v>
      </c>
    </row>
    <row r="264" spans="1:110" s="103" customFormat="1" x14ac:dyDescent="0.2">
      <c r="A264" s="147" t="s">
        <v>105</v>
      </c>
      <c r="C264" s="103" t="e">
        <f ca="1">IF(C262&gt;C263,"RF",0)</f>
        <v>#NAME?</v>
      </c>
      <c r="D264" s="103" t="e">
        <f t="shared" ref="D264:U264" ca="1" si="2329">IF(D262&gt;D263,"RF",0)</f>
        <v>#NAME?</v>
      </c>
      <c r="F264" s="103" t="e">
        <f t="shared" ca="1" si="2329"/>
        <v>#NAME?</v>
      </c>
      <c r="G264" s="103" t="e">
        <f t="shared" ca="1" si="2329"/>
        <v>#NAME?</v>
      </c>
      <c r="H264" s="103" t="e">
        <f t="shared" ca="1" si="2329"/>
        <v>#NAME?</v>
      </c>
      <c r="I264" s="103" t="e">
        <f t="shared" ca="1" si="2329"/>
        <v>#NAME?</v>
      </c>
      <c r="J264" s="103" t="e">
        <f t="shared" ca="1" si="2329"/>
        <v>#NAME?</v>
      </c>
      <c r="K264" s="103" t="e">
        <f t="shared" ca="1" si="2329"/>
        <v>#NAME?</v>
      </c>
      <c r="L264" s="103" t="e">
        <f t="shared" ca="1" si="2329"/>
        <v>#NAME?</v>
      </c>
      <c r="M264" s="103" t="e">
        <f t="shared" ca="1" si="2329"/>
        <v>#NAME?</v>
      </c>
      <c r="N264" s="103" t="e">
        <f t="shared" ca="1" si="2329"/>
        <v>#NAME?</v>
      </c>
      <c r="O264" s="103" t="e">
        <f t="shared" ca="1" si="2329"/>
        <v>#NAME?</v>
      </c>
      <c r="P264" s="103" t="e">
        <f t="shared" ca="1" si="2329"/>
        <v>#NAME?</v>
      </c>
      <c r="Q264" s="103" t="e">
        <f t="shared" ca="1" si="2329"/>
        <v>#NAME?</v>
      </c>
      <c r="R264" s="103" t="e">
        <f t="shared" ca="1" si="2329"/>
        <v>#NAME?</v>
      </c>
      <c r="S264" s="103" t="e">
        <f t="shared" ca="1" si="2329"/>
        <v>#NAME?</v>
      </c>
      <c r="T264" s="103" t="e">
        <f t="shared" ca="1" si="2329"/>
        <v>#NAME?</v>
      </c>
      <c r="U264" s="103" t="e">
        <f t="shared" ca="1" si="2329"/>
        <v>#NAME?</v>
      </c>
      <c r="V264" s="103" t="e">
        <f ca="1">IF(V262&gt;V263,"RF",0)</f>
        <v>#NAME?</v>
      </c>
      <c r="W264" s="103" t="e">
        <f t="shared" ref="W264:AE264" ca="1" si="2330">IF(W262&gt;W263,"RF",0)</f>
        <v>#NAME?</v>
      </c>
      <c r="X264" s="103" t="e">
        <f t="shared" ca="1" si="2330"/>
        <v>#NAME?</v>
      </c>
      <c r="Y264" s="103" t="e">
        <f t="shared" ca="1" si="2330"/>
        <v>#NAME?</v>
      </c>
      <c r="Z264" s="103" t="e">
        <f t="shared" ca="1" si="2330"/>
        <v>#NAME?</v>
      </c>
      <c r="AA264" s="103" t="e">
        <f t="shared" ref="AA264" ca="1" si="2331">IF(AA262&gt;AA263,"RF",0)</f>
        <v>#NAME?</v>
      </c>
      <c r="AB264" s="73" t="e">
        <f t="shared" ca="1" si="2330"/>
        <v>#NAME?</v>
      </c>
      <c r="AC264" s="73" t="e">
        <f t="shared" ca="1" si="2330"/>
        <v>#NAME?</v>
      </c>
      <c r="AD264" s="73" t="e">
        <f t="shared" ca="1" si="2330"/>
        <v>#NAME?</v>
      </c>
      <c r="AE264" s="73" t="e">
        <f t="shared" ca="1" si="2330"/>
        <v>#NAME?</v>
      </c>
      <c r="AL264" s="103" t="e">
        <f t="shared" ref="AL264:CW264" ca="1" si="2332">IF(AL262&gt;AL263,"RF",0)</f>
        <v>#NAME?</v>
      </c>
      <c r="AM264" s="103" t="e">
        <f t="shared" ca="1" si="2332"/>
        <v>#NAME?</v>
      </c>
      <c r="AN264" s="103" t="e">
        <f t="shared" ca="1" si="2332"/>
        <v>#NAME?</v>
      </c>
      <c r="AO264" s="103" t="e">
        <f t="shared" ca="1" si="2332"/>
        <v>#NAME?</v>
      </c>
      <c r="AP264" s="103" t="e">
        <f t="shared" ca="1" si="2332"/>
        <v>#NAME?</v>
      </c>
      <c r="AQ264" s="103" t="e">
        <f t="shared" ca="1" si="2332"/>
        <v>#NAME?</v>
      </c>
      <c r="AR264" s="103" t="e">
        <f t="shared" ca="1" si="2332"/>
        <v>#NAME?</v>
      </c>
      <c r="AS264" s="103" t="e">
        <f t="shared" ca="1" si="2332"/>
        <v>#NAME?</v>
      </c>
      <c r="AT264" s="103" t="e">
        <f t="shared" ca="1" si="2332"/>
        <v>#NAME?</v>
      </c>
      <c r="AU264" s="103" t="e">
        <f t="shared" ca="1" si="2332"/>
        <v>#NAME?</v>
      </c>
      <c r="AV264" s="103" t="e">
        <f t="shared" ca="1" si="2332"/>
        <v>#NAME?</v>
      </c>
      <c r="AW264" s="103" t="e">
        <f t="shared" ca="1" si="2332"/>
        <v>#NAME?</v>
      </c>
      <c r="AX264" s="103" t="e">
        <f t="shared" ca="1" si="2332"/>
        <v>#NAME?</v>
      </c>
      <c r="AY264" s="103" t="e">
        <f t="shared" ca="1" si="2332"/>
        <v>#NAME?</v>
      </c>
      <c r="AZ264" s="103" t="e">
        <f t="shared" ca="1" si="2332"/>
        <v>#NAME?</v>
      </c>
      <c r="BA264" s="103" t="e">
        <f t="shared" ca="1" si="2332"/>
        <v>#NAME?</v>
      </c>
      <c r="BB264" s="103" t="e">
        <f t="shared" ca="1" si="2332"/>
        <v>#NAME?</v>
      </c>
      <c r="BC264" s="103" t="e">
        <f t="shared" ca="1" si="2332"/>
        <v>#NAME?</v>
      </c>
      <c r="BD264" s="103" t="e">
        <f t="shared" ca="1" si="2332"/>
        <v>#NAME?</v>
      </c>
      <c r="BE264" s="103" t="e">
        <f t="shared" ca="1" si="2332"/>
        <v>#NAME?</v>
      </c>
      <c r="BF264" s="103" t="e">
        <f t="shared" ca="1" si="2332"/>
        <v>#NAME?</v>
      </c>
      <c r="BG264" s="103" t="e">
        <f t="shared" ca="1" si="2332"/>
        <v>#NAME?</v>
      </c>
      <c r="BH264" s="103" t="e">
        <f t="shared" ca="1" si="2332"/>
        <v>#NAME?</v>
      </c>
      <c r="BI264" s="103" t="e">
        <f t="shared" ca="1" si="2332"/>
        <v>#NAME?</v>
      </c>
      <c r="BJ264" s="103" t="e">
        <f t="shared" ca="1" si="2332"/>
        <v>#NAME?</v>
      </c>
      <c r="BK264" s="103" t="e">
        <f t="shared" ca="1" si="2332"/>
        <v>#NAME?</v>
      </c>
      <c r="BL264" s="103" t="e">
        <f t="shared" ca="1" si="2332"/>
        <v>#NAME?</v>
      </c>
      <c r="BM264" s="103" t="e">
        <f t="shared" ca="1" si="2332"/>
        <v>#NAME?</v>
      </c>
      <c r="BN264" s="103" t="e">
        <f t="shared" ca="1" si="2332"/>
        <v>#NAME?</v>
      </c>
      <c r="BO264" s="103" t="e">
        <f t="shared" ca="1" si="2332"/>
        <v>#NAME?</v>
      </c>
      <c r="BP264" s="103" t="e">
        <f t="shared" ca="1" si="2332"/>
        <v>#NAME?</v>
      </c>
      <c r="BQ264" s="103" t="e">
        <f t="shared" ca="1" si="2332"/>
        <v>#NAME?</v>
      </c>
      <c r="BR264" s="103" t="e">
        <f t="shared" ca="1" si="2332"/>
        <v>#NAME?</v>
      </c>
      <c r="BS264" s="103" t="e">
        <f t="shared" ca="1" si="2332"/>
        <v>#NAME?</v>
      </c>
      <c r="BT264" s="103" t="e">
        <f t="shared" ca="1" si="2332"/>
        <v>#NAME?</v>
      </c>
      <c r="BU264" s="103" t="e">
        <f t="shared" ca="1" si="2332"/>
        <v>#NAME?</v>
      </c>
      <c r="BV264" s="103" t="e">
        <f t="shared" ca="1" si="2332"/>
        <v>#NAME?</v>
      </c>
      <c r="BW264" s="103" t="e">
        <f t="shared" ca="1" si="2332"/>
        <v>#NAME?</v>
      </c>
      <c r="BX264" s="103" t="e">
        <f t="shared" ca="1" si="2332"/>
        <v>#NAME?</v>
      </c>
      <c r="BY264" s="103" t="e">
        <f t="shared" ca="1" si="2332"/>
        <v>#NAME?</v>
      </c>
      <c r="BZ264" s="103" t="e">
        <f t="shared" ca="1" si="2332"/>
        <v>#NAME?</v>
      </c>
      <c r="CA264" s="103" t="e">
        <f t="shared" ca="1" si="2332"/>
        <v>#NAME?</v>
      </c>
      <c r="CB264" s="103" t="e">
        <f t="shared" ca="1" si="2332"/>
        <v>#NAME?</v>
      </c>
      <c r="CC264" s="103" t="e">
        <f t="shared" ca="1" si="2332"/>
        <v>#NAME?</v>
      </c>
      <c r="CD264" s="103" t="e">
        <f t="shared" ca="1" si="2332"/>
        <v>#NAME?</v>
      </c>
      <c r="CE264" s="103" t="e">
        <f t="shared" ca="1" si="2332"/>
        <v>#NAME?</v>
      </c>
      <c r="CF264" s="103" t="e">
        <f t="shared" ca="1" si="2332"/>
        <v>#NAME?</v>
      </c>
      <c r="CG264" s="103" t="e">
        <f t="shared" ca="1" si="2332"/>
        <v>#NAME?</v>
      </c>
      <c r="CH264" s="103" t="e">
        <f t="shared" ca="1" si="2332"/>
        <v>#NAME?</v>
      </c>
      <c r="CI264" s="103" t="e">
        <f t="shared" ca="1" si="2332"/>
        <v>#NAME?</v>
      </c>
      <c r="CJ264" s="103" t="e">
        <f t="shared" ca="1" si="2332"/>
        <v>#NAME?</v>
      </c>
      <c r="CK264" s="103" t="e">
        <f t="shared" ca="1" si="2332"/>
        <v>#NAME?</v>
      </c>
      <c r="CL264" s="103" t="e">
        <f t="shared" ref="CL264" ca="1" si="2333">IF(CL262&gt;CL263,"RF",0)</f>
        <v>#NAME?</v>
      </c>
      <c r="CM264" s="73" t="e">
        <f t="shared" ca="1" si="2332"/>
        <v>#NAME?</v>
      </c>
      <c r="CN264" s="73" t="e">
        <f t="shared" ca="1" si="2332"/>
        <v>#NAME?</v>
      </c>
      <c r="CO264" s="73" t="e">
        <f t="shared" ca="1" si="2332"/>
        <v>#NAME?</v>
      </c>
      <c r="CP264" s="73" t="e">
        <f t="shared" ca="1" si="2332"/>
        <v>#NAME?</v>
      </c>
      <c r="CQ264" s="73" t="e">
        <f t="shared" ca="1" si="2332"/>
        <v>#NAME?</v>
      </c>
      <c r="CR264" s="73" t="e">
        <f t="shared" ca="1" si="2332"/>
        <v>#NAME?</v>
      </c>
      <c r="CS264" s="73" t="e">
        <f t="shared" ca="1" si="2332"/>
        <v>#NAME?</v>
      </c>
      <c r="CT264" s="73" t="e">
        <f t="shared" ca="1" si="2332"/>
        <v>#NAME?</v>
      </c>
      <c r="CU264" s="73" t="e">
        <f t="shared" ca="1" si="2332"/>
        <v>#NAME?</v>
      </c>
      <c r="CV264" s="73" t="e">
        <f t="shared" ca="1" si="2332"/>
        <v>#NAME?</v>
      </c>
      <c r="CW264" s="73" t="e">
        <f t="shared" ca="1" si="2332"/>
        <v>#NAME?</v>
      </c>
      <c r="CX264" s="73" t="e">
        <f t="shared" ref="CX264:DB264" ca="1" si="2334">IF(CX262&gt;CX263,"RF",0)</f>
        <v>#NAME?</v>
      </c>
      <c r="CY264" s="73" t="e">
        <f t="shared" ca="1" si="2334"/>
        <v>#NAME?</v>
      </c>
      <c r="CZ264" s="73" t="e">
        <f t="shared" ca="1" si="2334"/>
        <v>#NAME?</v>
      </c>
      <c r="DA264" s="73" t="e">
        <f t="shared" ca="1" si="2334"/>
        <v>#NAME?</v>
      </c>
      <c r="DB264" s="73" t="e">
        <f t="shared" ca="1" si="2334"/>
        <v>#NAME?</v>
      </c>
      <c r="DE264" s="142"/>
      <c r="DF264" s="103" t="s">
        <v>534</v>
      </c>
    </row>
    <row r="265" spans="1:110" s="86" customFormat="1" x14ac:dyDescent="0.2">
      <c r="A265" s="86" t="s">
        <v>432</v>
      </c>
      <c r="B265" s="86" t="e">
        <f ca="1">B44/B16</f>
        <v>#NAME?</v>
      </c>
      <c r="C265" s="86" t="e">
        <f ca="1">C44/C16</f>
        <v>#NAME?</v>
      </c>
      <c r="D265" s="86" t="e">
        <f ca="1">D44/D16</f>
        <v>#NAME?</v>
      </c>
      <c r="F265" s="86" t="e">
        <f t="shared" ref="F265:AE265" ca="1" si="2335">F44/F16</f>
        <v>#NAME?</v>
      </c>
      <c r="G265" s="86" t="e">
        <f t="shared" ca="1" si="2335"/>
        <v>#NAME?</v>
      </c>
      <c r="H265" s="86" t="e">
        <f t="shared" ca="1" si="2335"/>
        <v>#NAME?</v>
      </c>
      <c r="I265" s="86" t="e">
        <f t="shared" ca="1" si="2335"/>
        <v>#NAME?</v>
      </c>
      <c r="J265" s="86" t="e">
        <f t="shared" ca="1" si="2335"/>
        <v>#NAME?</v>
      </c>
      <c r="K265" s="86" t="e">
        <f t="shared" ca="1" si="2335"/>
        <v>#NAME?</v>
      </c>
      <c r="L265" s="86" t="e">
        <f t="shared" ca="1" si="2335"/>
        <v>#NAME?</v>
      </c>
      <c r="M265" s="86" t="e">
        <f t="shared" ca="1" si="2335"/>
        <v>#NAME?</v>
      </c>
      <c r="N265" s="86" t="e">
        <f t="shared" ca="1" si="2335"/>
        <v>#NAME?</v>
      </c>
      <c r="O265" s="86" t="e">
        <f t="shared" ca="1" si="2335"/>
        <v>#NAME?</v>
      </c>
      <c r="P265" s="86" t="e">
        <f t="shared" ca="1" si="2335"/>
        <v>#NAME?</v>
      </c>
      <c r="Q265" s="86" t="e">
        <f t="shared" ca="1" si="2335"/>
        <v>#NAME?</v>
      </c>
      <c r="R265" s="86" t="e">
        <f t="shared" ca="1" si="2335"/>
        <v>#NAME?</v>
      </c>
      <c r="S265" s="86" t="e">
        <f t="shared" ca="1" si="2335"/>
        <v>#NAME?</v>
      </c>
      <c r="T265" s="86" t="e">
        <f t="shared" ca="1" si="2335"/>
        <v>#NAME?</v>
      </c>
      <c r="U265" s="86" t="e">
        <f t="shared" ca="1" si="2335"/>
        <v>#NAME?</v>
      </c>
      <c r="V265" s="86" t="e">
        <f t="shared" ca="1" si="2335"/>
        <v>#NAME?</v>
      </c>
      <c r="W265" s="86" t="e">
        <f t="shared" ca="1" si="2335"/>
        <v>#NAME?</v>
      </c>
      <c r="X265" s="86" t="e">
        <f t="shared" ca="1" si="2335"/>
        <v>#NAME?</v>
      </c>
      <c r="Y265" s="86" t="e">
        <f t="shared" ca="1" si="2335"/>
        <v>#NAME?</v>
      </c>
      <c r="Z265" s="86" t="e">
        <f t="shared" ca="1" si="2335"/>
        <v>#NAME?</v>
      </c>
      <c r="AA265" s="86" t="e">
        <f t="shared" ref="AA265" ca="1" si="2336">AA44/AA16</f>
        <v>#NAME?</v>
      </c>
      <c r="AB265" s="87" t="e">
        <f t="shared" ca="1" si="2335"/>
        <v>#NAME?</v>
      </c>
      <c r="AC265" s="87" t="e">
        <f t="shared" ca="1" si="2335"/>
        <v>#NAME?</v>
      </c>
      <c r="AD265" s="87" t="e">
        <f t="shared" ca="1" si="2335"/>
        <v>#NAME?</v>
      </c>
      <c r="AE265" s="87" t="e">
        <f t="shared" ca="1" si="2335"/>
        <v>#NAME?</v>
      </c>
      <c r="AL265" s="86" t="e">
        <f t="shared" ref="AL265:CW265" ca="1" si="2337">AL44/AL16</f>
        <v>#NAME?</v>
      </c>
      <c r="AM265" s="86" t="e">
        <f t="shared" ca="1" si="2337"/>
        <v>#NAME?</v>
      </c>
      <c r="AN265" s="86" t="e">
        <f t="shared" ca="1" si="2337"/>
        <v>#NAME?</v>
      </c>
      <c r="AO265" s="86" t="e">
        <f t="shared" ca="1" si="2337"/>
        <v>#NAME?</v>
      </c>
      <c r="AP265" s="86" t="e">
        <f t="shared" ca="1" si="2337"/>
        <v>#NAME?</v>
      </c>
      <c r="AQ265" s="86" t="e">
        <f t="shared" ca="1" si="2337"/>
        <v>#NAME?</v>
      </c>
      <c r="AR265" s="86" t="e">
        <f t="shared" ca="1" si="2337"/>
        <v>#NAME?</v>
      </c>
      <c r="AS265" s="86" t="e">
        <f t="shared" ca="1" si="2337"/>
        <v>#NAME?</v>
      </c>
      <c r="AT265" s="86" t="e">
        <f t="shared" ca="1" si="2337"/>
        <v>#NAME?</v>
      </c>
      <c r="AU265" s="86" t="e">
        <f t="shared" ca="1" si="2337"/>
        <v>#NAME?</v>
      </c>
      <c r="AV265" s="86" t="e">
        <f t="shared" ca="1" si="2337"/>
        <v>#NAME?</v>
      </c>
      <c r="AW265" s="86" t="e">
        <f t="shared" ca="1" si="2337"/>
        <v>#NAME?</v>
      </c>
      <c r="AX265" s="86" t="e">
        <f t="shared" ca="1" si="2337"/>
        <v>#NAME?</v>
      </c>
      <c r="AY265" s="86" t="e">
        <f t="shared" ca="1" si="2337"/>
        <v>#NAME?</v>
      </c>
      <c r="AZ265" s="86" t="e">
        <f t="shared" ca="1" si="2337"/>
        <v>#NAME?</v>
      </c>
      <c r="BA265" s="86" t="e">
        <f t="shared" ca="1" si="2337"/>
        <v>#NAME?</v>
      </c>
      <c r="BB265" s="86" t="e">
        <f t="shared" ca="1" si="2337"/>
        <v>#NAME?</v>
      </c>
      <c r="BC265" s="86" t="e">
        <f t="shared" ca="1" si="2337"/>
        <v>#NAME?</v>
      </c>
      <c r="BD265" s="86" t="e">
        <f t="shared" ca="1" si="2337"/>
        <v>#NAME?</v>
      </c>
      <c r="BE265" s="86" t="e">
        <f t="shared" ca="1" si="2337"/>
        <v>#NAME?</v>
      </c>
      <c r="BF265" s="86" t="e">
        <f t="shared" ca="1" si="2337"/>
        <v>#NAME?</v>
      </c>
      <c r="BG265" s="86" t="e">
        <f t="shared" ca="1" si="2337"/>
        <v>#NAME?</v>
      </c>
      <c r="BH265" s="86" t="e">
        <f t="shared" ca="1" si="2337"/>
        <v>#NAME?</v>
      </c>
      <c r="BI265" s="86" t="e">
        <f t="shared" ca="1" si="2337"/>
        <v>#NAME?</v>
      </c>
      <c r="BJ265" s="86" t="e">
        <f t="shared" ca="1" si="2337"/>
        <v>#NAME?</v>
      </c>
      <c r="BK265" s="86" t="e">
        <f t="shared" ca="1" si="2337"/>
        <v>#NAME?</v>
      </c>
      <c r="BL265" s="86" t="e">
        <f t="shared" ca="1" si="2337"/>
        <v>#NAME?</v>
      </c>
      <c r="BM265" s="86" t="e">
        <f t="shared" ca="1" si="2337"/>
        <v>#NAME?</v>
      </c>
      <c r="BN265" s="86" t="e">
        <f t="shared" ca="1" si="2337"/>
        <v>#NAME?</v>
      </c>
      <c r="BO265" s="86" t="e">
        <f t="shared" ca="1" si="2337"/>
        <v>#NAME?</v>
      </c>
      <c r="BP265" s="86" t="e">
        <f t="shared" ca="1" si="2337"/>
        <v>#NAME?</v>
      </c>
      <c r="BQ265" s="86" t="e">
        <f t="shared" ca="1" si="2337"/>
        <v>#NAME?</v>
      </c>
      <c r="BR265" s="86" t="e">
        <f t="shared" ca="1" si="2337"/>
        <v>#NAME?</v>
      </c>
      <c r="BS265" s="86" t="e">
        <f t="shared" ca="1" si="2337"/>
        <v>#NAME?</v>
      </c>
      <c r="BT265" s="86" t="e">
        <f t="shared" ca="1" si="2337"/>
        <v>#NAME?</v>
      </c>
      <c r="BU265" s="86" t="e">
        <f t="shared" ca="1" si="2337"/>
        <v>#NAME?</v>
      </c>
      <c r="BV265" s="86" t="e">
        <f t="shared" ca="1" si="2337"/>
        <v>#NAME?</v>
      </c>
      <c r="BW265" s="86" t="e">
        <f t="shared" ca="1" si="2337"/>
        <v>#NAME?</v>
      </c>
      <c r="BX265" s="86" t="e">
        <f t="shared" ca="1" si="2337"/>
        <v>#NAME?</v>
      </c>
      <c r="BY265" s="86" t="e">
        <f t="shared" ca="1" si="2337"/>
        <v>#NAME?</v>
      </c>
      <c r="BZ265" s="86" t="e">
        <f t="shared" ca="1" si="2337"/>
        <v>#NAME?</v>
      </c>
      <c r="CA265" s="86" t="e">
        <f t="shared" ca="1" si="2337"/>
        <v>#NAME?</v>
      </c>
      <c r="CB265" s="86" t="e">
        <f t="shared" ca="1" si="2337"/>
        <v>#NAME?</v>
      </c>
      <c r="CC265" s="86" t="e">
        <f t="shared" ca="1" si="2337"/>
        <v>#NAME?</v>
      </c>
      <c r="CD265" s="86" t="e">
        <f t="shared" ca="1" si="2337"/>
        <v>#NAME?</v>
      </c>
      <c r="CE265" s="86" t="e">
        <f t="shared" ca="1" si="2337"/>
        <v>#NAME?</v>
      </c>
      <c r="CF265" s="86" t="e">
        <f t="shared" ca="1" si="2337"/>
        <v>#NAME?</v>
      </c>
      <c r="CG265" s="86" t="e">
        <f t="shared" ca="1" si="2337"/>
        <v>#NAME?</v>
      </c>
      <c r="CH265" s="86" t="e">
        <f t="shared" ca="1" si="2337"/>
        <v>#NAME?</v>
      </c>
      <c r="CI265" s="86" t="e">
        <f t="shared" ca="1" si="2337"/>
        <v>#NAME?</v>
      </c>
      <c r="CJ265" s="86" t="e">
        <f t="shared" ca="1" si="2337"/>
        <v>#NAME?</v>
      </c>
      <c r="CK265" s="86" t="e">
        <f t="shared" ca="1" si="2337"/>
        <v>#NAME?</v>
      </c>
      <c r="CL265" s="86" t="e">
        <f t="shared" ref="CL265" ca="1" si="2338">CL44/CL16</f>
        <v>#NAME?</v>
      </c>
      <c r="CM265" s="87" t="e">
        <f t="shared" ca="1" si="2337"/>
        <v>#NAME?</v>
      </c>
      <c r="CN265" s="87" t="e">
        <f t="shared" ca="1" si="2337"/>
        <v>#NAME?</v>
      </c>
      <c r="CO265" s="87" t="e">
        <f t="shared" ca="1" si="2337"/>
        <v>#NAME?</v>
      </c>
      <c r="CP265" s="87" t="e">
        <f t="shared" ca="1" si="2337"/>
        <v>#NAME?</v>
      </c>
      <c r="CQ265" s="87" t="e">
        <f t="shared" ca="1" si="2337"/>
        <v>#NAME?</v>
      </c>
      <c r="CR265" s="87" t="e">
        <f t="shared" ca="1" si="2337"/>
        <v>#NAME?</v>
      </c>
      <c r="CS265" s="87" t="e">
        <f t="shared" ca="1" si="2337"/>
        <v>#NAME?</v>
      </c>
      <c r="CT265" s="87" t="e">
        <f t="shared" ca="1" si="2337"/>
        <v>#NAME?</v>
      </c>
      <c r="CU265" s="87" t="e">
        <f t="shared" ca="1" si="2337"/>
        <v>#NAME?</v>
      </c>
      <c r="CV265" s="87" t="e">
        <f t="shared" ca="1" si="2337"/>
        <v>#NAME?</v>
      </c>
      <c r="CW265" s="87" t="e">
        <f t="shared" ca="1" si="2337"/>
        <v>#NAME?</v>
      </c>
      <c r="CX265" s="87" t="e">
        <f t="shared" ref="CX265:DB265" ca="1" si="2339">CX44/CX16</f>
        <v>#NAME?</v>
      </c>
      <c r="CY265" s="87" t="e">
        <f t="shared" ca="1" si="2339"/>
        <v>#NAME?</v>
      </c>
      <c r="CZ265" s="87" t="e">
        <f t="shared" ca="1" si="2339"/>
        <v>#NAME?</v>
      </c>
      <c r="DA265" s="87" t="e">
        <f t="shared" ca="1" si="2339"/>
        <v>#NAME?</v>
      </c>
      <c r="DB265" s="87" t="e">
        <f t="shared" ca="1" si="2339"/>
        <v>#NAME?</v>
      </c>
      <c r="DE265" s="141"/>
      <c r="DF265" s="86">
        <v>5.5000924840022348E-3</v>
      </c>
    </row>
    <row r="266" spans="1:110" s="86" customFormat="1" x14ac:dyDescent="0.2">
      <c r="A266" s="86" t="s">
        <v>433</v>
      </c>
      <c r="B266" s="86" t="e">
        <f ca="1">B40/B16</f>
        <v>#NAME?</v>
      </c>
      <c r="C266" s="86" t="e">
        <f ca="1">C40/C16</f>
        <v>#NAME?</v>
      </c>
      <c r="D266" s="86" t="e">
        <f ca="1">D40/D16</f>
        <v>#NAME?</v>
      </c>
      <c r="F266" s="86" t="e">
        <f t="shared" ref="F266:AE266" ca="1" si="2340">F40/F16</f>
        <v>#NAME?</v>
      </c>
      <c r="G266" s="86" t="e">
        <f t="shared" ca="1" si="2340"/>
        <v>#NAME?</v>
      </c>
      <c r="H266" s="86" t="e">
        <f t="shared" ca="1" si="2340"/>
        <v>#NAME?</v>
      </c>
      <c r="I266" s="86" t="e">
        <f t="shared" ca="1" si="2340"/>
        <v>#NAME?</v>
      </c>
      <c r="J266" s="86" t="e">
        <f t="shared" ca="1" si="2340"/>
        <v>#NAME?</v>
      </c>
      <c r="K266" s="86" t="e">
        <f t="shared" ca="1" si="2340"/>
        <v>#NAME?</v>
      </c>
      <c r="L266" s="86" t="e">
        <f t="shared" ca="1" si="2340"/>
        <v>#NAME?</v>
      </c>
      <c r="M266" s="86" t="e">
        <f t="shared" ca="1" si="2340"/>
        <v>#NAME?</v>
      </c>
      <c r="N266" s="86" t="e">
        <f t="shared" ca="1" si="2340"/>
        <v>#NAME?</v>
      </c>
      <c r="O266" s="86" t="e">
        <f t="shared" ca="1" si="2340"/>
        <v>#NAME?</v>
      </c>
      <c r="P266" s="86" t="e">
        <f t="shared" ca="1" si="2340"/>
        <v>#NAME?</v>
      </c>
      <c r="Q266" s="86" t="e">
        <f t="shared" ca="1" si="2340"/>
        <v>#NAME?</v>
      </c>
      <c r="R266" s="86" t="e">
        <f t="shared" ca="1" si="2340"/>
        <v>#NAME?</v>
      </c>
      <c r="S266" s="86" t="e">
        <f t="shared" ca="1" si="2340"/>
        <v>#NAME?</v>
      </c>
      <c r="T266" s="86" t="e">
        <f t="shared" ca="1" si="2340"/>
        <v>#NAME?</v>
      </c>
      <c r="U266" s="86" t="e">
        <f t="shared" ca="1" si="2340"/>
        <v>#NAME?</v>
      </c>
      <c r="V266" s="86" t="e">
        <f t="shared" ca="1" si="2340"/>
        <v>#NAME?</v>
      </c>
      <c r="W266" s="86" t="e">
        <f t="shared" ca="1" si="2340"/>
        <v>#NAME?</v>
      </c>
      <c r="X266" s="86" t="e">
        <f t="shared" ca="1" si="2340"/>
        <v>#NAME?</v>
      </c>
      <c r="Y266" s="86" t="e">
        <f t="shared" ca="1" si="2340"/>
        <v>#NAME?</v>
      </c>
      <c r="Z266" s="86" t="e">
        <f t="shared" ca="1" si="2340"/>
        <v>#NAME?</v>
      </c>
      <c r="AA266" s="86" t="e">
        <f t="shared" ref="AA266" ca="1" si="2341">AA40/AA16</f>
        <v>#NAME?</v>
      </c>
      <c r="AB266" s="87" t="e">
        <f t="shared" ca="1" si="2340"/>
        <v>#NAME?</v>
      </c>
      <c r="AC266" s="87" t="e">
        <f t="shared" ca="1" si="2340"/>
        <v>#NAME?</v>
      </c>
      <c r="AD266" s="87" t="e">
        <f t="shared" ca="1" si="2340"/>
        <v>#NAME?</v>
      </c>
      <c r="AE266" s="87" t="e">
        <f t="shared" ca="1" si="2340"/>
        <v>#NAME?</v>
      </c>
      <c r="AL266" s="86" t="e">
        <f t="shared" ref="AL266:CW266" ca="1" si="2342">AL40/AL16</f>
        <v>#NAME?</v>
      </c>
      <c r="AM266" s="86" t="e">
        <f t="shared" ca="1" si="2342"/>
        <v>#NAME?</v>
      </c>
      <c r="AN266" s="86" t="e">
        <f t="shared" ca="1" si="2342"/>
        <v>#NAME?</v>
      </c>
      <c r="AO266" s="86" t="e">
        <f t="shared" ca="1" si="2342"/>
        <v>#NAME?</v>
      </c>
      <c r="AP266" s="86" t="e">
        <f t="shared" ca="1" si="2342"/>
        <v>#NAME?</v>
      </c>
      <c r="AQ266" s="86" t="e">
        <f t="shared" ca="1" si="2342"/>
        <v>#NAME?</v>
      </c>
      <c r="AR266" s="86" t="e">
        <f t="shared" ca="1" si="2342"/>
        <v>#NAME?</v>
      </c>
      <c r="AS266" s="86" t="e">
        <f t="shared" ca="1" si="2342"/>
        <v>#NAME?</v>
      </c>
      <c r="AT266" s="86" t="e">
        <f t="shared" ca="1" si="2342"/>
        <v>#NAME?</v>
      </c>
      <c r="AU266" s="86" t="e">
        <f t="shared" ca="1" si="2342"/>
        <v>#NAME?</v>
      </c>
      <c r="AV266" s="86" t="e">
        <f t="shared" ca="1" si="2342"/>
        <v>#NAME?</v>
      </c>
      <c r="AW266" s="86" t="e">
        <f t="shared" ca="1" si="2342"/>
        <v>#NAME?</v>
      </c>
      <c r="AX266" s="86" t="e">
        <f t="shared" ca="1" si="2342"/>
        <v>#NAME?</v>
      </c>
      <c r="AY266" s="86" t="e">
        <f t="shared" ca="1" si="2342"/>
        <v>#NAME?</v>
      </c>
      <c r="AZ266" s="86" t="e">
        <f t="shared" ca="1" si="2342"/>
        <v>#NAME?</v>
      </c>
      <c r="BA266" s="86" t="e">
        <f t="shared" ca="1" si="2342"/>
        <v>#NAME?</v>
      </c>
      <c r="BB266" s="86" t="e">
        <f t="shared" ca="1" si="2342"/>
        <v>#NAME?</v>
      </c>
      <c r="BC266" s="86" t="e">
        <f t="shared" ca="1" si="2342"/>
        <v>#NAME?</v>
      </c>
      <c r="BD266" s="86" t="e">
        <f t="shared" ca="1" si="2342"/>
        <v>#NAME?</v>
      </c>
      <c r="BE266" s="86" t="e">
        <f t="shared" ca="1" si="2342"/>
        <v>#NAME?</v>
      </c>
      <c r="BF266" s="86" t="e">
        <f t="shared" ca="1" si="2342"/>
        <v>#NAME?</v>
      </c>
      <c r="BG266" s="86" t="e">
        <f t="shared" ca="1" si="2342"/>
        <v>#NAME?</v>
      </c>
      <c r="BH266" s="86" t="e">
        <f t="shared" ca="1" si="2342"/>
        <v>#NAME?</v>
      </c>
      <c r="BI266" s="86" t="e">
        <f t="shared" ca="1" si="2342"/>
        <v>#NAME?</v>
      </c>
      <c r="BJ266" s="86" t="e">
        <f t="shared" ca="1" si="2342"/>
        <v>#NAME?</v>
      </c>
      <c r="BK266" s="86" t="e">
        <f t="shared" ca="1" si="2342"/>
        <v>#NAME?</v>
      </c>
      <c r="BL266" s="86" t="e">
        <f t="shared" ca="1" si="2342"/>
        <v>#NAME?</v>
      </c>
      <c r="BM266" s="86" t="e">
        <f t="shared" ca="1" si="2342"/>
        <v>#NAME?</v>
      </c>
      <c r="BN266" s="86" t="e">
        <f t="shared" ca="1" si="2342"/>
        <v>#NAME?</v>
      </c>
      <c r="BO266" s="86" t="e">
        <f t="shared" ca="1" si="2342"/>
        <v>#NAME?</v>
      </c>
      <c r="BP266" s="86" t="e">
        <f t="shared" ca="1" si="2342"/>
        <v>#NAME?</v>
      </c>
      <c r="BQ266" s="86" t="e">
        <f t="shared" ca="1" si="2342"/>
        <v>#NAME?</v>
      </c>
      <c r="BR266" s="86" t="e">
        <f t="shared" ca="1" si="2342"/>
        <v>#NAME?</v>
      </c>
      <c r="BS266" s="86" t="e">
        <f t="shared" ca="1" si="2342"/>
        <v>#NAME?</v>
      </c>
      <c r="BT266" s="86" t="e">
        <f t="shared" ca="1" si="2342"/>
        <v>#NAME?</v>
      </c>
      <c r="BU266" s="86" t="e">
        <f t="shared" ca="1" si="2342"/>
        <v>#NAME?</v>
      </c>
      <c r="BV266" s="86" t="e">
        <f t="shared" ca="1" si="2342"/>
        <v>#NAME?</v>
      </c>
      <c r="BW266" s="86" t="e">
        <f t="shared" ca="1" si="2342"/>
        <v>#NAME?</v>
      </c>
      <c r="BX266" s="86" t="e">
        <f t="shared" ca="1" si="2342"/>
        <v>#NAME?</v>
      </c>
      <c r="BY266" s="86" t="e">
        <f t="shared" ca="1" si="2342"/>
        <v>#NAME?</v>
      </c>
      <c r="BZ266" s="86" t="e">
        <f t="shared" ca="1" si="2342"/>
        <v>#NAME?</v>
      </c>
      <c r="CA266" s="86" t="e">
        <f t="shared" ca="1" si="2342"/>
        <v>#NAME?</v>
      </c>
      <c r="CB266" s="86" t="e">
        <f t="shared" ca="1" si="2342"/>
        <v>#NAME?</v>
      </c>
      <c r="CC266" s="86" t="e">
        <f t="shared" ca="1" si="2342"/>
        <v>#NAME?</v>
      </c>
      <c r="CD266" s="86" t="e">
        <f t="shared" ca="1" si="2342"/>
        <v>#NAME?</v>
      </c>
      <c r="CE266" s="86" t="e">
        <f t="shared" ca="1" si="2342"/>
        <v>#NAME?</v>
      </c>
      <c r="CF266" s="86" t="e">
        <f t="shared" ca="1" si="2342"/>
        <v>#NAME?</v>
      </c>
      <c r="CG266" s="86" t="e">
        <f t="shared" ca="1" si="2342"/>
        <v>#NAME?</v>
      </c>
      <c r="CH266" s="86" t="e">
        <f t="shared" ca="1" si="2342"/>
        <v>#NAME?</v>
      </c>
      <c r="CI266" s="86" t="e">
        <f t="shared" ca="1" si="2342"/>
        <v>#NAME?</v>
      </c>
      <c r="CJ266" s="86" t="e">
        <f t="shared" ca="1" si="2342"/>
        <v>#NAME?</v>
      </c>
      <c r="CK266" s="86" t="e">
        <f t="shared" ca="1" si="2342"/>
        <v>#NAME?</v>
      </c>
      <c r="CL266" s="86" t="e">
        <f t="shared" ref="CL266" ca="1" si="2343">CL40/CL16</f>
        <v>#NAME?</v>
      </c>
      <c r="CM266" s="87" t="e">
        <f t="shared" ca="1" si="2342"/>
        <v>#NAME?</v>
      </c>
      <c r="CN266" s="87" t="e">
        <f t="shared" ca="1" si="2342"/>
        <v>#NAME?</v>
      </c>
      <c r="CO266" s="87" t="e">
        <f t="shared" ca="1" si="2342"/>
        <v>#NAME?</v>
      </c>
      <c r="CP266" s="87" t="e">
        <f t="shared" ca="1" si="2342"/>
        <v>#NAME?</v>
      </c>
      <c r="CQ266" s="87" t="e">
        <f t="shared" ca="1" si="2342"/>
        <v>#NAME?</v>
      </c>
      <c r="CR266" s="87" t="e">
        <f t="shared" ca="1" si="2342"/>
        <v>#NAME?</v>
      </c>
      <c r="CS266" s="87" t="e">
        <f t="shared" ca="1" si="2342"/>
        <v>#NAME?</v>
      </c>
      <c r="CT266" s="87" t="e">
        <f t="shared" ca="1" si="2342"/>
        <v>#NAME?</v>
      </c>
      <c r="CU266" s="87" t="e">
        <f t="shared" ca="1" si="2342"/>
        <v>#NAME?</v>
      </c>
      <c r="CV266" s="87" t="e">
        <f t="shared" ca="1" si="2342"/>
        <v>#NAME?</v>
      </c>
      <c r="CW266" s="87" t="e">
        <f t="shared" ca="1" si="2342"/>
        <v>#NAME?</v>
      </c>
      <c r="CX266" s="87" t="e">
        <f t="shared" ref="CX266:DB266" ca="1" si="2344">CX40/CX16</f>
        <v>#NAME?</v>
      </c>
      <c r="CY266" s="87" t="e">
        <f t="shared" ca="1" si="2344"/>
        <v>#NAME?</v>
      </c>
      <c r="CZ266" s="87" t="e">
        <f t="shared" ca="1" si="2344"/>
        <v>#NAME?</v>
      </c>
      <c r="DA266" s="87" t="e">
        <f t="shared" ca="1" si="2344"/>
        <v>#NAME?</v>
      </c>
      <c r="DB266" s="87" t="e">
        <f t="shared" ca="1" si="2344"/>
        <v>#NAME?</v>
      </c>
      <c r="DE266" s="141"/>
      <c r="DF266" s="86">
        <v>9.2446615085518186E-2</v>
      </c>
    </row>
    <row r="267" spans="1:110" s="85" customFormat="1" x14ac:dyDescent="0.2">
      <c r="AB267" s="58"/>
      <c r="AC267" s="58"/>
      <c r="AD267" s="58"/>
      <c r="AE267" s="58"/>
      <c r="CM267" s="72"/>
      <c r="CN267" s="72"/>
      <c r="CO267" s="72"/>
      <c r="CP267" s="72"/>
      <c r="CQ267" s="72"/>
      <c r="CR267" s="72"/>
      <c r="CS267" s="72"/>
      <c r="CT267" s="72"/>
      <c r="CU267" s="72"/>
      <c r="CV267" s="72"/>
      <c r="CW267" s="72"/>
      <c r="CX267" s="72"/>
      <c r="CY267" s="72"/>
      <c r="CZ267" s="72"/>
      <c r="DA267" s="72"/>
      <c r="DB267" s="72"/>
      <c r="DE267" s="143"/>
    </row>
  </sheetData>
  <sortState xmlns:xlrd2="http://schemas.microsoft.com/office/spreadsheetml/2017/richdata2" ref="A28:DE33">
    <sortCondition ref="A28:A33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100425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" sqref="X1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100425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100425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100425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100425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229.4</v>
      </c>
      <c r="C4" s="116">
        <v>227.85</v>
      </c>
      <c r="D4" s="116">
        <v>227.15</v>
      </c>
      <c r="E4" s="116">
        <v>229.4</v>
      </c>
      <c r="F4" s="116">
        <v>227.85</v>
      </c>
      <c r="G4">
        <v>30793</v>
      </c>
      <c r="H4" s="116"/>
      <c r="I4" s="116"/>
      <c r="L4" s="170">
        <v>42005</v>
      </c>
      <c r="M4" s="116">
        <v>227.75</v>
      </c>
      <c r="N4" s="116">
        <v>229.45</v>
      </c>
      <c r="O4" s="116">
        <v>227.5</v>
      </c>
      <c r="P4" s="116">
        <v>229</v>
      </c>
      <c r="Q4" s="116">
        <v>227.75</v>
      </c>
      <c r="R4">
        <v>208341</v>
      </c>
    </row>
    <row r="5" spans="1:18" x14ac:dyDescent="0.25">
      <c r="A5" s="170">
        <v>42006</v>
      </c>
      <c r="B5" s="116">
        <v>231.65</v>
      </c>
      <c r="C5" s="116">
        <v>230.95</v>
      </c>
      <c r="D5" s="116">
        <v>228.7</v>
      </c>
      <c r="E5" s="116">
        <v>229</v>
      </c>
      <c r="F5" s="116">
        <v>230.95</v>
      </c>
      <c r="G5">
        <v>46696</v>
      </c>
      <c r="H5" s="116"/>
      <c r="I5" s="116"/>
      <c r="L5" s="170">
        <v>42006</v>
      </c>
      <c r="M5" s="116">
        <v>230.95</v>
      </c>
      <c r="N5" s="116">
        <v>231.7</v>
      </c>
      <c r="O5" s="116">
        <v>228</v>
      </c>
      <c r="P5" s="116">
        <v>228</v>
      </c>
      <c r="Q5" s="116">
        <v>230.95</v>
      </c>
      <c r="R5">
        <v>582581</v>
      </c>
    </row>
    <row r="6" spans="1:18" x14ac:dyDescent="0.25">
      <c r="A6" s="170">
        <v>42009</v>
      </c>
      <c r="B6" s="116">
        <v>233.5</v>
      </c>
      <c r="C6" s="116">
        <v>230.75</v>
      </c>
      <c r="D6" s="116">
        <v>229.5</v>
      </c>
      <c r="E6" s="116">
        <v>231.95</v>
      </c>
      <c r="F6" s="116">
        <v>230.75</v>
      </c>
      <c r="G6">
        <v>57956</v>
      </c>
      <c r="H6" s="116"/>
      <c r="I6" s="116"/>
      <c r="L6" s="170">
        <v>42009</v>
      </c>
      <c r="M6" s="116">
        <v>230.65</v>
      </c>
      <c r="N6" s="116">
        <v>233.3</v>
      </c>
      <c r="O6" s="116">
        <v>229.55</v>
      </c>
      <c r="P6" s="116">
        <v>230.95</v>
      </c>
      <c r="Q6" s="116">
        <v>230.65</v>
      </c>
      <c r="R6">
        <v>967248</v>
      </c>
    </row>
    <row r="7" spans="1:18" x14ac:dyDescent="0.25">
      <c r="A7" s="170">
        <v>42010</v>
      </c>
      <c r="B7" s="116">
        <v>229.95</v>
      </c>
      <c r="C7" s="116">
        <v>221.95</v>
      </c>
      <c r="D7" s="116">
        <v>220.6</v>
      </c>
      <c r="E7" s="116">
        <v>229.95</v>
      </c>
      <c r="F7" s="116">
        <v>221.95</v>
      </c>
      <c r="G7">
        <v>79166</v>
      </c>
      <c r="H7" s="116"/>
      <c r="I7" s="116"/>
      <c r="L7" s="170">
        <v>42010</v>
      </c>
      <c r="M7" s="116">
        <v>222.15</v>
      </c>
      <c r="N7" s="116">
        <v>230</v>
      </c>
      <c r="O7" s="116">
        <v>220.75</v>
      </c>
      <c r="P7" s="116">
        <v>230</v>
      </c>
      <c r="Q7" s="116">
        <v>222.15</v>
      </c>
      <c r="R7">
        <v>1479156</v>
      </c>
    </row>
    <row r="8" spans="1:18" x14ac:dyDescent="0.25">
      <c r="A8" s="170">
        <v>42011</v>
      </c>
      <c r="B8" s="116">
        <v>223.05</v>
      </c>
      <c r="C8" s="116">
        <v>219.9</v>
      </c>
      <c r="D8" s="116">
        <v>218.2</v>
      </c>
      <c r="E8" s="116">
        <v>220.4</v>
      </c>
      <c r="F8" s="116">
        <v>219.9</v>
      </c>
      <c r="G8">
        <v>68421</v>
      </c>
      <c r="H8" s="116"/>
      <c r="I8" s="116"/>
      <c r="L8" s="170">
        <v>42011</v>
      </c>
      <c r="M8" s="116">
        <v>220.1</v>
      </c>
      <c r="N8" s="116">
        <v>222.95</v>
      </c>
      <c r="O8" s="116">
        <v>218.1</v>
      </c>
      <c r="P8" s="116">
        <v>222</v>
      </c>
      <c r="Q8" s="116">
        <v>220.1</v>
      </c>
      <c r="R8">
        <v>1172388</v>
      </c>
    </row>
    <row r="9" spans="1:18" x14ac:dyDescent="0.25">
      <c r="A9" s="170">
        <v>42012</v>
      </c>
      <c r="B9" s="116">
        <v>227.5</v>
      </c>
      <c r="C9" s="116">
        <v>226.25</v>
      </c>
      <c r="D9" s="116">
        <v>221.55</v>
      </c>
      <c r="E9" s="116">
        <v>222.3</v>
      </c>
      <c r="F9" s="116">
        <v>226.25</v>
      </c>
      <c r="G9">
        <v>45359</v>
      </c>
      <c r="H9" s="116"/>
      <c r="I9" s="116"/>
      <c r="L9" s="170">
        <v>42012</v>
      </c>
      <c r="M9" s="116">
        <v>226.4</v>
      </c>
      <c r="N9" s="116">
        <v>227.5</v>
      </c>
      <c r="O9" s="116">
        <v>221.2</v>
      </c>
      <c r="P9" s="116">
        <v>221.95</v>
      </c>
      <c r="Q9" s="116">
        <v>226.4</v>
      </c>
      <c r="R9">
        <v>1084102</v>
      </c>
    </row>
    <row r="10" spans="1:18" x14ac:dyDescent="0.25">
      <c r="A10" s="170">
        <v>42013</v>
      </c>
      <c r="B10" s="116">
        <v>228.05</v>
      </c>
      <c r="C10" s="116">
        <v>223.2</v>
      </c>
      <c r="D10" s="116">
        <v>222.15</v>
      </c>
      <c r="E10" s="116">
        <v>227.65</v>
      </c>
      <c r="F10" s="116">
        <v>223.2</v>
      </c>
      <c r="G10">
        <v>113016</v>
      </c>
      <c r="H10" s="116"/>
      <c r="I10" s="116"/>
      <c r="L10" s="170">
        <v>42013</v>
      </c>
      <c r="M10" s="116">
        <v>223.8</v>
      </c>
      <c r="N10" s="116">
        <v>228.4</v>
      </c>
      <c r="O10" s="116">
        <v>222.05</v>
      </c>
      <c r="P10" s="116">
        <v>226.7</v>
      </c>
      <c r="Q10" s="116">
        <v>223.8</v>
      </c>
      <c r="R10">
        <v>1225314</v>
      </c>
    </row>
    <row r="11" spans="1:18" x14ac:dyDescent="0.25">
      <c r="A11" s="170">
        <v>42016</v>
      </c>
      <c r="B11" s="116">
        <v>228.4</v>
      </c>
      <c r="C11" s="116">
        <v>227.9</v>
      </c>
      <c r="D11" s="116">
        <v>223.2</v>
      </c>
      <c r="E11" s="116">
        <v>223.7</v>
      </c>
      <c r="F11" s="116">
        <v>227.9</v>
      </c>
      <c r="G11">
        <v>36027</v>
      </c>
      <c r="H11" s="116"/>
      <c r="I11" s="116"/>
      <c r="L11" s="170">
        <v>42016</v>
      </c>
      <c r="M11" s="116">
        <v>228</v>
      </c>
      <c r="N11" s="116">
        <v>228.6</v>
      </c>
      <c r="O11" s="116">
        <v>223.05</v>
      </c>
      <c r="P11" s="116">
        <v>223.9</v>
      </c>
      <c r="Q11" s="116">
        <v>228</v>
      </c>
      <c r="R11">
        <v>1035171</v>
      </c>
    </row>
    <row r="12" spans="1:18" x14ac:dyDescent="0.25">
      <c r="A12" s="170">
        <v>42017</v>
      </c>
      <c r="B12" s="116">
        <v>232.75</v>
      </c>
      <c r="C12" s="116">
        <v>230.05</v>
      </c>
      <c r="D12" s="116">
        <v>226.3</v>
      </c>
      <c r="E12" s="116">
        <v>228</v>
      </c>
      <c r="F12" s="116">
        <v>230.05</v>
      </c>
      <c r="G12">
        <v>112265</v>
      </c>
      <c r="H12" s="116"/>
      <c r="I12" s="116"/>
      <c r="L12" s="170">
        <v>42017</v>
      </c>
      <c r="M12" s="116">
        <v>230.1</v>
      </c>
      <c r="N12" s="116">
        <v>232.75</v>
      </c>
      <c r="O12" s="116">
        <v>226.2</v>
      </c>
      <c r="P12" s="116">
        <v>228</v>
      </c>
      <c r="Q12" s="116">
        <v>230.1</v>
      </c>
      <c r="R12">
        <v>2105508</v>
      </c>
    </row>
    <row r="13" spans="1:18" x14ac:dyDescent="0.25">
      <c r="A13" s="170">
        <v>42018</v>
      </c>
      <c r="B13" s="116">
        <v>233.75</v>
      </c>
      <c r="C13" s="116">
        <v>232.7</v>
      </c>
      <c r="D13" s="116">
        <v>230.05</v>
      </c>
      <c r="E13" s="116">
        <v>230.55</v>
      </c>
      <c r="F13" s="116">
        <v>232.7</v>
      </c>
      <c r="G13">
        <v>90770</v>
      </c>
      <c r="H13" s="116"/>
      <c r="I13" s="116"/>
      <c r="L13" s="170">
        <v>42018</v>
      </c>
      <c r="M13" s="116">
        <v>232.85</v>
      </c>
      <c r="N13" s="116">
        <v>233.85</v>
      </c>
      <c r="O13" s="116">
        <v>230.05</v>
      </c>
      <c r="P13" s="116">
        <v>231.25</v>
      </c>
      <c r="Q13" s="116">
        <v>232.85</v>
      </c>
      <c r="R13">
        <v>3179578</v>
      </c>
    </row>
    <row r="14" spans="1:18" x14ac:dyDescent="0.25">
      <c r="A14" s="170">
        <v>42019</v>
      </c>
      <c r="B14" s="116">
        <v>242.85</v>
      </c>
      <c r="C14" s="116">
        <v>240.85</v>
      </c>
      <c r="D14" s="116">
        <v>233.75</v>
      </c>
      <c r="E14" s="116">
        <v>234.75</v>
      </c>
      <c r="F14" s="116">
        <v>240.85</v>
      </c>
      <c r="G14">
        <v>238646</v>
      </c>
      <c r="H14" s="116"/>
      <c r="I14" s="116"/>
      <c r="L14" s="170">
        <v>42019</v>
      </c>
      <c r="M14" s="116">
        <v>240.45</v>
      </c>
      <c r="N14" s="116">
        <v>243.5</v>
      </c>
      <c r="O14" s="116">
        <v>233.9</v>
      </c>
      <c r="P14" s="116">
        <v>235.15</v>
      </c>
      <c r="Q14" s="116">
        <v>240.45</v>
      </c>
      <c r="R14">
        <v>3732809</v>
      </c>
    </row>
    <row r="15" spans="1:18" x14ac:dyDescent="0.25">
      <c r="A15" s="170">
        <v>42020</v>
      </c>
      <c r="B15" s="116">
        <v>240.45</v>
      </c>
      <c r="C15" s="116">
        <v>239.3</v>
      </c>
      <c r="D15" s="116">
        <v>237.3</v>
      </c>
      <c r="E15" s="116">
        <v>240.45</v>
      </c>
      <c r="F15" s="116">
        <v>239.3</v>
      </c>
      <c r="G15">
        <v>61479</v>
      </c>
      <c r="H15" s="116"/>
      <c r="I15" s="116"/>
      <c r="L15" s="170">
        <v>42020</v>
      </c>
      <c r="M15" s="116">
        <v>239.35</v>
      </c>
      <c r="N15" s="116">
        <v>242.1</v>
      </c>
      <c r="O15" s="116">
        <v>237.05</v>
      </c>
      <c r="P15" s="116">
        <v>239.5</v>
      </c>
      <c r="Q15" s="116">
        <v>239.35</v>
      </c>
      <c r="R15">
        <v>1204955</v>
      </c>
    </row>
    <row r="16" spans="1:18" x14ac:dyDescent="0.25">
      <c r="A16" s="170">
        <v>42023</v>
      </c>
      <c r="B16" s="116">
        <v>247</v>
      </c>
      <c r="C16" s="116">
        <v>246.35</v>
      </c>
      <c r="D16" s="116">
        <v>238.6</v>
      </c>
      <c r="E16" s="116">
        <v>238.7</v>
      </c>
      <c r="F16" s="116">
        <v>246.35</v>
      </c>
      <c r="G16">
        <v>183830</v>
      </c>
      <c r="H16" s="116"/>
      <c r="I16" s="116"/>
      <c r="L16" s="170">
        <v>42023</v>
      </c>
      <c r="M16" s="116">
        <v>246.8</v>
      </c>
      <c r="N16" s="116">
        <v>247.5</v>
      </c>
      <c r="O16" s="116">
        <v>238.5</v>
      </c>
      <c r="P16" s="116">
        <v>239.3</v>
      </c>
      <c r="Q16" s="116">
        <v>246.8</v>
      </c>
      <c r="R16">
        <v>2395181</v>
      </c>
    </row>
    <row r="17" spans="1:18" x14ac:dyDescent="0.25">
      <c r="A17" s="170">
        <v>42024</v>
      </c>
      <c r="B17" s="116">
        <v>248.95</v>
      </c>
      <c r="C17" s="116">
        <v>247.5</v>
      </c>
      <c r="D17" s="116">
        <v>245.25</v>
      </c>
      <c r="E17" s="116">
        <v>247</v>
      </c>
      <c r="F17" s="116">
        <v>247.5</v>
      </c>
      <c r="G17">
        <v>110319</v>
      </c>
      <c r="H17" s="116"/>
      <c r="I17" s="116"/>
      <c r="L17" s="170">
        <v>42024</v>
      </c>
      <c r="M17" s="116">
        <v>247.2</v>
      </c>
      <c r="N17" s="116">
        <v>248.95</v>
      </c>
      <c r="O17" s="116">
        <v>245.5</v>
      </c>
      <c r="P17" s="116">
        <v>247</v>
      </c>
      <c r="Q17" s="116">
        <v>247.2</v>
      </c>
      <c r="R17">
        <v>1960237</v>
      </c>
    </row>
    <row r="18" spans="1:18" x14ac:dyDescent="0.25">
      <c r="A18" s="170">
        <v>42025</v>
      </c>
      <c r="B18" s="116">
        <v>247.4</v>
      </c>
      <c r="C18" s="116">
        <v>246.75</v>
      </c>
      <c r="D18" s="116">
        <v>243.35</v>
      </c>
      <c r="E18" s="116">
        <v>247</v>
      </c>
      <c r="F18" s="116">
        <v>246.75</v>
      </c>
      <c r="G18">
        <v>75481</v>
      </c>
      <c r="H18" s="116"/>
      <c r="I18" s="116"/>
      <c r="L18" s="170">
        <v>42025</v>
      </c>
      <c r="M18" s="116">
        <v>246.65</v>
      </c>
      <c r="N18" s="116">
        <v>248.4</v>
      </c>
      <c r="O18" s="116">
        <v>243.35</v>
      </c>
      <c r="P18" s="116">
        <v>248</v>
      </c>
      <c r="Q18" s="116">
        <v>246.65</v>
      </c>
      <c r="R18">
        <v>1033591</v>
      </c>
    </row>
    <row r="19" spans="1:18" x14ac:dyDescent="0.25">
      <c r="A19" s="170">
        <v>42026</v>
      </c>
      <c r="B19" s="116">
        <v>249.9</v>
      </c>
      <c r="C19" s="116">
        <v>248.9</v>
      </c>
      <c r="D19" s="116">
        <v>245.35</v>
      </c>
      <c r="E19" s="116">
        <v>246</v>
      </c>
      <c r="F19" s="116">
        <v>248.9</v>
      </c>
      <c r="G19">
        <v>84662</v>
      </c>
      <c r="H19" s="116"/>
      <c r="I19" s="116"/>
      <c r="L19" s="170">
        <v>42026</v>
      </c>
      <c r="M19" s="116">
        <v>249</v>
      </c>
      <c r="N19" s="116">
        <v>249.95</v>
      </c>
      <c r="O19" s="116">
        <v>245.1</v>
      </c>
      <c r="P19" s="116">
        <v>247.1</v>
      </c>
      <c r="Q19" s="116">
        <v>249</v>
      </c>
      <c r="R19">
        <v>2518070</v>
      </c>
    </row>
    <row r="20" spans="1:18" x14ac:dyDescent="0.25">
      <c r="A20" s="170">
        <v>42027</v>
      </c>
      <c r="B20" s="116">
        <v>252.75</v>
      </c>
      <c r="C20" s="116">
        <v>252</v>
      </c>
      <c r="D20" s="116">
        <v>245.6</v>
      </c>
      <c r="E20" s="116">
        <v>249.3</v>
      </c>
      <c r="F20" s="116">
        <v>252</v>
      </c>
      <c r="G20">
        <v>112635</v>
      </c>
      <c r="H20" s="116"/>
      <c r="I20" s="116"/>
      <c r="L20" s="170">
        <v>42027</v>
      </c>
      <c r="M20" s="116">
        <v>252.5</v>
      </c>
      <c r="N20" s="116">
        <v>253.4</v>
      </c>
      <c r="O20" s="116">
        <v>245.3</v>
      </c>
      <c r="P20" s="116">
        <v>250.1</v>
      </c>
      <c r="Q20" s="116">
        <v>252.5</v>
      </c>
      <c r="R20">
        <v>2926698</v>
      </c>
    </row>
    <row r="21" spans="1:18" x14ac:dyDescent="0.25">
      <c r="A21" s="170">
        <v>42031</v>
      </c>
      <c r="B21" s="116">
        <v>251</v>
      </c>
      <c r="C21" s="116">
        <v>249.95</v>
      </c>
      <c r="D21" s="116">
        <v>245.5</v>
      </c>
      <c r="E21" s="116">
        <v>251</v>
      </c>
      <c r="F21" s="116">
        <v>249.95</v>
      </c>
      <c r="G21">
        <v>78408</v>
      </c>
      <c r="H21" s="116"/>
      <c r="I21" s="116"/>
      <c r="L21" s="170">
        <v>42031</v>
      </c>
      <c r="M21" s="116">
        <v>250.2</v>
      </c>
      <c r="N21" s="116">
        <v>251.5</v>
      </c>
      <c r="O21" s="116">
        <v>245.2</v>
      </c>
      <c r="P21" s="116">
        <v>250.5</v>
      </c>
      <c r="Q21" s="116">
        <v>250.2</v>
      </c>
      <c r="R21">
        <v>2395358</v>
      </c>
    </row>
    <row r="22" spans="1:18" x14ac:dyDescent="0.25">
      <c r="A22" s="170">
        <v>42032</v>
      </c>
      <c r="B22" s="116">
        <v>251.95</v>
      </c>
      <c r="C22" s="116">
        <v>248.55</v>
      </c>
      <c r="D22" s="116">
        <v>246.9</v>
      </c>
      <c r="E22" s="116">
        <v>250</v>
      </c>
      <c r="F22" s="116">
        <v>248.55</v>
      </c>
      <c r="G22">
        <v>62752</v>
      </c>
      <c r="H22" s="116"/>
      <c r="I22" s="116"/>
      <c r="L22" s="170">
        <v>42032</v>
      </c>
      <c r="M22" s="116">
        <v>249.05</v>
      </c>
      <c r="N22" s="116">
        <v>252</v>
      </c>
      <c r="O22" s="116">
        <v>247</v>
      </c>
      <c r="P22" s="116">
        <v>248.25</v>
      </c>
      <c r="Q22" s="116">
        <v>249.05</v>
      </c>
      <c r="R22">
        <v>2733606</v>
      </c>
    </row>
    <row r="23" spans="1:18" x14ac:dyDescent="0.25">
      <c r="A23" s="170">
        <v>42033</v>
      </c>
      <c r="B23" s="116">
        <v>256.5</v>
      </c>
      <c r="C23" s="116">
        <v>255.4</v>
      </c>
      <c r="D23" s="116">
        <v>247.45</v>
      </c>
      <c r="E23" s="116">
        <v>249</v>
      </c>
      <c r="F23" s="116">
        <v>255.4</v>
      </c>
      <c r="G23">
        <v>122785</v>
      </c>
      <c r="H23" s="116"/>
      <c r="I23" s="116"/>
      <c r="L23" s="170">
        <v>42033</v>
      </c>
      <c r="M23" s="116">
        <v>255.95</v>
      </c>
      <c r="N23" s="116">
        <v>257.05</v>
      </c>
      <c r="O23" s="116">
        <v>247.35</v>
      </c>
      <c r="P23" s="116">
        <v>248.1</v>
      </c>
      <c r="Q23" s="116">
        <v>255.95</v>
      </c>
      <c r="R23">
        <v>2751278</v>
      </c>
    </row>
    <row r="24" spans="1:18" x14ac:dyDescent="0.25">
      <c r="A24" s="170">
        <v>42034</v>
      </c>
      <c r="B24" s="116">
        <v>256.60000000000002</v>
      </c>
      <c r="C24" s="116">
        <v>248.8</v>
      </c>
      <c r="D24" s="116">
        <v>241.3</v>
      </c>
      <c r="E24" s="116">
        <v>256.05</v>
      </c>
      <c r="F24" s="116">
        <v>248.8</v>
      </c>
      <c r="G24">
        <v>91702</v>
      </c>
      <c r="H24" s="116"/>
      <c r="I24" s="116"/>
      <c r="L24" s="170">
        <v>42034</v>
      </c>
      <c r="M24" s="116">
        <v>248.75</v>
      </c>
      <c r="N24" s="116">
        <v>256.3</v>
      </c>
      <c r="O24" s="116">
        <v>241</v>
      </c>
      <c r="P24" s="116">
        <v>255</v>
      </c>
      <c r="Q24" s="116">
        <v>248.75</v>
      </c>
      <c r="R24">
        <v>2568740</v>
      </c>
    </row>
    <row r="25" spans="1:18" x14ac:dyDescent="0.25">
      <c r="A25" s="170">
        <v>42037</v>
      </c>
      <c r="B25" s="116">
        <v>250.7</v>
      </c>
      <c r="C25" s="116">
        <v>249.15</v>
      </c>
      <c r="D25" s="116">
        <v>243.75</v>
      </c>
      <c r="E25" s="116">
        <v>249.9</v>
      </c>
      <c r="F25" s="116">
        <v>249.15</v>
      </c>
      <c r="G25">
        <v>42930</v>
      </c>
      <c r="H25" s="116"/>
      <c r="I25" s="116"/>
      <c r="L25" s="170">
        <v>42037</v>
      </c>
      <c r="M25" s="116">
        <v>249.25</v>
      </c>
      <c r="N25" s="116">
        <v>250.8</v>
      </c>
      <c r="O25" s="116">
        <v>243.55</v>
      </c>
      <c r="P25" s="116">
        <v>250</v>
      </c>
      <c r="Q25" s="116">
        <v>249.25</v>
      </c>
      <c r="R25">
        <v>845482</v>
      </c>
    </row>
    <row r="26" spans="1:18" x14ac:dyDescent="0.25">
      <c r="A26" s="170">
        <v>42038</v>
      </c>
      <c r="B26" s="116">
        <v>252</v>
      </c>
      <c r="C26" s="116">
        <v>244.95</v>
      </c>
      <c r="D26" s="116">
        <v>242.65</v>
      </c>
      <c r="E26" s="116">
        <v>249</v>
      </c>
      <c r="F26" s="116">
        <v>244.95</v>
      </c>
      <c r="G26">
        <v>93356</v>
      </c>
      <c r="H26" s="116"/>
      <c r="I26" s="116"/>
      <c r="L26" s="170">
        <v>42038</v>
      </c>
      <c r="M26" s="116">
        <v>245.05</v>
      </c>
      <c r="N26" s="116">
        <v>252.4</v>
      </c>
      <c r="O26" s="116">
        <v>242.5</v>
      </c>
      <c r="P26" s="116">
        <v>249.75</v>
      </c>
      <c r="Q26" s="116">
        <v>245.05</v>
      </c>
      <c r="R26">
        <v>2247358</v>
      </c>
    </row>
    <row r="27" spans="1:18" x14ac:dyDescent="0.25">
      <c r="A27" s="170">
        <v>42039</v>
      </c>
      <c r="B27" s="116">
        <v>250.45</v>
      </c>
      <c r="C27" s="116">
        <v>248.5</v>
      </c>
      <c r="D27" s="116">
        <v>243.3</v>
      </c>
      <c r="E27" s="116">
        <v>245.2</v>
      </c>
      <c r="F27" s="116">
        <v>248.5</v>
      </c>
      <c r="G27">
        <v>76543</v>
      </c>
      <c r="H27" s="116"/>
      <c r="I27" s="116"/>
      <c r="L27" s="170">
        <v>42039</v>
      </c>
      <c r="M27" s="116">
        <v>248.75</v>
      </c>
      <c r="N27" s="116">
        <v>250.95</v>
      </c>
      <c r="O27" s="116">
        <v>243</v>
      </c>
      <c r="P27" s="116">
        <v>246.05</v>
      </c>
      <c r="Q27" s="116">
        <v>248.75</v>
      </c>
      <c r="R27">
        <v>2304210</v>
      </c>
    </row>
    <row r="28" spans="1:18" x14ac:dyDescent="0.25">
      <c r="A28" s="170">
        <v>42040</v>
      </c>
      <c r="B28" s="116">
        <v>251.4</v>
      </c>
      <c r="C28" s="116">
        <v>247.5</v>
      </c>
      <c r="D28" s="116">
        <v>245.65</v>
      </c>
      <c r="E28" s="116">
        <v>247.15</v>
      </c>
      <c r="F28" s="116">
        <v>247.5</v>
      </c>
      <c r="G28">
        <v>73951</v>
      </c>
      <c r="H28" s="116"/>
      <c r="I28" s="116"/>
      <c r="L28" s="170">
        <v>42040</v>
      </c>
      <c r="M28" s="116">
        <v>247.55</v>
      </c>
      <c r="N28" s="116">
        <v>251.5</v>
      </c>
      <c r="O28" s="116">
        <v>245.8</v>
      </c>
      <c r="P28" s="116">
        <v>248</v>
      </c>
      <c r="Q28" s="116">
        <v>247.55</v>
      </c>
      <c r="R28">
        <v>1218994</v>
      </c>
    </row>
    <row r="29" spans="1:18" x14ac:dyDescent="0.25">
      <c r="A29" s="170">
        <v>42041</v>
      </c>
      <c r="B29" s="116">
        <v>250.05</v>
      </c>
      <c r="C29" s="116">
        <v>248.2</v>
      </c>
      <c r="D29" s="116">
        <v>245.3</v>
      </c>
      <c r="E29" s="116">
        <v>246.4</v>
      </c>
      <c r="F29" s="116">
        <v>248.2</v>
      </c>
      <c r="G29">
        <v>66379</v>
      </c>
      <c r="H29" s="116"/>
      <c r="I29" s="116"/>
      <c r="L29" s="170">
        <v>42041</v>
      </c>
      <c r="M29" s="116">
        <v>248.25</v>
      </c>
      <c r="N29" s="116">
        <v>250.25</v>
      </c>
      <c r="O29" s="116">
        <v>246</v>
      </c>
      <c r="P29" s="116">
        <v>246.1</v>
      </c>
      <c r="Q29" s="116">
        <v>248.25</v>
      </c>
      <c r="R29">
        <v>864075</v>
      </c>
    </row>
    <row r="30" spans="1:18" x14ac:dyDescent="0.25">
      <c r="A30" s="170">
        <v>42044</v>
      </c>
      <c r="B30" s="116">
        <v>251</v>
      </c>
      <c r="C30" s="116">
        <v>246.2</v>
      </c>
      <c r="D30" s="116">
        <v>244.05</v>
      </c>
      <c r="E30" s="116">
        <v>247.7</v>
      </c>
      <c r="F30" s="116">
        <v>246.2</v>
      </c>
      <c r="G30">
        <v>64728</v>
      </c>
      <c r="H30" s="116"/>
      <c r="I30" s="116"/>
      <c r="L30" s="170">
        <v>42044</v>
      </c>
      <c r="M30" s="116">
        <v>246</v>
      </c>
      <c r="N30" s="116">
        <v>251.3</v>
      </c>
      <c r="O30" s="116">
        <v>244</v>
      </c>
      <c r="P30" s="116">
        <v>247.15</v>
      </c>
      <c r="Q30" s="116">
        <v>246</v>
      </c>
      <c r="R30">
        <v>807547</v>
      </c>
    </row>
    <row r="31" spans="1:18" x14ac:dyDescent="0.25">
      <c r="A31" s="170">
        <v>42045</v>
      </c>
      <c r="B31" s="116">
        <v>252.4</v>
      </c>
      <c r="C31" s="116">
        <v>249.8</v>
      </c>
      <c r="D31" s="116">
        <v>245.55</v>
      </c>
      <c r="E31" s="116">
        <v>245.7</v>
      </c>
      <c r="F31" s="116">
        <v>249.8</v>
      </c>
      <c r="G31">
        <v>84938</v>
      </c>
      <c r="H31" s="116"/>
      <c r="I31" s="116"/>
      <c r="L31" s="170">
        <v>42045</v>
      </c>
      <c r="M31" s="116">
        <v>249.6</v>
      </c>
      <c r="N31" s="116">
        <v>252.5</v>
      </c>
      <c r="O31" s="116">
        <v>245</v>
      </c>
      <c r="P31" s="116">
        <v>245</v>
      </c>
      <c r="Q31" s="116">
        <v>249.6</v>
      </c>
      <c r="R31">
        <v>1479339</v>
      </c>
    </row>
    <row r="32" spans="1:18" x14ac:dyDescent="0.25">
      <c r="A32" s="170">
        <v>42046</v>
      </c>
      <c r="B32" s="116">
        <v>252</v>
      </c>
      <c r="C32" s="116">
        <v>251</v>
      </c>
      <c r="D32" s="116">
        <v>249.25</v>
      </c>
      <c r="E32" s="116">
        <v>250.1</v>
      </c>
      <c r="F32" s="116">
        <v>251</v>
      </c>
      <c r="G32">
        <v>71741</v>
      </c>
      <c r="H32" s="116"/>
      <c r="I32" s="116"/>
      <c r="L32" s="170">
        <v>42046</v>
      </c>
      <c r="M32" s="116">
        <v>250.85</v>
      </c>
      <c r="N32" s="116">
        <v>252</v>
      </c>
      <c r="O32" s="116">
        <v>248.85</v>
      </c>
      <c r="P32" s="116">
        <v>250</v>
      </c>
      <c r="Q32" s="116">
        <v>250.85</v>
      </c>
      <c r="R32">
        <v>1570176</v>
      </c>
    </row>
    <row r="33" spans="1:18" x14ac:dyDescent="0.25">
      <c r="A33" s="170">
        <v>42047</v>
      </c>
      <c r="B33" s="116">
        <v>261.60000000000002</v>
      </c>
      <c r="C33" s="116">
        <v>259.39999999999998</v>
      </c>
      <c r="D33" s="116">
        <v>251.4</v>
      </c>
      <c r="E33" s="116">
        <v>251.4</v>
      </c>
      <c r="F33" s="116">
        <v>259.39999999999998</v>
      </c>
      <c r="G33">
        <v>165728</v>
      </c>
      <c r="H33" s="116"/>
      <c r="I33" s="116"/>
      <c r="L33" s="170">
        <v>42047</v>
      </c>
      <c r="M33" s="116">
        <v>259.7</v>
      </c>
      <c r="N33" s="116">
        <v>262</v>
      </c>
      <c r="O33" s="116">
        <v>251.4</v>
      </c>
      <c r="P33" s="116">
        <v>251.55</v>
      </c>
      <c r="Q33" s="116">
        <v>259.7</v>
      </c>
      <c r="R33">
        <v>2027412</v>
      </c>
    </row>
    <row r="34" spans="1:18" x14ac:dyDescent="0.25">
      <c r="A34" s="170">
        <v>42048</v>
      </c>
      <c r="B34" s="116">
        <v>265.89999999999998</v>
      </c>
      <c r="C34" s="116">
        <v>264.5</v>
      </c>
      <c r="D34" s="116">
        <v>259.05</v>
      </c>
      <c r="E34" s="116">
        <v>261</v>
      </c>
      <c r="F34" s="116">
        <v>264.5</v>
      </c>
      <c r="G34">
        <v>149842</v>
      </c>
      <c r="H34" s="116"/>
      <c r="I34" s="116"/>
      <c r="L34" s="170">
        <v>42048</v>
      </c>
      <c r="M34" s="116">
        <v>265.10000000000002</v>
      </c>
      <c r="N34" s="116">
        <v>266</v>
      </c>
      <c r="O34" s="116">
        <v>259</v>
      </c>
      <c r="P34" s="116">
        <v>261.8</v>
      </c>
      <c r="Q34" s="116">
        <v>265.10000000000002</v>
      </c>
      <c r="R34">
        <v>1674012</v>
      </c>
    </row>
    <row r="35" spans="1:18" x14ac:dyDescent="0.25">
      <c r="A35" s="170">
        <v>42051</v>
      </c>
      <c r="B35" s="116">
        <v>268.2</v>
      </c>
      <c r="C35" s="116">
        <v>265.39999999999998</v>
      </c>
      <c r="D35" s="116">
        <v>263.45</v>
      </c>
      <c r="E35" s="116">
        <v>264.5</v>
      </c>
      <c r="F35" s="116">
        <v>265.39999999999998</v>
      </c>
      <c r="G35">
        <v>82702</v>
      </c>
      <c r="H35" s="116"/>
      <c r="I35" s="116"/>
      <c r="L35" s="170">
        <v>42051</v>
      </c>
      <c r="M35" s="116">
        <v>266.2</v>
      </c>
      <c r="N35" s="116">
        <v>268</v>
      </c>
      <c r="O35" s="116">
        <v>263.39999999999998</v>
      </c>
      <c r="P35" s="116">
        <v>264.95</v>
      </c>
      <c r="Q35" s="116">
        <v>266.2</v>
      </c>
      <c r="R35">
        <v>955073</v>
      </c>
    </row>
    <row r="36" spans="1:18" x14ac:dyDescent="0.25">
      <c r="A36" s="170">
        <v>42053</v>
      </c>
      <c r="B36" s="116">
        <v>271.39999999999998</v>
      </c>
      <c r="C36" s="116">
        <v>269.5</v>
      </c>
      <c r="D36" s="116">
        <v>265.7</v>
      </c>
      <c r="E36" s="116">
        <v>267.45</v>
      </c>
      <c r="F36" s="116">
        <v>269.5</v>
      </c>
      <c r="G36">
        <v>165080</v>
      </c>
      <c r="H36" s="116"/>
      <c r="I36" s="116"/>
      <c r="L36" s="170">
        <v>42053</v>
      </c>
      <c r="M36" s="116">
        <v>270.10000000000002</v>
      </c>
      <c r="N36" s="116">
        <v>271.5</v>
      </c>
      <c r="O36" s="116">
        <v>265</v>
      </c>
      <c r="P36" s="116">
        <v>265</v>
      </c>
      <c r="Q36" s="116">
        <v>270.10000000000002</v>
      </c>
      <c r="R36">
        <v>2423402</v>
      </c>
    </row>
    <row r="37" spans="1:18" x14ac:dyDescent="0.25">
      <c r="A37" s="170">
        <v>42054</v>
      </c>
      <c r="B37" s="116">
        <v>273.35000000000002</v>
      </c>
      <c r="C37" s="116">
        <v>264.55</v>
      </c>
      <c r="D37" s="116">
        <v>262</v>
      </c>
      <c r="E37" s="116">
        <v>273</v>
      </c>
      <c r="F37" s="116">
        <v>264.55</v>
      </c>
      <c r="G37">
        <v>220036</v>
      </c>
      <c r="H37" s="116"/>
      <c r="I37" s="116"/>
      <c r="L37" s="170">
        <v>42054</v>
      </c>
      <c r="M37" s="116">
        <v>265.05</v>
      </c>
      <c r="N37" s="116">
        <v>273</v>
      </c>
      <c r="O37" s="116">
        <v>262.10000000000002</v>
      </c>
      <c r="P37" s="116">
        <v>273</v>
      </c>
      <c r="Q37" s="116">
        <v>265.05</v>
      </c>
      <c r="R37">
        <v>2789435</v>
      </c>
    </row>
    <row r="38" spans="1:18" x14ac:dyDescent="0.25">
      <c r="A38" s="170">
        <v>42055</v>
      </c>
      <c r="B38" s="116">
        <v>265.95</v>
      </c>
      <c r="C38" s="116">
        <v>263.3</v>
      </c>
      <c r="D38" s="116">
        <v>261.39999999999998</v>
      </c>
      <c r="E38" s="116">
        <v>265</v>
      </c>
      <c r="F38" s="116">
        <v>263.3</v>
      </c>
      <c r="G38">
        <v>52988</v>
      </c>
      <c r="H38" s="116"/>
      <c r="I38" s="116"/>
      <c r="L38" s="170">
        <v>42055</v>
      </c>
      <c r="M38" s="116">
        <v>263.10000000000002</v>
      </c>
      <c r="N38" s="116">
        <v>266</v>
      </c>
      <c r="O38" s="116">
        <v>261.14999999999998</v>
      </c>
      <c r="P38" s="116">
        <v>265.25</v>
      </c>
      <c r="Q38" s="116">
        <v>263.10000000000002</v>
      </c>
      <c r="R38">
        <v>830196</v>
      </c>
    </row>
    <row r="39" spans="1:18" x14ac:dyDescent="0.25">
      <c r="A39" s="170">
        <v>42058</v>
      </c>
      <c r="B39" s="116">
        <v>264.95</v>
      </c>
      <c r="C39" s="116">
        <v>261.60000000000002</v>
      </c>
      <c r="D39" s="116">
        <v>259.25</v>
      </c>
      <c r="E39" s="116">
        <v>262.55</v>
      </c>
      <c r="F39" s="116">
        <v>261.60000000000002</v>
      </c>
      <c r="G39">
        <v>49958</v>
      </c>
      <c r="H39" s="116"/>
      <c r="I39" s="116"/>
      <c r="L39" s="170">
        <v>42058</v>
      </c>
      <c r="M39" s="116">
        <v>262.14999999999998</v>
      </c>
      <c r="N39" s="116">
        <v>265</v>
      </c>
      <c r="O39" s="116">
        <v>259.25</v>
      </c>
      <c r="P39" s="116">
        <v>264.05</v>
      </c>
      <c r="Q39" s="116">
        <v>262.14999999999998</v>
      </c>
      <c r="R39">
        <v>1068181</v>
      </c>
    </row>
    <row r="40" spans="1:18" x14ac:dyDescent="0.25">
      <c r="A40" s="170">
        <v>42059</v>
      </c>
      <c r="B40" s="116">
        <v>263.39999999999998</v>
      </c>
      <c r="C40" s="116">
        <v>258.14999999999998</v>
      </c>
      <c r="D40" s="116">
        <v>254.55</v>
      </c>
      <c r="E40" s="116">
        <v>261.60000000000002</v>
      </c>
      <c r="F40" s="116">
        <v>258.14999999999998</v>
      </c>
      <c r="G40">
        <v>68211</v>
      </c>
      <c r="H40" s="116"/>
      <c r="I40" s="116"/>
      <c r="L40" s="170">
        <v>42059</v>
      </c>
      <c r="M40" s="116">
        <v>257.3</v>
      </c>
      <c r="N40" s="116">
        <v>263.45</v>
      </c>
      <c r="O40" s="116">
        <v>254</v>
      </c>
      <c r="P40" s="116">
        <v>262.25</v>
      </c>
      <c r="Q40" s="116">
        <v>257.3</v>
      </c>
      <c r="R40">
        <v>1165496</v>
      </c>
    </row>
    <row r="41" spans="1:18" x14ac:dyDescent="0.25">
      <c r="A41" s="170">
        <v>42060</v>
      </c>
      <c r="B41" s="116">
        <v>264.39999999999998</v>
      </c>
      <c r="C41" s="116">
        <v>260.89999999999998</v>
      </c>
      <c r="D41" s="116">
        <v>258.14999999999998</v>
      </c>
      <c r="E41" s="116">
        <v>258.14999999999998</v>
      </c>
      <c r="F41" s="116">
        <v>260.89999999999998</v>
      </c>
      <c r="G41">
        <v>99953</v>
      </c>
      <c r="H41" s="116"/>
      <c r="I41" s="116"/>
      <c r="L41" s="170">
        <v>42060</v>
      </c>
      <c r="M41" s="116">
        <v>261.05</v>
      </c>
      <c r="N41" s="116">
        <v>264.8</v>
      </c>
      <c r="O41" s="116">
        <v>258.35000000000002</v>
      </c>
      <c r="P41" s="116">
        <v>259.89999999999998</v>
      </c>
      <c r="Q41" s="116">
        <v>261.05</v>
      </c>
      <c r="R41">
        <v>1385462</v>
      </c>
    </row>
    <row r="42" spans="1:18" x14ac:dyDescent="0.25">
      <c r="A42" s="170">
        <v>42061</v>
      </c>
      <c r="B42" s="116">
        <v>264</v>
      </c>
      <c r="C42" s="116">
        <v>259.5</v>
      </c>
      <c r="D42" s="116">
        <v>255.5</v>
      </c>
      <c r="E42" s="116">
        <v>263.60000000000002</v>
      </c>
      <c r="F42" s="116">
        <v>259.5</v>
      </c>
      <c r="G42">
        <v>78921</v>
      </c>
      <c r="H42" s="116"/>
      <c r="I42" s="116"/>
      <c r="L42" s="170">
        <v>42061</v>
      </c>
      <c r="M42" s="116">
        <v>259.75</v>
      </c>
      <c r="N42" s="116">
        <v>264</v>
      </c>
      <c r="O42" s="116">
        <v>255.55</v>
      </c>
      <c r="P42" s="116">
        <v>262</v>
      </c>
      <c r="Q42" s="116">
        <v>259.75</v>
      </c>
      <c r="R42">
        <v>3015768</v>
      </c>
    </row>
    <row r="43" spans="1:18" x14ac:dyDescent="0.25">
      <c r="A43" s="170">
        <v>42062</v>
      </c>
      <c r="B43" s="116">
        <v>270</v>
      </c>
      <c r="C43" s="116">
        <v>268.7</v>
      </c>
      <c r="D43" s="116">
        <v>260.85000000000002</v>
      </c>
      <c r="E43" s="116">
        <v>263.25</v>
      </c>
      <c r="F43" s="116">
        <v>268.7</v>
      </c>
      <c r="G43">
        <v>115397</v>
      </c>
      <c r="H43" s="116"/>
      <c r="I43" s="116"/>
      <c r="L43" s="170">
        <v>42062</v>
      </c>
      <c r="M43" s="116">
        <v>269.45</v>
      </c>
      <c r="N43" s="116">
        <v>270.35000000000002</v>
      </c>
      <c r="O43" s="116">
        <v>260.5</v>
      </c>
      <c r="P43" s="116">
        <v>260.5</v>
      </c>
      <c r="Q43" s="116">
        <v>269.45</v>
      </c>
      <c r="R43">
        <v>1907559</v>
      </c>
    </row>
    <row r="44" spans="1:18" x14ac:dyDescent="0.25">
      <c r="A44" s="170">
        <v>42063</v>
      </c>
      <c r="B44" s="116">
        <v>273</v>
      </c>
      <c r="C44" s="116">
        <v>271.60000000000002</v>
      </c>
      <c r="D44" s="116">
        <v>264.64999999999998</v>
      </c>
      <c r="E44" s="116">
        <v>272</v>
      </c>
      <c r="F44" s="116">
        <v>271.60000000000002</v>
      </c>
      <c r="G44">
        <v>150857</v>
      </c>
      <c r="H44" s="116"/>
      <c r="I44" s="116"/>
      <c r="L44" s="170">
        <v>42063</v>
      </c>
      <c r="M44" s="116">
        <v>272.10000000000002</v>
      </c>
      <c r="N44" s="116">
        <v>273</v>
      </c>
      <c r="O44" s="116">
        <v>264.60000000000002</v>
      </c>
      <c r="P44" s="116">
        <v>272.60000000000002</v>
      </c>
      <c r="Q44" s="116">
        <v>272.10000000000002</v>
      </c>
      <c r="R44">
        <v>1000736</v>
      </c>
    </row>
    <row r="45" spans="1:18" x14ac:dyDescent="0.25">
      <c r="A45" s="170">
        <v>42065</v>
      </c>
      <c r="B45" s="116">
        <v>286.60000000000002</v>
      </c>
      <c r="C45" s="116">
        <v>284.95</v>
      </c>
      <c r="D45" s="116">
        <v>271.95</v>
      </c>
      <c r="E45" s="116">
        <v>272</v>
      </c>
      <c r="F45" s="116">
        <v>284.95</v>
      </c>
      <c r="G45">
        <v>245731</v>
      </c>
      <c r="H45" s="116"/>
      <c r="I45" s="116"/>
      <c r="L45" s="170">
        <v>42065</v>
      </c>
      <c r="M45" s="116">
        <v>285.45</v>
      </c>
      <c r="N45" s="116">
        <v>287</v>
      </c>
      <c r="O45" s="116">
        <v>270.39999999999998</v>
      </c>
      <c r="P45" s="116">
        <v>272</v>
      </c>
      <c r="Q45" s="116">
        <v>285.45</v>
      </c>
      <c r="R45">
        <v>2832881</v>
      </c>
    </row>
    <row r="46" spans="1:18" x14ac:dyDescent="0.25">
      <c r="A46" s="170">
        <v>42066</v>
      </c>
      <c r="B46" s="116">
        <v>286.85000000000002</v>
      </c>
      <c r="C46" s="116">
        <v>281.35000000000002</v>
      </c>
      <c r="D46" s="116">
        <v>278</v>
      </c>
      <c r="E46" s="116">
        <v>286.85000000000002</v>
      </c>
      <c r="F46" s="116">
        <v>281.35000000000002</v>
      </c>
      <c r="G46">
        <v>84955</v>
      </c>
      <c r="H46" s="116"/>
      <c r="I46" s="116"/>
      <c r="L46" s="170">
        <v>42066</v>
      </c>
      <c r="M46" s="116">
        <v>281</v>
      </c>
      <c r="N46" s="116">
        <v>286</v>
      </c>
      <c r="O46" s="116">
        <v>277.25</v>
      </c>
      <c r="P46" s="116">
        <v>285.55</v>
      </c>
      <c r="Q46" s="116">
        <v>281</v>
      </c>
      <c r="R46">
        <v>1657278</v>
      </c>
    </row>
    <row r="47" spans="1:18" x14ac:dyDescent="0.25">
      <c r="A47" s="170">
        <v>42067</v>
      </c>
      <c r="B47" s="116">
        <v>285.85000000000002</v>
      </c>
      <c r="C47" s="116">
        <v>274.95</v>
      </c>
      <c r="D47" s="116">
        <v>273.35000000000002</v>
      </c>
      <c r="E47" s="116">
        <v>285.85000000000002</v>
      </c>
      <c r="F47" s="116">
        <v>274.95</v>
      </c>
      <c r="G47">
        <v>98282</v>
      </c>
      <c r="H47" s="116"/>
      <c r="I47" s="116"/>
      <c r="L47" s="170">
        <v>42067</v>
      </c>
      <c r="M47" s="116">
        <v>274.64999999999998</v>
      </c>
      <c r="N47" s="116">
        <v>283.75</v>
      </c>
      <c r="O47" s="116">
        <v>273</v>
      </c>
      <c r="P47" s="116">
        <v>282.10000000000002</v>
      </c>
      <c r="Q47" s="116">
        <v>274.64999999999998</v>
      </c>
      <c r="R47">
        <v>3325192</v>
      </c>
    </row>
    <row r="48" spans="1:18" x14ac:dyDescent="0.25">
      <c r="A48" s="170">
        <v>42068</v>
      </c>
      <c r="B48" s="116">
        <v>275.89999999999998</v>
      </c>
      <c r="C48" s="116">
        <v>273.8</v>
      </c>
      <c r="D48" s="116">
        <v>269.05</v>
      </c>
      <c r="E48" s="116">
        <v>275</v>
      </c>
      <c r="F48" s="116">
        <v>273.8</v>
      </c>
      <c r="G48">
        <v>52710</v>
      </c>
      <c r="H48" s="116"/>
      <c r="I48" s="116"/>
      <c r="L48" s="170">
        <v>42068</v>
      </c>
      <c r="M48" s="116">
        <v>273.35000000000002</v>
      </c>
      <c r="N48" s="116">
        <v>276</v>
      </c>
      <c r="O48" s="116">
        <v>269.05</v>
      </c>
      <c r="P48" s="116">
        <v>275</v>
      </c>
      <c r="Q48" s="116">
        <v>273.35000000000002</v>
      </c>
      <c r="R48">
        <v>1196807</v>
      </c>
    </row>
    <row r="49" spans="1:18" x14ac:dyDescent="0.25">
      <c r="A49" s="170">
        <v>42072</v>
      </c>
      <c r="B49" s="116">
        <v>277</v>
      </c>
      <c r="C49" s="116">
        <v>263.60000000000002</v>
      </c>
      <c r="D49" s="116">
        <v>261.5</v>
      </c>
      <c r="E49" s="116">
        <v>275.75</v>
      </c>
      <c r="F49" s="116">
        <v>263.60000000000002</v>
      </c>
      <c r="G49">
        <v>114402</v>
      </c>
      <c r="H49" s="116"/>
      <c r="I49" s="116"/>
      <c r="L49" s="170">
        <v>42072</v>
      </c>
      <c r="M49" s="116">
        <v>263.75</v>
      </c>
      <c r="N49" s="116">
        <v>275</v>
      </c>
      <c r="O49" s="116">
        <v>261.55</v>
      </c>
      <c r="P49" s="116">
        <v>274.60000000000002</v>
      </c>
      <c r="Q49" s="116">
        <v>263.75</v>
      </c>
      <c r="R49">
        <v>1477604</v>
      </c>
    </row>
    <row r="50" spans="1:18" x14ac:dyDescent="0.25">
      <c r="A50" s="170">
        <v>42073</v>
      </c>
      <c r="B50" s="116">
        <v>266</v>
      </c>
      <c r="C50" s="116">
        <v>259.75</v>
      </c>
      <c r="D50" s="116">
        <v>259</v>
      </c>
      <c r="E50" s="116">
        <v>264.10000000000002</v>
      </c>
      <c r="F50" s="116">
        <v>259.75</v>
      </c>
      <c r="G50">
        <v>100613</v>
      </c>
      <c r="H50" s="116"/>
      <c r="I50" s="116"/>
      <c r="L50" s="170">
        <v>42073</v>
      </c>
      <c r="M50" s="116">
        <v>259.5</v>
      </c>
      <c r="N50" s="116">
        <v>266.05</v>
      </c>
      <c r="O50" s="116">
        <v>258.5</v>
      </c>
      <c r="P50" s="116">
        <v>264.8</v>
      </c>
      <c r="Q50" s="116">
        <v>259.5</v>
      </c>
      <c r="R50">
        <v>1755355</v>
      </c>
    </row>
    <row r="51" spans="1:18" x14ac:dyDescent="0.25">
      <c r="A51" s="170">
        <v>42074</v>
      </c>
      <c r="B51" s="116">
        <v>264</v>
      </c>
      <c r="C51" s="116">
        <v>259.8</v>
      </c>
      <c r="D51" s="116">
        <v>256.39999999999998</v>
      </c>
      <c r="E51" s="116">
        <v>259.5</v>
      </c>
      <c r="F51" s="116">
        <v>259.8</v>
      </c>
      <c r="G51">
        <v>199227</v>
      </c>
      <c r="H51" s="116"/>
      <c r="I51" s="116"/>
      <c r="L51" s="170">
        <v>42074</v>
      </c>
      <c r="M51" s="116">
        <v>259.85000000000002</v>
      </c>
      <c r="N51" s="116">
        <v>263.8</v>
      </c>
      <c r="O51" s="116">
        <v>256.14999999999998</v>
      </c>
      <c r="P51" s="116">
        <v>260.85000000000002</v>
      </c>
      <c r="Q51" s="116">
        <v>259.85000000000002</v>
      </c>
      <c r="R51">
        <v>1390394</v>
      </c>
    </row>
    <row r="52" spans="1:18" x14ac:dyDescent="0.25">
      <c r="A52" s="170">
        <v>42075</v>
      </c>
      <c r="B52" s="116">
        <v>268.8</v>
      </c>
      <c r="C52" s="116">
        <v>263.7</v>
      </c>
      <c r="D52" s="116">
        <v>261.25</v>
      </c>
      <c r="E52" s="116">
        <v>262.95</v>
      </c>
      <c r="F52" s="116">
        <v>263.7</v>
      </c>
      <c r="G52">
        <v>154082</v>
      </c>
      <c r="H52" s="116"/>
      <c r="I52" s="116"/>
      <c r="L52" s="170">
        <v>42075</v>
      </c>
      <c r="M52" s="116">
        <v>264.05</v>
      </c>
      <c r="N52" s="116">
        <v>268.7</v>
      </c>
      <c r="O52" s="116">
        <v>261</v>
      </c>
      <c r="P52" s="116">
        <v>261</v>
      </c>
      <c r="Q52" s="116">
        <v>264.05</v>
      </c>
      <c r="R52">
        <v>1700626</v>
      </c>
    </row>
    <row r="53" spans="1:18" x14ac:dyDescent="0.25">
      <c r="A53" s="170">
        <v>42076</v>
      </c>
      <c r="B53" s="116">
        <v>268.60000000000002</v>
      </c>
      <c r="C53" s="116">
        <v>256.05</v>
      </c>
      <c r="D53" s="116">
        <v>254.05</v>
      </c>
      <c r="E53" s="116">
        <v>267</v>
      </c>
      <c r="F53" s="116">
        <v>256.05</v>
      </c>
      <c r="G53">
        <v>77261</v>
      </c>
      <c r="H53" s="116"/>
      <c r="I53" s="116"/>
      <c r="L53" s="170">
        <v>42076</v>
      </c>
      <c r="M53" s="116">
        <v>256</v>
      </c>
      <c r="N53" s="116">
        <v>268.75</v>
      </c>
      <c r="O53" s="116">
        <v>254</v>
      </c>
      <c r="P53" s="116">
        <v>268</v>
      </c>
      <c r="Q53" s="116">
        <v>256</v>
      </c>
      <c r="R53">
        <v>1480291</v>
      </c>
    </row>
    <row r="54" spans="1:18" x14ac:dyDescent="0.25">
      <c r="A54" s="170">
        <v>42079</v>
      </c>
      <c r="B54" s="116">
        <v>259.39999999999998</v>
      </c>
      <c r="C54" s="116">
        <v>256.60000000000002</v>
      </c>
      <c r="D54" s="116">
        <v>255</v>
      </c>
      <c r="E54" s="116">
        <v>257.25</v>
      </c>
      <c r="F54" s="116">
        <v>256.60000000000002</v>
      </c>
      <c r="G54">
        <v>74504</v>
      </c>
      <c r="H54" s="116"/>
      <c r="I54" s="116"/>
      <c r="L54" s="170">
        <v>42079</v>
      </c>
      <c r="M54" s="116">
        <v>256.64999999999998</v>
      </c>
      <c r="N54" s="116">
        <v>259.64999999999998</v>
      </c>
      <c r="O54" s="116">
        <v>255.15</v>
      </c>
      <c r="P54" s="116">
        <v>257.89999999999998</v>
      </c>
      <c r="Q54" s="116">
        <v>256.64999999999998</v>
      </c>
      <c r="R54">
        <v>976672</v>
      </c>
    </row>
    <row r="55" spans="1:18" x14ac:dyDescent="0.25">
      <c r="A55" s="170">
        <v>42080</v>
      </c>
      <c r="B55" s="116">
        <v>260</v>
      </c>
      <c r="C55" s="116">
        <v>258.10000000000002</v>
      </c>
      <c r="D55" s="116">
        <v>254.35</v>
      </c>
      <c r="E55" s="116">
        <v>256.95</v>
      </c>
      <c r="F55" s="116">
        <v>258.10000000000002</v>
      </c>
      <c r="G55">
        <v>71796</v>
      </c>
      <c r="H55" s="116"/>
      <c r="I55" s="116"/>
      <c r="L55" s="170">
        <v>42080</v>
      </c>
      <c r="M55" s="116">
        <v>258.7</v>
      </c>
      <c r="N55" s="116">
        <v>260.60000000000002</v>
      </c>
      <c r="O55" s="116">
        <v>254.15</v>
      </c>
      <c r="P55" s="116">
        <v>259.64999999999998</v>
      </c>
      <c r="Q55" s="116">
        <v>258.7</v>
      </c>
      <c r="R55">
        <v>1014172</v>
      </c>
    </row>
    <row r="56" spans="1:18" x14ac:dyDescent="0.25">
      <c r="A56" s="170">
        <v>42081</v>
      </c>
      <c r="B56" s="116">
        <v>259.5</v>
      </c>
      <c r="C56" s="116">
        <v>252.75</v>
      </c>
      <c r="D56" s="116">
        <v>251.5</v>
      </c>
      <c r="E56" s="116">
        <v>259</v>
      </c>
      <c r="F56" s="116">
        <v>252.75</v>
      </c>
      <c r="G56">
        <v>52715</v>
      </c>
      <c r="H56" s="116"/>
      <c r="I56" s="116"/>
      <c r="L56" s="170">
        <v>42081</v>
      </c>
      <c r="M56" s="116">
        <v>252.7</v>
      </c>
      <c r="N56" s="116">
        <v>259.95</v>
      </c>
      <c r="O56" s="116">
        <v>251</v>
      </c>
      <c r="P56" s="116">
        <v>259.95</v>
      </c>
      <c r="Q56" s="116">
        <v>252.7</v>
      </c>
      <c r="R56">
        <v>1030832</v>
      </c>
    </row>
    <row r="57" spans="1:18" x14ac:dyDescent="0.25">
      <c r="A57" s="170">
        <v>42082</v>
      </c>
      <c r="B57" s="116">
        <v>256.75</v>
      </c>
      <c r="C57" s="116">
        <v>251.2</v>
      </c>
      <c r="D57" s="116">
        <v>250.25</v>
      </c>
      <c r="E57" s="116">
        <v>256.75</v>
      </c>
      <c r="F57" s="116">
        <v>251.2</v>
      </c>
      <c r="G57">
        <v>85266</v>
      </c>
      <c r="H57" s="116"/>
      <c r="I57" s="116"/>
      <c r="L57" s="170">
        <v>42082</v>
      </c>
      <c r="M57" s="116">
        <v>251.7</v>
      </c>
      <c r="N57" s="116">
        <v>256.8</v>
      </c>
      <c r="O57" s="116">
        <v>250.2</v>
      </c>
      <c r="P57" s="116">
        <v>256.8</v>
      </c>
      <c r="Q57" s="116">
        <v>251.7</v>
      </c>
      <c r="R57">
        <v>1354373</v>
      </c>
    </row>
    <row r="58" spans="1:18" x14ac:dyDescent="0.25">
      <c r="A58" s="170">
        <v>42083</v>
      </c>
      <c r="B58" s="116">
        <v>258.10000000000002</v>
      </c>
      <c r="C58" s="116">
        <v>255.15</v>
      </c>
      <c r="D58" s="116">
        <v>248.15</v>
      </c>
      <c r="E58" s="116">
        <v>252.6</v>
      </c>
      <c r="F58" s="116">
        <v>255.15</v>
      </c>
      <c r="G58">
        <v>101769</v>
      </c>
      <c r="H58" s="116"/>
      <c r="I58" s="116"/>
      <c r="L58" s="170">
        <v>42083</v>
      </c>
      <c r="M58" s="116">
        <v>255.2</v>
      </c>
      <c r="N58" s="116">
        <v>258.5</v>
      </c>
      <c r="O58" s="116">
        <v>243</v>
      </c>
      <c r="P58" s="116">
        <v>254.2</v>
      </c>
      <c r="Q58" s="116">
        <v>255.2</v>
      </c>
      <c r="R58">
        <v>1780884</v>
      </c>
    </row>
    <row r="59" spans="1:18" x14ac:dyDescent="0.25">
      <c r="A59" s="170">
        <v>42086</v>
      </c>
      <c r="B59" s="116">
        <v>258.60000000000002</v>
      </c>
      <c r="C59" s="116">
        <v>255.55</v>
      </c>
      <c r="D59" s="116">
        <v>252.45</v>
      </c>
      <c r="E59" s="116">
        <v>256</v>
      </c>
      <c r="F59" s="116">
        <v>255.55</v>
      </c>
      <c r="G59">
        <v>89384</v>
      </c>
      <c r="H59" s="116"/>
      <c r="I59" s="116"/>
      <c r="L59" s="170">
        <v>42086</v>
      </c>
      <c r="M59" s="116">
        <v>256.14999999999998</v>
      </c>
      <c r="N59" s="116">
        <v>259</v>
      </c>
      <c r="O59" s="116">
        <v>252.2</v>
      </c>
      <c r="P59" s="116">
        <v>256.05</v>
      </c>
      <c r="Q59" s="116">
        <v>256.14999999999998</v>
      </c>
      <c r="R59">
        <v>1117431</v>
      </c>
    </row>
    <row r="60" spans="1:18" x14ac:dyDescent="0.25">
      <c r="A60" s="170">
        <v>42087</v>
      </c>
      <c r="B60" s="116">
        <v>258.39999999999998</v>
      </c>
      <c r="C60" s="116">
        <v>253.05</v>
      </c>
      <c r="D60" s="116">
        <v>251.75</v>
      </c>
      <c r="E60" s="116">
        <v>254.95</v>
      </c>
      <c r="F60" s="116">
        <v>253.05</v>
      </c>
      <c r="G60">
        <v>76090</v>
      </c>
      <c r="H60" s="116"/>
      <c r="I60" s="116"/>
      <c r="L60" s="170">
        <v>42087</v>
      </c>
      <c r="M60" s="116">
        <v>253.35</v>
      </c>
      <c r="N60" s="116">
        <v>258.5</v>
      </c>
      <c r="O60" s="116">
        <v>251.85</v>
      </c>
      <c r="P60" s="116">
        <v>254.9</v>
      </c>
      <c r="Q60" s="116">
        <v>253.35</v>
      </c>
      <c r="R60">
        <v>662042</v>
      </c>
    </row>
    <row r="61" spans="1:18" x14ac:dyDescent="0.25">
      <c r="A61" s="170">
        <v>42088</v>
      </c>
      <c r="B61" s="116">
        <v>254.75</v>
      </c>
      <c r="C61" s="116">
        <v>248.5</v>
      </c>
      <c r="D61" s="116">
        <v>247</v>
      </c>
      <c r="E61" s="116">
        <v>254.3</v>
      </c>
      <c r="F61" s="116">
        <v>248.5</v>
      </c>
      <c r="G61">
        <v>46174</v>
      </c>
      <c r="H61" s="116"/>
      <c r="I61" s="116"/>
      <c r="L61" s="170">
        <v>42088</v>
      </c>
      <c r="M61" s="116">
        <v>248.8</v>
      </c>
      <c r="N61" s="116">
        <v>255.5</v>
      </c>
      <c r="O61" s="116">
        <v>246.55</v>
      </c>
      <c r="P61" s="116">
        <v>254.9</v>
      </c>
      <c r="Q61" s="116">
        <v>248.8</v>
      </c>
      <c r="R61">
        <v>1470418</v>
      </c>
    </row>
    <row r="62" spans="1:18" x14ac:dyDescent="0.25">
      <c r="A62" s="170">
        <v>42089</v>
      </c>
      <c r="B62" s="116">
        <v>252</v>
      </c>
      <c r="C62" s="116">
        <v>250</v>
      </c>
      <c r="D62" s="116">
        <v>245.5</v>
      </c>
      <c r="E62" s="116">
        <v>246.2</v>
      </c>
      <c r="F62" s="116">
        <v>250</v>
      </c>
      <c r="G62">
        <v>45825</v>
      </c>
      <c r="H62" s="116"/>
      <c r="I62" s="116"/>
      <c r="L62" s="170">
        <v>42089</v>
      </c>
      <c r="M62" s="116">
        <v>250.1</v>
      </c>
      <c r="N62" s="116">
        <v>251.95</v>
      </c>
      <c r="O62" s="116">
        <v>245.4</v>
      </c>
      <c r="P62" s="116">
        <v>246.95</v>
      </c>
      <c r="Q62" s="116">
        <v>250.1</v>
      </c>
      <c r="R62">
        <v>1416055</v>
      </c>
    </row>
    <row r="63" spans="1:18" x14ac:dyDescent="0.25">
      <c r="A63" s="170">
        <v>42090</v>
      </c>
      <c r="B63" s="116">
        <v>252.25</v>
      </c>
      <c r="C63" s="116">
        <v>249.6</v>
      </c>
      <c r="D63" s="116">
        <v>247</v>
      </c>
      <c r="E63" s="116">
        <v>252</v>
      </c>
      <c r="F63" s="116">
        <v>249.6</v>
      </c>
      <c r="G63">
        <v>48637</v>
      </c>
      <c r="H63" s="116"/>
      <c r="I63" s="116"/>
      <c r="L63" s="170">
        <v>42090</v>
      </c>
      <c r="M63" s="116">
        <v>250.45</v>
      </c>
      <c r="N63" s="116">
        <v>252.9</v>
      </c>
      <c r="O63" s="116">
        <v>247.05</v>
      </c>
      <c r="P63" s="116">
        <v>251.25</v>
      </c>
      <c r="Q63" s="116">
        <v>250.45</v>
      </c>
      <c r="R63">
        <v>769766</v>
      </c>
    </row>
    <row r="64" spans="1:18" x14ac:dyDescent="0.25">
      <c r="A64" s="170">
        <v>42093</v>
      </c>
      <c r="B64" s="116">
        <v>257.89999999999998</v>
      </c>
      <c r="C64" s="116">
        <v>257</v>
      </c>
      <c r="D64" s="116">
        <v>249.9</v>
      </c>
      <c r="E64" s="116">
        <v>252.2</v>
      </c>
      <c r="F64" s="116">
        <v>257</v>
      </c>
      <c r="G64">
        <v>47307</v>
      </c>
      <c r="H64" s="116"/>
      <c r="I64" s="116"/>
      <c r="L64" s="170">
        <v>42093</v>
      </c>
      <c r="M64" s="116">
        <v>257.10000000000002</v>
      </c>
      <c r="N64" s="116">
        <v>257.89999999999998</v>
      </c>
      <c r="O64" s="116">
        <v>249.85</v>
      </c>
      <c r="P64" s="116">
        <v>252.85</v>
      </c>
      <c r="Q64" s="116">
        <v>257.10000000000002</v>
      </c>
      <c r="R64">
        <v>789976</v>
      </c>
    </row>
    <row r="65" spans="1:18" x14ac:dyDescent="0.25">
      <c r="A65" s="170">
        <v>42094</v>
      </c>
      <c r="B65" s="116">
        <v>259.95</v>
      </c>
      <c r="C65" s="116">
        <v>255.25</v>
      </c>
      <c r="D65" s="116">
        <v>254</v>
      </c>
      <c r="E65" s="116">
        <v>258.5</v>
      </c>
      <c r="F65" s="116">
        <v>255.25</v>
      </c>
      <c r="G65">
        <v>125665</v>
      </c>
      <c r="H65" s="116"/>
      <c r="I65" s="116"/>
      <c r="L65" s="170">
        <v>42094</v>
      </c>
      <c r="M65" s="116">
        <v>255.3</v>
      </c>
      <c r="N65" s="116">
        <v>258.7</v>
      </c>
      <c r="O65" s="116">
        <v>254</v>
      </c>
      <c r="P65" s="116">
        <v>257.60000000000002</v>
      </c>
      <c r="Q65" s="116">
        <v>255.3</v>
      </c>
      <c r="R65">
        <v>1383023</v>
      </c>
    </row>
    <row r="66" spans="1:18" x14ac:dyDescent="0.25">
      <c r="A66" s="170">
        <v>42095</v>
      </c>
      <c r="B66" s="116">
        <v>260.95</v>
      </c>
      <c r="C66" s="116">
        <v>259.8</v>
      </c>
      <c r="D66" s="116">
        <v>254.35</v>
      </c>
      <c r="E66" s="116">
        <v>254.95</v>
      </c>
      <c r="F66" s="116">
        <v>259.8</v>
      </c>
      <c r="G66">
        <v>44138</v>
      </c>
      <c r="H66" s="116"/>
      <c r="I66" s="116"/>
      <c r="L66" s="170">
        <v>42095</v>
      </c>
      <c r="M66" s="116">
        <v>260.25</v>
      </c>
      <c r="N66" s="116">
        <v>261.39999999999998</v>
      </c>
      <c r="O66" s="116">
        <v>253.4</v>
      </c>
      <c r="P66" s="116">
        <v>254.95</v>
      </c>
      <c r="Q66" s="116">
        <v>260.25</v>
      </c>
      <c r="R66">
        <v>1346375</v>
      </c>
    </row>
    <row r="67" spans="1:18" x14ac:dyDescent="0.25">
      <c r="A67" s="170">
        <v>42100</v>
      </c>
      <c r="B67" s="116">
        <v>264.45</v>
      </c>
      <c r="C67" s="116">
        <v>260.25</v>
      </c>
      <c r="D67" s="116">
        <v>258.60000000000002</v>
      </c>
      <c r="E67" s="116">
        <v>261</v>
      </c>
      <c r="F67" s="116">
        <v>260.25</v>
      </c>
      <c r="G67">
        <v>223748</v>
      </c>
      <c r="H67" s="116"/>
      <c r="I67" s="116"/>
      <c r="L67" s="170">
        <v>42100</v>
      </c>
      <c r="M67" s="116">
        <v>261.5</v>
      </c>
      <c r="N67" s="116">
        <v>264.45</v>
      </c>
      <c r="O67" s="116">
        <v>259.2</v>
      </c>
      <c r="P67" s="116">
        <v>263.7</v>
      </c>
      <c r="Q67" s="116">
        <v>261.5</v>
      </c>
      <c r="R67">
        <v>2100720</v>
      </c>
    </row>
    <row r="68" spans="1:18" x14ac:dyDescent="0.25">
      <c r="A68" s="170">
        <v>42101</v>
      </c>
      <c r="B68" s="116">
        <v>263.10000000000002</v>
      </c>
      <c r="C68" s="116">
        <v>259.89999999999998</v>
      </c>
      <c r="D68" s="116">
        <v>250</v>
      </c>
      <c r="E68" s="116">
        <v>260.05</v>
      </c>
      <c r="F68" s="116">
        <v>259.89999999999998</v>
      </c>
      <c r="G68">
        <v>110736</v>
      </c>
      <c r="H68" s="116"/>
      <c r="I68" s="116"/>
      <c r="L68" s="170">
        <v>42101</v>
      </c>
      <c r="M68" s="116">
        <v>260.10000000000002</v>
      </c>
      <c r="N68" s="116">
        <v>263.55</v>
      </c>
      <c r="O68" s="116">
        <v>254.25</v>
      </c>
      <c r="P68" s="116">
        <v>261.5</v>
      </c>
      <c r="Q68" s="116">
        <v>260.10000000000002</v>
      </c>
      <c r="R68">
        <v>1385846</v>
      </c>
    </row>
    <row r="69" spans="1:18" x14ac:dyDescent="0.25">
      <c r="A69" s="170">
        <v>42102</v>
      </c>
      <c r="B69" s="116">
        <v>266.39999999999998</v>
      </c>
      <c r="C69" s="116">
        <v>257.64999999999998</v>
      </c>
      <c r="D69" s="116">
        <v>256.95</v>
      </c>
      <c r="E69" s="116">
        <v>262</v>
      </c>
      <c r="F69" s="116">
        <v>257.64999999999998</v>
      </c>
      <c r="G69">
        <v>96008</v>
      </c>
      <c r="H69" s="116"/>
      <c r="I69" s="116"/>
      <c r="L69" s="170">
        <v>42102</v>
      </c>
      <c r="M69" s="116">
        <v>257.64999999999998</v>
      </c>
      <c r="N69" s="116">
        <v>266.35000000000002</v>
      </c>
      <c r="O69" s="116">
        <v>256.60000000000002</v>
      </c>
      <c r="P69" s="116">
        <v>260.3</v>
      </c>
      <c r="Q69" s="116">
        <v>257.64999999999998</v>
      </c>
      <c r="R69">
        <v>1722699</v>
      </c>
    </row>
    <row r="70" spans="1:18" x14ac:dyDescent="0.25">
      <c r="A70" s="170">
        <v>42103</v>
      </c>
      <c r="B70" s="116">
        <v>259</v>
      </c>
      <c r="C70" s="116">
        <v>256.5</v>
      </c>
      <c r="D70" s="116">
        <v>254</v>
      </c>
      <c r="E70" s="116">
        <v>258.10000000000002</v>
      </c>
      <c r="F70" s="116">
        <v>256.5</v>
      </c>
      <c r="G70">
        <v>58688</v>
      </c>
      <c r="H70" s="116"/>
      <c r="I70" s="116"/>
      <c r="L70" s="170">
        <v>42103</v>
      </c>
      <c r="M70" s="116">
        <v>256.14999999999998</v>
      </c>
      <c r="N70" s="116">
        <v>260</v>
      </c>
      <c r="O70" s="116">
        <v>253.55</v>
      </c>
      <c r="P70" s="116">
        <v>260</v>
      </c>
      <c r="Q70" s="116">
        <v>256.14999999999998</v>
      </c>
      <c r="R70">
        <v>1162924</v>
      </c>
    </row>
    <row r="71" spans="1:18" x14ac:dyDescent="0.25">
      <c r="A71" s="170">
        <v>42104</v>
      </c>
      <c r="B71" s="116">
        <v>259.35000000000002</v>
      </c>
      <c r="C71" s="116">
        <v>257.95</v>
      </c>
      <c r="D71" s="116">
        <v>255.6</v>
      </c>
      <c r="E71" s="116">
        <v>257.14999999999998</v>
      </c>
      <c r="F71" s="116">
        <v>257.95</v>
      </c>
      <c r="G71">
        <v>38194</v>
      </c>
      <c r="H71" s="116"/>
      <c r="I71" s="116"/>
      <c r="L71" s="170">
        <v>42104</v>
      </c>
      <c r="M71" s="116">
        <v>258.3</v>
      </c>
      <c r="N71" s="116">
        <v>259.3</v>
      </c>
      <c r="O71" s="116">
        <v>255.35</v>
      </c>
      <c r="P71" s="116">
        <v>256.2</v>
      </c>
      <c r="Q71" s="116">
        <v>258.3</v>
      </c>
      <c r="R71">
        <v>771330</v>
      </c>
    </row>
    <row r="72" spans="1:18" x14ac:dyDescent="0.25">
      <c r="A72" s="170">
        <v>42107</v>
      </c>
      <c r="B72" s="116">
        <v>261.45</v>
      </c>
      <c r="C72" s="116">
        <v>256.35000000000002</v>
      </c>
      <c r="D72" s="116">
        <v>254.65</v>
      </c>
      <c r="E72" s="116">
        <v>261.45</v>
      </c>
      <c r="F72" s="116">
        <v>256.35000000000002</v>
      </c>
      <c r="G72">
        <v>58300</v>
      </c>
      <c r="H72" s="116"/>
      <c r="I72" s="116"/>
      <c r="L72" s="170">
        <v>42107</v>
      </c>
      <c r="M72" s="116">
        <v>257.60000000000002</v>
      </c>
      <c r="N72" s="116">
        <v>260.2</v>
      </c>
      <c r="O72" s="116">
        <v>254.5</v>
      </c>
      <c r="P72" s="116">
        <v>259.8</v>
      </c>
      <c r="Q72" s="116">
        <v>257.60000000000002</v>
      </c>
      <c r="R72">
        <v>1109353</v>
      </c>
    </row>
    <row r="73" spans="1:18" x14ac:dyDescent="0.25">
      <c r="A73" s="170">
        <v>42109</v>
      </c>
      <c r="B73" s="116">
        <v>262</v>
      </c>
      <c r="C73" s="116">
        <v>259.89999999999998</v>
      </c>
      <c r="D73" s="116">
        <v>257</v>
      </c>
      <c r="E73" s="116">
        <v>257</v>
      </c>
      <c r="F73" s="116">
        <v>259.89999999999998</v>
      </c>
      <c r="G73">
        <v>104380</v>
      </c>
      <c r="H73" s="116"/>
      <c r="I73" s="116"/>
      <c r="L73" s="170">
        <v>42109</v>
      </c>
      <c r="M73" s="116">
        <v>259.95</v>
      </c>
      <c r="N73" s="116">
        <v>262</v>
      </c>
      <c r="O73" s="116">
        <v>257.60000000000002</v>
      </c>
      <c r="P73" s="116">
        <v>260.39999999999998</v>
      </c>
      <c r="Q73" s="116">
        <v>259.95</v>
      </c>
      <c r="R73">
        <v>2877879</v>
      </c>
    </row>
    <row r="74" spans="1:18" x14ac:dyDescent="0.25">
      <c r="A74" s="170">
        <v>42110</v>
      </c>
      <c r="B74" s="116">
        <v>260.39999999999998</v>
      </c>
      <c r="C74" s="116">
        <v>251.65</v>
      </c>
      <c r="D74" s="116">
        <v>250</v>
      </c>
      <c r="E74" s="116">
        <v>258</v>
      </c>
      <c r="F74" s="116">
        <v>251.65</v>
      </c>
      <c r="G74">
        <v>78058</v>
      </c>
      <c r="H74" s="116"/>
      <c r="I74" s="116"/>
      <c r="L74" s="170">
        <v>42110</v>
      </c>
      <c r="M74" s="116">
        <v>252.5</v>
      </c>
      <c r="N74" s="116">
        <v>260.89999999999998</v>
      </c>
      <c r="O74" s="116">
        <v>250</v>
      </c>
      <c r="P74" s="116">
        <v>260.89999999999998</v>
      </c>
      <c r="Q74" s="116">
        <v>252.5</v>
      </c>
      <c r="R74">
        <v>3346874</v>
      </c>
    </row>
    <row r="75" spans="1:18" x14ac:dyDescent="0.25">
      <c r="A75" s="170">
        <v>42111</v>
      </c>
      <c r="B75" s="116">
        <v>252.5</v>
      </c>
      <c r="C75" s="116">
        <v>246.8</v>
      </c>
      <c r="D75" s="116">
        <v>245.65</v>
      </c>
      <c r="E75" s="116">
        <v>252.5</v>
      </c>
      <c r="F75" s="116">
        <v>246.8</v>
      </c>
      <c r="G75">
        <v>63549</v>
      </c>
      <c r="H75" s="116"/>
      <c r="I75" s="116"/>
      <c r="L75" s="170">
        <v>42111</v>
      </c>
      <c r="M75" s="116">
        <v>246.85</v>
      </c>
      <c r="N75" s="116">
        <v>250.95</v>
      </c>
      <c r="O75" s="116">
        <v>245.75</v>
      </c>
      <c r="P75" s="116">
        <v>250.4</v>
      </c>
      <c r="Q75" s="116">
        <v>246.85</v>
      </c>
      <c r="R75">
        <v>1579668</v>
      </c>
    </row>
    <row r="76" spans="1:18" x14ac:dyDescent="0.25">
      <c r="A76" s="170">
        <v>42114</v>
      </c>
      <c r="B76" s="116">
        <v>252.6</v>
      </c>
      <c r="C76" s="116">
        <v>247.25</v>
      </c>
      <c r="D76" s="116">
        <v>244</v>
      </c>
      <c r="E76" s="116">
        <v>245</v>
      </c>
      <c r="F76" s="116">
        <v>247.25</v>
      </c>
      <c r="G76">
        <v>114278</v>
      </c>
      <c r="H76" s="116"/>
      <c r="I76" s="116"/>
      <c r="L76" s="170">
        <v>42114</v>
      </c>
      <c r="M76" s="116">
        <v>248.05</v>
      </c>
      <c r="N76" s="116">
        <v>253.25</v>
      </c>
      <c r="O76" s="116">
        <v>243.8</v>
      </c>
      <c r="P76" s="116">
        <v>246.25</v>
      </c>
      <c r="Q76" s="116">
        <v>248.05</v>
      </c>
      <c r="R76">
        <v>1651654</v>
      </c>
    </row>
    <row r="77" spans="1:18" x14ac:dyDescent="0.25">
      <c r="A77" s="170">
        <v>42115</v>
      </c>
      <c r="B77" s="116">
        <v>248.1</v>
      </c>
      <c r="C77" s="116">
        <v>239.65</v>
      </c>
      <c r="D77" s="116">
        <v>239.15</v>
      </c>
      <c r="E77" s="116">
        <v>247.9</v>
      </c>
      <c r="F77" s="116">
        <v>239.65</v>
      </c>
      <c r="G77">
        <v>253406</v>
      </c>
      <c r="H77" s="116"/>
      <c r="I77" s="116"/>
      <c r="L77" s="170">
        <v>42115</v>
      </c>
      <c r="M77" s="116">
        <v>240</v>
      </c>
      <c r="N77" s="116">
        <v>247.95</v>
      </c>
      <c r="O77" s="116">
        <v>239.25</v>
      </c>
      <c r="P77" s="116">
        <v>247</v>
      </c>
      <c r="Q77" s="116">
        <v>240</v>
      </c>
      <c r="R77">
        <v>1187332</v>
      </c>
    </row>
    <row r="78" spans="1:18" x14ac:dyDescent="0.25">
      <c r="A78" s="170">
        <v>42116</v>
      </c>
      <c r="B78" s="116">
        <v>243.6</v>
      </c>
      <c r="C78" s="116">
        <v>242.3</v>
      </c>
      <c r="D78" s="116">
        <v>236.55</v>
      </c>
      <c r="E78" s="116">
        <v>239.25</v>
      </c>
      <c r="F78" s="116">
        <v>242.3</v>
      </c>
      <c r="G78">
        <v>71272</v>
      </c>
      <c r="H78" s="116"/>
      <c r="I78" s="116"/>
      <c r="L78" s="170">
        <v>42116</v>
      </c>
      <c r="M78" s="116">
        <v>242.05</v>
      </c>
      <c r="N78" s="116">
        <v>243.6</v>
      </c>
      <c r="O78" s="116">
        <v>236.15</v>
      </c>
      <c r="P78" s="116">
        <v>240.7</v>
      </c>
      <c r="Q78" s="116">
        <v>242.05</v>
      </c>
      <c r="R78">
        <v>2817535</v>
      </c>
    </row>
    <row r="79" spans="1:18" x14ac:dyDescent="0.25">
      <c r="A79" s="170">
        <v>42117</v>
      </c>
      <c r="B79" s="116">
        <v>246.9</v>
      </c>
      <c r="C79" s="116">
        <v>237.55</v>
      </c>
      <c r="D79" s="116">
        <v>236.15</v>
      </c>
      <c r="E79" s="116">
        <v>244</v>
      </c>
      <c r="F79" s="116">
        <v>237.55</v>
      </c>
      <c r="G79">
        <v>78973</v>
      </c>
      <c r="H79" s="116"/>
      <c r="I79" s="116"/>
      <c r="L79" s="170">
        <v>42117</v>
      </c>
      <c r="M79" s="116">
        <v>237.6</v>
      </c>
      <c r="N79" s="116">
        <v>246.9</v>
      </c>
      <c r="O79" s="116">
        <v>236.1</v>
      </c>
      <c r="P79" s="116">
        <v>243.85</v>
      </c>
      <c r="Q79" s="116">
        <v>237.6</v>
      </c>
      <c r="R79">
        <v>1605610</v>
      </c>
    </row>
    <row r="80" spans="1:18" x14ac:dyDescent="0.25">
      <c r="A80" s="170">
        <v>42118</v>
      </c>
      <c r="B80" s="116">
        <v>238.55</v>
      </c>
      <c r="C80" s="116">
        <v>233.9</v>
      </c>
      <c r="D80" s="116">
        <v>232.2</v>
      </c>
      <c r="E80" s="116">
        <v>238</v>
      </c>
      <c r="F80" s="116">
        <v>233.9</v>
      </c>
      <c r="G80">
        <v>57054</v>
      </c>
      <c r="H80" s="116"/>
      <c r="I80" s="116"/>
      <c r="L80" s="170">
        <v>42118</v>
      </c>
      <c r="M80" s="116">
        <v>233.35</v>
      </c>
      <c r="N80" s="116">
        <v>238</v>
      </c>
      <c r="O80" s="116">
        <v>231.7</v>
      </c>
      <c r="P80" s="116">
        <v>238</v>
      </c>
      <c r="Q80" s="116">
        <v>233.35</v>
      </c>
      <c r="R80">
        <v>1431828</v>
      </c>
    </row>
    <row r="81" spans="1:18" x14ac:dyDescent="0.25">
      <c r="A81" s="170">
        <v>42121</v>
      </c>
      <c r="B81" s="116">
        <v>235</v>
      </c>
      <c r="C81" s="116">
        <v>229.75</v>
      </c>
      <c r="D81" s="116">
        <v>228.5</v>
      </c>
      <c r="E81" s="116">
        <v>235</v>
      </c>
      <c r="F81" s="116">
        <v>229.75</v>
      </c>
      <c r="G81">
        <v>48316</v>
      </c>
      <c r="H81" s="116"/>
      <c r="I81" s="116"/>
      <c r="L81" s="170">
        <v>42121</v>
      </c>
      <c r="M81" s="116">
        <v>230.15</v>
      </c>
      <c r="N81" s="116">
        <v>234.45</v>
      </c>
      <c r="O81" s="116">
        <v>228.7</v>
      </c>
      <c r="P81" s="116">
        <v>234.45</v>
      </c>
      <c r="Q81" s="116">
        <v>230.15</v>
      </c>
      <c r="R81">
        <v>1045609</v>
      </c>
    </row>
    <row r="82" spans="1:18" x14ac:dyDescent="0.25">
      <c r="A82" s="170">
        <v>42122</v>
      </c>
      <c r="B82" s="116">
        <v>232.15</v>
      </c>
      <c r="C82" s="116">
        <v>230.75</v>
      </c>
      <c r="D82" s="116">
        <v>224.4</v>
      </c>
      <c r="E82" s="116">
        <v>230</v>
      </c>
      <c r="F82" s="116">
        <v>230.75</v>
      </c>
      <c r="G82">
        <v>77625</v>
      </c>
      <c r="H82" s="116"/>
      <c r="I82" s="116"/>
      <c r="L82" s="170">
        <v>42122</v>
      </c>
      <c r="M82" s="116">
        <v>230.55</v>
      </c>
      <c r="N82" s="116">
        <v>231.95</v>
      </c>
      <c r="O82" s="116">
        <v>224.05</v>
      </c>
      <c r="P82" s="116">
        <v>229.9</v>
      </c>
      <c r="Q82" s="116">
        <v>230.55</v>
      </c>
      <c r="R82">
        <v>3076993</v>
      </c>
    </row>
    <row r="83" spans="1:18" x14ac:dyDescent="0.25">
      <c r="A83" s="170">
        <v>42123</v>
      </c>
      <c r="B83" s="116">
        <v>241.25</v>
      </c>
      <c r="C83" s="116">
        <v>238.85</v>
      </c>
      <c r="D83" s="116">
        <v>228.5</v>
      </c>
      <c r="E83" s="116">
        <v>229.6</v>
      </c>
      <c r="F83" s="116">
        <v>238.85</v>
      </c>
      <c r="G83">
        <v>445884</v>
      </c>
      <c r="H83" s="116"/>
      <c r="I83" s="116"/>
      <c r="L83" s="170">
        <v>42123</v>
      </c>
      <c r="M83" s="116">
        <v>238.3</v>
      </c>
      <c r="N83" s="116">
        <v>241.5</v>
      </c>
      <c r="O83" s="116">
        <v>228.2</v>
      </c>
      <c r="P83" s="116">
        <v>230</v>
      </c>
      <c r="Q83" s="116">
        <v>238.3</v>
      </c>
      <c r="R83">
        <v>4216759</v>
      </c>
    </row>
    <row r="84" spans="1:18" x14ac:dyDescent="0.25">
      <c r="A84" s="170">
        <v>42124</v>
      </c>
      <c r="B84" s="116">
        <v>240.75</v>
      </c>
      <c r="C84" s="116">
        <v>234.2</v>
      </c>
      <c r="D84" s="116">
        <v>231.6</v>
      </c>
      <c r="E84" s="116">
        <v>235</v>
      </c>
      <c r="F84" s="116">
        <v>234.2</v>
      </c>
      <c r="G84">
        <v>182084</v>
      </c>
      <c r="H84" s="116"/>
      <c r="I84" s="116"/>
      <c r="L84" s="170">
        <v>42124</v>
      </c>
      <c r="M84" s="116">
        <v>232.4</v>
      </c>
      <c r="N84" s="116">
        <v>240.8</v>
      </c>
      <c r="O84" s="116">
        <v>231.5</v>
      </c>
      <c r="P84" s="116">
        <v>235.55</v>
      </c>
      <c r="Q84" s="116">
        <v>232.4</v>
      </c>
      <c r="R84">
        <v>2718627</v>
      </c>
    </row>
    <row r="85" spans="1:18" x14ac:dyDescent="0.25">
      <c r="A85" s="170">
        <v>42128</v>
      </c>
      <c r="B85" s="116">
        <v>242</v>
      </c>
      <c r="C85" s="116">
        <v>240.45</v>
      </c>
      <c r="D85" s="116">
        <v>232.45</v>
      </c>
      <c r="E85" s="116">
        <v>239.3</v>
      </c>
      <c r="F85" s="116">
        <v>240.45</v>
      </c>
      <c r="G85">
        <v>94584</v>
      </c>
      <c r="H85" s="116"/>
      <c r="I85" s="116"/>
      <c r="L85" s="170">
        <v>42128</v>
      </c>
      <c r="M85" s="116">
        <v>241.3</v>
      </c>
      <c r="N85" s="116">
        <v>243</v>
      </c>
      <c r="O85" s="116">
        <v>232</v>
      </c>
      <c r="P85" s="116">
        <v>234.3</v>
      </c>
      <c r="Q85" s="116">
        <v>241.3</v>
      </c>
      <c r="R85">
        <v>1225037</v>
      </c>
    </row>
    <row r="86" spans="1:18" x14ac:dyDescent="0.25">
      <c r="A86" s="170">
        <v>42129</v>
      </c>
      <c r="B86" s="116">
        <v>240.25</v>
      </c>
      <c r="C86" s="116">
        <v>238.75</v>
      </c>
      <c r="D86" s="116">
        <v>236.2</v>
      </c>
      <c r="E86" s="116">
        <v>240.25</v>
      </c>
      <c r="F86" s="116">
        <v>238.75</v>
      </c>
      <c r="G86">
        <v>42107</v>
      </c>
      <c r="H86" s="116"/>
      <c r="I86" s="116"/>
      <c r="L86" s="170">
        <v>42129</v>
      </c>
      <c r="M86" s="116">
        <v>239.2</v>
      </c>
      <c r="N86" s="116">
        <v>241</v>
      </c>
      <c r="O86" s="116">
        <v>235.8</v>
      </c>
      <c r="P86" s="116">
        <v>241</v>
      </c>
      <c r="Q86" s="116">
        <v>239.2</v>
      </c>
      <c r="R86">
        <v>1425990</v>
      </c>
    </row>
    <row r="87" spans="1:18" x14ac:dyDescent="0.25">
      <c r="A87" s="170">
        <v>42130</v>
      </c>
      <c r="B87" s="116">
        <v>238.2</v>
      </c>
      <c r="C87" s="116">
        <v>226.7</v>
      </c>
      <c r="D87" s="116">
        <v>225</v>
      </c>
      <c r="E87" s="116">
        <v>237.7</v>
      </c>
      <c r="F87" s="116">
        <v>226.7</v>
      </c>
      <c r="G87">
        <v>120766</v>
      </c>
      <c r="H87" s="116"/>
      <c r="I87" s="116"/>
      <c r="L87" s="170">
        <v>42130</v>
      </c>
      <c r="M87" s="116">
        <v>226.8</v>
      </c>
      <c r="N87" s="116">
        <v>239.4</v>
      </c>
      <c r="O87" s="116">
        <v>224.55</v>
      </c>
      <c r="P87" s="116">
        <v>239.2</v>
      </c>
      <c r="Q87" s="116">
        <v>226.8</v>
      </c>
      <c r="R87">
        <v>1784868</v>
      </c>
    </row>
    <row r="88" spans="1:18" x14ac:dyDescent="0.25">
      <c r="A88" s="170">
        <v>42131</v>
      </c>
      <c r="B88" s="116">
        <v>232.45</v>
      </c>
      <c r="C88" s="116">
        <v>231.25</v>
      </c>
      <c r="D88" s="116">
        <v>222.2</v>
      </c>
      <c r="E88" s="116">
        <v>225.55</v>
      </c>
      <c r="F88" s="116">
        <v>231.25</v>
      </c>
      <c r="G88">
        <v>96125</v>
      </c>
      <c r="H88" s="116"/>
      <c r="I88" s="116"/>
      <c r="L88" s="170">
        <v>42131</v>
      </c>
      <c r="M88" s="116">
        <v>231.4</v>
      </c>
      <c r="N88" s="116">
        <v>232.45</v>
      </c>
      <c r="O88" s="116">
        <v>222.3</v>
      </c>
      <c r="P88" s="116">
        <v>225</v>
      </c>
      <c r="Q88" s="116">
        <v>231.4</v>
      </c>
      <c r="R88">
        <v>1204512</v>
      </c>
    </row>
    <row r="89" spans="1:18" x14ac:dyDescent="0.25">
      <c r="A89" s="170">
        <v>42132</v>
      </c>
      <c r="B89" s="116">
        <v>239.4</v>
      </c>
      <c r="C89" s="116">
        <v>233</v>
      </c>
      <c r="D89" s="116">
        <v>231.1</v>
      </c>
      <c r="E89" s="116">
        <v>233</v>
      </c>
      <c r="F89" s="116">
        <v>233</v>
      </c>
      <c r="G89">
        <v>101385</v>
      </c>
      <c r="H89" s="116"/>
      <c r="I89" s="116"/>
      <c r="L89" s="170">
        <v>42132</v>
      </c>
      <c r="M89" s="116">
        <v>233.2</v>
      </c>
      <c r="N89" s="116">
        <v>239.95</v>
      </c>
      <c r="O89" s="116">
        <v>231.65</v>
      </c>
      <c r="P89" s="116">
        <v>232.75</v>
      </c>
      <c r="Q89" s="116">
        <v>233.2</v>
      </c>
      <c r="R89">
        <v>1726625</v>
      </c>
    </row>
    <row r="90" spans="1:18" x14ac:dyDescent="0.25">
      <c r="A90" s="170">
        <v>42135</v>
      </c>
      <c r="B90" s="116">
        <v>238.65</v>
      </c>
      <c r="C90" s="116">
        <v>237.9</v>
      </c>
      <c r="D90" s="116">
        <v>230.8</v>
      </c>
      <c r="E90" s="116">
        <v>235</v>
      </c>
      <c r="F90" s="116">
        <v>237.9</v>
      </c>
      <c r="G90">
        <v>96985</v>
      </c>
      <c r="H90" s="116"/>
      <c r="I90" s="116"/>
      <c r="L90" s="170">
        <v>42135</v>
      </c>
      <c r="M90" s="116">
        <v>238.5</v>
      </c>
      <c r="N90" s="116">
        <v>239.4</v>
      </c>
      <c r="O90" s="116">
        <v>230.55</v>
      </c>
      <c r="P90" s="116">
        <v>233.95</v>
      </c>
      <c r="Q90" s="116">
        <v>238.5</v>
      </c>
      <c r="R90">
        <v>966021</v>
      </c>
    </row>
    <row r="91" spans="1:18" x14ac:dyDescent="0.25">
      <c r="A91" s="170">
        <v>42136</v>
      </c>
      <c r="B91" s="116">
        <v>238</v>
      </c>
      <c r="C91" s="116">
        <v>228.95</v>
      </c>
      <c r="D91" s="116">
        <v>227.55</v>
      </c>
      <c r="E91" s="116">
        <v>238</v>
      </c>
      <c r="F91" s="116">
        <v>228.95</v>
      </c>
      <c r="G91">
        <v>67615</v>
      </c>
      <c r="H91" s="116"/>
      <c r="I91" s="116"/>
      <c r="L91" s="170">
        <v>42136</v>
      </c>
      <c r="M91" s="116">
        <v>228.85</v>
      </c>
      <c r="N91" s="116">
        <v>239.4</v>
      </c>
      <c r="O91" s="116">
        <v>227.55</v>
      </c>
      <c r="P91" s="116">
        <v>239.4</v>
      </c>
      <c r="Q91" s="116">
        <v>228.85</v>
      </c>
      <c r="R91">
        <v>1408233</v>
      </c>
    </row>
    <row r="92" spans="1:18" x14ac:dyDescent="0.25">
      <c r="A92" s="170">
        <v>42137</v>
      </c>
      <c r="B92" s="116">
        <v>236.1</v>
      </c>
      <c r="C92" s="116">
        <v>234.85</v>
      </c>
      <c r="D92" s="116">
        <v>228.3</v>
      </c>
      <c r="E92" s="116">
        <v>232</v>
      </c>
      <c r="F92" s="116">
        <v>234.85</v>
      </c>
      <c r="G92">
        <v>88018</v>
      </c>
      <c r="H92" s="116"/>
      <c r="I92" s="116"/>
      <c r="L92" s="170">
        <v>42137</v>
      </c>
      <c r="M92" s="116">
        <v>235.15</v>
      </c>
      <c r="N92" s="116">
        <v>236.25</v>
      </c>
      <c r="O92" s="116">
        <v>228</v>
      </c>
      <c r="P92" s="116">
        <v>230.75</v>
      </c>
      <c r="Q92" s="116">
        <v>235.15</v>
      </c>
      <c r="R92">
        <v>1485322</v>
      </c>
    </row>
    <row r="93" spans="1:18" x14ac:dyDescent="0.25">
      <c r="A93" s="170">
        <v>42138</v>
      </c>
      <c r="B93" s="116">
        <v>237.35</v>
      </c>
      <c r="C93" s="116">
        <v>235.55</v>
      </c>
      <c r="D93" s="116">
        <v>231.5</v>
      </c>
      <c r="E93" s="116">
        <v>234.75</v>
      </c>
      <c r="F93" s="116">
        <v>235.55</v>
      </c>
      <c r="G93">
        <v>49287</v>
      </c>
      <c r="H93" s="116"/>
      <c r="I93" s="116"/>
      <c r="L93" s="170">
        <v>42138</v>
      </c>
      <c r="M93" s="116">
        <v>235.05</v>
      </c>
      <c r="N93" s="116">
        <v>237.55</v>
      </c>
      <c r="O93" s="116">
        <v>231.15</v>
      </c>
      <c r="P93" s="116">
        <v>234.55</v>
      </c>
      <c r="Q93" s="116">
        <v>235.05</v>
      </c>
      <c r="R93">
        <v>1388619</v>
      </c>
    </row>
    <row r="94" spans="1:18" x14ac:dyDescent="0.25">
      <c r="A94" s="170">
        <v>42139</v>
      </c>
      <c r="B94" s="116">
        <v>236.7</v>
      </c>
      <c r="C94" s="116">
        <v>234.45</v>
      </c>
      <c r="D94" s="116">
        <v>232.65</v>
      </c>
      <c r="E94" s="116">
        <v>236.15</v>
      </c>
      <c r="F94" s="116">
        <v>234.45</v>
      </c>
      <c r="G94">
        <v>44385</v>
      </c>
      <c r="H94" s="116"/>
      <c r="I94" s="116"/>
      <c r="L94" s="170">
        <v>42139</v>
      </c>
      <c r="M94" s="116">
        <v>234.7</v>
      </c>
      <c r="N94" s="116">
        <v>236.95</v>
      </c>
      <c r="O94" s="116">
        <v>232.35</v>
      </c>
      <c r="P94" s="116">
        <v>234.95</v>
      </c>
      <c r="Q94" s="116">
        <v>234.7</v>
      </c>
      <c r="R94">
        <v>688530</v>
      </c>
    </row>
    <row r="95" spans="1:18" x14ac:dyDescent="0.25">
      <c r="A95" s="170">
        <v>42142</v>
      </c>
      <c r="B95" s="116">
        <v>243</v>
      </c>
      <c r="C95" s="116">
        <v>240.45</v>
      </c>
      <c r="D95" s="116">
        <v>233.55</v>
      </c>
      <c r="E95" s="116">
        <v>236.1</v>
      </c>
      <c r="F95" s="116">
        <v>240.45</v>
      </c>
      <c r="G95">
        <v>76797</v>
      </c>
      <c r="H95" s="116"/>
      <c r="I95" s="116"/>
      <c r="L95" s="170">
        <v>42142</v>
      </c>
      <c r="M95" s="116">
        <v>240.7</v>
      </c>
      <c r="N95" s="116">
        <v>242.9</v>
      </c>
      <c r="O95" s="116">
        <v>233.6</v>
      </c>
      <c r="P95" s="116">
        <v>235.45</v>
      </c>
      <c r="Q95" s="116">
        <v>240.7</v>
      </c>
      <c r="R95">
        <v>1454344</v>
      </c>
    </row>
    <row r="96" spans="1:18" x14ac:dyDescent="0.25">
      <c r="A96" s="170">
        <v>42143</v>
      </c>
      <c r="B96" s="116">
        <v>242</v>
      </c>
      <c r="C96" s="116">
        <v>238.8</v>
      </c>
      <c r="D96" s="116">
        <v>237.45</v>
      </c>
      <c r="E96" s="116">
        <v>241.5</v>
      </c>
      <c r="F96" s="116">
        <v>238.8</v>
      </c>
      <c r="G96">
        <v>47424</v>
      </c>
      <c r="H96" s="116"/>
      <c r="I96" s="116"/>
      <c r="L96" s="170">
        <v>42143</v>
      </c>
      <c r="M96" s="116">
        <v>239</v>
      </c>
      <c r="N96" s="116">
        <v>242.95</v>
      </c>
      <c r="O96" s="116">
        <v>237.1</v>
      </c>
      <c r="P96" s="116">
        <v>241.7</v>
      </c>
      <c r="Q96" s="116">
        <v>239</v>
      </c>
      <c r="R96">
        <v>1281230</v>
      </c>
    </row>
    <row r="97" spans="1:18" x14ac:dyDescent="0.25">
      <c r="A97" s="170">
        <v>42144</v>
      </c>
      <c r="B97" s="116">
        <v>241.5</v>
      </c>
      <c r="C97" s="116">
        <v>238.85</v>
      </c>
      <c r="D97" s="116">
        <v>237.35</v>
      </c>
      <c r="E97" s="116">
        <v>239.5</v>
      </c>
      <c r="F97" s="116">
        <v>238.85</v>
      </c>
      <c r="G97">
        <v>42510</v>
      </c>
      <c r="H97" s="116"/>
      <c r="I97" s="116"/>
      <c r="L97" s="170">
        <v>42144</v>
      </c>
      <c r="M97" s="116">
        <v>238.8</v>
      </c>
      <c r="N97" s="116">
        <v>241.8</v>
      </c>
      <c r="O97" s="116">
        <v>237.5</v>
      </c>
      <c r="P97" s="116">
        <v>239.3</v>
      </c>
      <c r="Q97" s="116">
        <v>238.8</v>
      </c>
      <c r="R97">
        <v>1327514</v>
      </c>
    </row>
    <row r="98" spans="1:18" x14ac:dyDescent="0.25">
      <c r="A98" s="170">
        <v>42145</v>
      </c>
      <c r="B98" s="116">
        <v>241.55</v>
      </c>
      <c r="C98" s="116">
        <v>240.95</v>
      </c>
      <c r="D98" s="116">
        <v>235.7</v>
      </c>
      <c r="E98" s="116">
        <v>238.25</v>
      </c>
      <c r="F98" s="116">
        <v>240.95</v>
      </c>
      <c r="G98">
        <v>53437</v>
      </c>
      <c r="H98" s="116"/>
      <c r="I98" s="116"/>
      <c r="L98" s="170">
        <v>42145</v>
      </c>
      <c r="M98" s="116">
        <v>241.2</v>
      </c>
      <c r="N98" s="116">
        <v>241.6</v>
      </c>
      <c r="O98" s="116">
        <v>235.4</v>
      </c>
      <c r="P98" s="116">
        <v>238.8</v>
      </c>
      <c r="Q98" s="116">
        <v>241.2</v>
      </c>
      <c r="R98">
        <v>1900169</v>
      </c>
    </row>
    <row r="99" spans="1:18" x14ac:dyDescent="0.25">
      <c r="A99" s="170">
        <v>42146</v>
      </c>
      <c r="B99" s="116">
        <v>244.65</v>
      </c>
      <c r="C99" s="116">
        <v>241.35</v>
      </c>
      <c r="D99" s="116">
        <v>240</v>
      </c>
      <c r="E99" s="116">
        <v>240.5</v>
      </c>
      <c r="F99" s="116">
        <v>241.35</v>
      </c>
      <c r="G99">
        <v>74603</v>
      </c>
      <c r="H99" s="116"/>
      <c r="I99" s="116"/>
      <c r="L99" s="170">
        <v>42146</v>
      </c>
      <c r="M99" s="116">
        <v>241.6</v>
      </c>
      <c r="N99" s="116">
        <v>244.65</v>
      </c>
      <c r="O99" s="116">
        <v>240.1</v>
      </c>
      <c r="P99" s="116">
        <v>241.2</v>
      </c>
      <c r="Q99" s="116">
        <v>241.6</v>
      </c>
      <c r="R99">
        <v>1215616</v>
      </c>
    </row>
    <row r="100" spans="1:18" x14ac:dyDescent="0.25">
      <c r="A100" s="170">
        <v>42149</v>
      </c>
      <c r="B100" s="116">
        <v>241.2</v>
      </c>
      <c r="C100" s="116">
        <v>233.05</v>
      </c>
      <c r="D100" s="116">
        <v>231.75</v>
      </c>
      <c r="E100" s="116">
        <v>241</v>
      </c>
      <c r="F100" s="116">
        <v>233.05</v>
      </c>
      <c r="G100">
        <v>114945</v>
      </c>
      <c r="H100" s="116"/>
      <c r="I100" s="116"/>
      <c r="L100" s="170">
        <v>42149</v>
      </c>
      <c r="M100" s="116">
        <v>232.3</v>
      </c>
      <c r="N100" s="116">
        <v>241.7</v>
      </c>
      <c r="O100" s="116">
        <v>231.2</v>
      </c>
      <c r="P100" s="116">
        <v>241.5</v>
      </c>
      <c r="Q100" s="116">
        <v>232.3</v>
      </c>
      <c r="R100">
        <v>1474372</v>
      </c>
    </row>
    <row r="101" spans="1:18" x14ac:dyDescent="0.25">
      <c r="A101" s="170">
        <v>42150</v>
      </c>
      <c r="B101" s="116">
        <v>234</v>
      </c>
      <c r="C101" s="116">
        <v>227.1</v>
      </c>
      <c r="D101" s="116">
        <v>226</v>
      </c>
      <c r="E101" s="116">
        <v>231.55</v>
      </c>
      <c r="F101" s="116">
        <v>227.1</v>
      </c>
      <c r="G101">
        <v>79537</v>
      </c>
      <c r="H101" s="116"/>
      <c r="I101" s="116"/>
      <c r="L101" s="170">
        <v>42150</v>
      </c>
      <c r="M101" s="116">
        <v>226.8</v>
      </c>
      <c r="N101" s="116">
        <v>233.9</v>
      </c>
      <c r="O101" s="116">
        <v>226.1</v>
      </c>
      <c r="P101" s="116">
        <v>233.25</v>
      </c>
      <c r="Q101" s="116">
        <v>226.8</v>
      </c>
      <c r="R101">
        <v>2058074</v>
      </c>
    </row>
    <row r="102" spans="1:18" x14ac:dyDescent="0.25">
      <c r="A102" s="170">
        <v>42151</v>
      </c>
      <c r="B102" s="116">
        <v>230.4</v>
      </c>
      <c r="C102" s="116">
        <v>228.05</v>
      </c>
      <c r="D102" s="116">
        <v>224.05</v>
      </c>
      <c r="E102" s="116">
        <v>225</v>
      </c>
      <c r="F102" s="116">
        <v>228.05</v>
      </c>
      <c r="G102">
        <v>73378</v>
      </c>
      <c r="H102" s="116"/>
      <c r="I102" s="116"/>
      <c r="L102" s="170">
        <v>42151</v>
      </c>
      <c r="M102" s="116">
        <v>227.6</v>
      </c>
      <c r="N102" s="116">
        <v>230.45</v>
      </c>
      <c r="O102" s="116">
        <v>225</v>
      </c>
      <c r="P102" s="116">
        <v>225.7</v>
      </c>
      <c r="Q102" s="116">
        <v>227.6</v>
      </c>
      <c r="R102">
        <v>1051814</v>
      </c>
    </row>
    <row r="103" spans="1:18" x14ac:dyDescent="0.25">
      <c r="A103" s="170">
        <v>42152</v>
      </c>
      <c r="B103" s="116">
        <v>232</v>
      </c>
      <c r="C103" s="116">
        <v>229</v>
      </c>
      <c r="D103" s="116">
        <v>225.8</v>
      </c>
      <c r="E103" s="116">
        <v>229.2</v>
      </c>
      <c r="F103" s="116">
        <v>229</v>
      </c>
      <c r="G103">
        <v>68689</v>
      </c>
      <c r="H103" s="116"/>
      <c r="I103" s="116"/>
      <c r="L103" s="170">
        <v>42152</v>
      </c>
      <c r="M103" s="116">
        <v>229.95</v>
      </c>
      <c r="N103" s="116">
        <v>232.1</v>
      </c>
      <c r="O103" s="116">
        <v>225.8</v>
      </c>
      <c r="P103" s="116">
        <v>228.15</v>
      </c>
      <c r="Q103" s="116">
        <v>229.95</v>
      </c>
      <c r="R103">
        <v>1925339</v>
      </c>
    </row>
    <row r="104" spans="1:18" x14ac:dyDescent="0.25">
      <c r="A104" s="170">
        <v>42153</v>
      </c>
      <c r="B104" s="116">
        <v>238.95</v>
      </c>
      <c r="C104" s="116">
        <v>237</v>
      </c>
      <c r="D104" s="116">
        <v>229.8</v>
      </c>
      <c r="E104" s="116">
        <v>230.55</v>
      </c>
      <c r="F104" s="116">
        <v>237</v>
      </c>
      <c r="G104">
        <v>125424</v>
      </c>
      <c r="H104" s="116"/>
      <c r="I104" s="116"/>
      <c r="L104" s="170">
        <v>42153</v>
      </c>
      <c r="M104" s="116">
        <v>237.6</v>
      </c>
      <c r="N104" s="116">
        <v>239.8</v>
      </c>
      <c r="O104" s="116">
        <v>229.75</v>
      </c>
      <c r="P104" s="116">
        <v>230.45</v>
      </c>
      <c r="Q104" s="116">
        <v>237.6</v>
      </c>
      <c r="R104">
        <v>3367891</v>
      </c>
    </row>
    <row r="105" spans="1:18" x14ac:dyDescent="0.25">
      <c r="A105" s="170">
        <v>42156</v>
      </c>
      <c r="B105" s="116">
        <v>240.8</v>
      </c>
      <c r="C105" s="116">
        <v>239.2</v>
      </c>
      <c r="D105" s="116">
        <v>237</v>
      </c>
      <c r="E105" s="116">
        <v>237</v>
      </c>
      <c r="F105" s="116">
        <v>239.2</v>
      </c>
      <c r="G105">
        <v>90360</v>
      </c>
      <c r="H105" s="116"/>
      <c r="I105" s="116"/>
      <c r="L105" s="170">
        <v>42156</v>
      </c>
      <c r="M105" s="116">
        <v>239.9</v>
      </c>
      <c r="N105" s="116">
        <v>241.05</v>
      </c>
      <c r="O105" s="116">
        <v>237.55</v>
      </c>
      <c r="P105" s="116">
        <v>237.6</v>
      </c>
      <c r="Q105" s="116">
        <v>239.9</v>
      </c>
      <c r="R105">
        <v>896412</v>
      </c>
    </row>
    <row r="106" spans="1:18" x14ac:dyDescent="0.25">
      <c r="A106" s="170">
        <v>42157</v>
      </c>
      <c r="B106" s="116">
        <v>239.4</v>
      </c>
      <c r="C106" s="116">
        <v>230.65</v>
      </c>
      <c r="D106" s="116">
        <v>229.1</v>
      </c>
      <c r="E106" s="116">
        <v>238.2</v>
      </c>
      <c r="F106" s="116">
        <v>230.65</v>
      </c>
      <c r="G106">
        <v>113411</v>
      </c>
      <c r="H106" s="116"/>
      <c r="I106" s="116"/>
      <c r="L106" s="170">
        <v>42157</v>
      </c>
      <c r="M106" s="116">
        <v>231.3</v>
      </c>
      <c r="N106" s="116">
        <v>240.1</v>
      </c>
      <c r="O106" s="116">
        <v>229.05</v>
      </c>
      <c r="P106" s="116">
        <v>239.05</v>
      </c>
      <c r="Q106" s="116">
        <v>231.3</v>
      </c>
      <c r="R106">
        <v>1281246</v>
      </c>
    </row>
    <row r="107" spans="1:18" x14ac:dyDescent="0.25">
      <c r="A107" s="170">
        <v>42158</v>
      </c>
      <c r="B107" s="116">
        <v>229.45</v>
      </c>
      <c r="C107" s="116">
        <v>226.1</v>
      </c>
      <c r="D107" s="116">
        <v>224.5</v>
      </c>
      <c r="E107" s="116">
        <v>229.3</v>
      </c>
      <c r="F107" s="116">
        <v>226.1</v>
      </c>
      <c r="G107">
        <v>62761</v>
      </c>
      <c r="H107" s="116"/>
      <c r="I107" s="116"/>
      <c r="L107" s="170">
        <v>42158</v>
      </c>
      <c r="M107" s="116">
        <v>225.8</v>
      </c>
      <c r="N107" s="116">
        <v>230.85</v>
      </c>
      <c r="O107" s="116">
        <v>224.25</v>
      </c>
      <c r="P107" s="116">
        <v>230.2</v>
      </c>
      <c r="Q107" s="116">
        <v>225.8</v>
      </c>
      <c r="R107">
        <v>1280160</v>
      </c>
    </row>
    <row r="108" spans="1:18" x14ac:dyDescent="0.25">
      <c r="A108" s="170">
        <v>42159</v>
      </c>
      <c r="B108" s="116">
        <v>230</v>
      </c>
      <c r="C108" s="116">
        <v>228.85</v>
      </c>
      <c r="D108" s="116">
        <v>220.8</v>
      </c>
      <c r="E108" s="116">
        <v>226</v>
      </c>
      <c r="F108" s="116">
        <v>228.85</v>
      </c>
      <c r="G108">
        <v>80264</v>
      </c>
      <c r="H108" s="116"/>
      <c r="I108" s="116"/>
      <c r="L108" s="170">
        <v>42159</v>
      </c>
      <c r="M108" s="116">
        <v>229</v>
      </c>
      <c r="N108" s="116">
        <v>229.8</v>
      </c>
      <c r="O108" s="116">
        <v>221.1</v>
      </c>
      <c r="P108" s="116">
        <v>225.8</v>
      </c>
      <c r="Q108" s="116">
        <v>229</v>
      </c>
      <c r="R108">
        <v>1682455</v>
      </c>
    </row>
    <row r="109" spans="1:18" x14ac:dyDescent="0.25">
      <c r="A109" s="170">
        <v>42160</v>
      </c>
      <c r="B109" s="116">
        <v>229</v>
      </c>
      <c r="C109" s="116">
        <v>221.8</v>
      </c>
      <c r="D109" s="116">
        <v>220.25</v>
      </c>
      <c r="E109" s="116">
        <v>226</v>
      </c>
      <c r="F109" s="116">
        <v>221.8</v>
      </c>
      <c r="G109">
        <v>182090</v>
      </c>
      <c r="H109" s="116"/>
      <c r="I109" s="116"/>
      <c r="L109" s="170">
        <v>42160</v>
      </c>
      <c r="M109" s="116">
        <v>221.8</v>
      </c>
      <c r="N109" s="116">
        <v>228.9</v>
      </c>
      <c r="O109" s="116">
        <v>220.2</v>
      </c>
      <c r="P109" s="116">
        <v>228.4</v>
      </c>
      <c r="Q109" s="116">
        <v>221.8</v>
      </c>
      <c r="R109">
        <v>2306031</v>
      </c>
    </row>
    <row r="110" spans="1:18" x14ac:dyDescent="0.25">
      <c r="A110" s="170">
        <v>42163</v>
      </c>
      <c r="B110" s="116">
        <v>225</v>
      </c>
      <c r="C110" s="116">
        <v>222.7</v>
      </c>
      <c r="D110" s="116">
        <v>220.3</v>
      </c>
      <c r="E110" s="116">
        <v>220.3</v>
      </c>
      <c r="F110" s="116">
        <v>222.7</v>
      </c>
      <c r="G110">
        <v>55531</v>
      </c>
      <c r="H110" s="116"/>
      <c r="I110" s="116"/>
      <c r="L110" s="170">
        <v>42163</v>
      </c>
      <c r="M110" s="116">
        <v>223.05</v>
      </c>
      <c r="N110" s="116">
        <v>225.35</v>
      </c>
      <c r="O110" s="116">
        <v>220.2</v>
      </c>
      <c r="P110" s="116">
        <v>221.2</v>
      </c>
      <c r="Q110" s="116">
        <v>223.05</v>
      </c>
      <c r="R110">
        <v>1452746</v>
      </c>
    </row>
    <row r="111" spans="1:18" x14ac:dyDescent="0.25">
      <c r="A111" s="170">
        <v>42164</v>
      </c>
      <c r="B111" s="116">
        <v>226.45</v>
      </c>
      <c r="C111" s="116">
        <v>225.7</v>
      </c>
      <c r="D111" s="116">
        <v>221.5</v>
      </c>
      <c r="E111" s="116">
        <v>222.3</v>
      </c>
      <c r="F111" s="116">
        <v>225.7</v>
      </c>
      <c r="G111">
        <v>43059</v>
      </c>
      <c r="H111" s="116"/>
      <c r="I111" s="116"/>
      <c r="L111" s="170">
        <v>42164</v>
      </c>
      <c r="M111" s="116">
        <v>225.75</v>
      </c>
      <c r="N111" s="116">
        <v>226.75</v>
      </c>
      <c r="O111" s="116">
        <v>221.4</v>
      </c>
      <c r="P111" s="116">
        <v>222.6</v>
      </c>
      <c r="Q111" s="116">
        <v>225.75</v>
      </c>
      <c r="R111">
        <v>1635006</v>
      </c>
    </row>
    <row r="112" spans="1:18" x14ac:dyDescent="0.25">
      <c r="A112" s="170">
        <v>42165</v>
      </c>
      <c r="B112" s="116">
        <v>227</v>
      </c>
      <c r="C112" s="116">
        <v>226</v>
      </c>
      <c r="D112" s="116">
        <v>222.65</v>
      </c>
      <c r="E112" s="116">
        <v>226</v>
      </c>
      <c r="F112" s="116">
        <v>226</v>
      </c>
      <c r="G112">
        <v>43812</v>
      </c>
      <c r="H112" s="116"/>
      <c r="I112" s="116"/>
      <c r="L112" s="170">
        <v>42165</v>
      </c>
      <c r="M112" s="116">
        <v>225.85</v>
      </c>
      <c r="N112" s="116">
        <v>227.9</v>
      </c>
      <c r="O112" s="116">
        <v>222.5</v>
      </c>
      <c r="P112" s="116">
        <v>225.6</v>
      </c>
      <c r="Q112" s="116">
        <v>225.85</v>
      </c>
      <c r="R112">
        <v>1326034</v>
      </c>
    </row>
    <row r="113" spans="1:18" x14ac:dyDescent="0.25">
      <c r="A113" s="170">
        <v>42166</v>
      </c>
      <c r="B113" s="116">
        <v>232</v>
      </c>
      <c r="C113" s="116">
        <v>222.05</v>
      </c>
      <c r="D113" s="116">
        <v>220.45</v>
      </c>
      <c r="E113" s="116">
        <v>226.1</v>
      </c>
      <c r="F113" s="116">
        <v>222.05</v>
      </c>
      <c r="G113">
        <v>71288</v>
      </c>
      <c r="H113" s="116"/>
      <c r="I113" s="116"/>
      <c r="L113" s="170">
        <v>42166</v>
      </c>
      <c r="M113" s="116">
        <v>221.9</v>
      </c>
      <c r="N113" s="116">
        <v>232.9</v>
      </c>
      <c r="O113" s="116">
        <v>220.2</v>
      </c>
      <c r="P113" s="116">
        <v>227.2</v>
      </c>
      <c r="Q113" s="116">
        <v>221.9</v>
      </c>
      <c r="R113">
        <v>2285209</v>
      </c>
    </row>
    <row r="114" spans="1:18" x14ac:dyDescent="0.25">
      <c r="A114" s="170">
        <v>42167</v>
      </c>
      <c r="B114" s="116">
        <v>221</v>
      </c>
      <c r="C114" s="116">
        <v>219.2</v>
      </c>
      <c r="D114" s="116">
        <v>215.2</v>
      </c>
      <c r="E114" s="116">
        <v>220.1</v>
      </c>
      <c r="F114" s="116">
        <v>219.2</v>
      </c>
      <c r="G114">
        <v>121209</v>
      </c>
      <c r="H114" s="116"/>
      <c r="I114" s="116"/>
      <c r="L114" s="170">
        <v>42167</v>
      </c>
      <c r="M114" s="116">
        <v>218.45</v>
      </c>
      <c r="N114" s="116">
        <v>221.5</v>
      </c>
      <c r="O114" s="116">
        <v>214.8</v>
      </c>
      <c r="P114" s="116">
        <v>220</v>
      </c>
      <c r="Q114" s="116">
        <v>218.45</v>
      </c>
      <c r="R114">
        <v>2071964</v>
      </c>
    </row>
    <row r="115" spans="1:18" x14ac:dyDescent="0.25">
      <c r="A115" s="170">
        <v>42170</v>
      </c>
      <c r="B115" s="116">
        <v>218.9</v>
      </c>
      <c r="C115" s="116">
        <v>215.95</v>
      </c>
      <c r="D115" s="116">
        <v>215.5</v>
      </c>
      <c r="E115" s="116">
        <v>216.55</v>
      </c>
      <c r="F115" s="116">
        <v>215.95</v>
      </c>
      <c r="G115">
        <v>180730</v>
      </c>
      <c r="H115" s="116"/>
      <c r="I115" s="116"/>
      <c r="L115" s="170">
        <v>42170</v>
      </c>
      <c r="M115" s="116">
        <v>215.65</v>
      </c>
      <c r="N115" s="116">
        <v>219.8</v>
      </c>
      <c r="O115" s="116">
        <v>215.1</v>
      </c>
      <c r="P115" s="116">
        <v>218.5</v>
      </c>
      <c r="Q115" s="116">
        <v>215.65</v>
      </c>
      <c r="R115">
        <v>1311042</v>
      </c>
    </row>
    <row r="116" spans="1:18" x14ac:dyDescent="0.25">
      <c r="A116" s="170">
        <v>42171</v>
      </c>
      <c r="B116" s="116">
        <v>219.95</v>
      </c>
      <c r="C116" s="116">
        <v>219.1</v>
      </c>
      <c r="D116" s="116">
        <v>214.05</v>
      </c>
      <c r="E116" s="116">
        <v>216</v>
      </c>
      <c r="F116" s="116">
        <v>219.1</v>
      </c>
      <c r="G116">
        <v>74549</v>
      </c>
      <c r="H116" s="116"/>
      <c r="I116" s="116"/>
      <c r="L116" s="170">
        <v>42171</v>
      </c>
      <c r="M116" s="116">
        <v>219.55</v>
      </c>
      <c r="N116" s="116">
        <v>221</v>
      </c>
      <c r="O116" s="116">
        <v>214.3</v>
      </c>
      <c r="P116" s="116">
        <v>215.65</v>
      </c>
      <c r="Q116" s="116">
        <v>219.55</v>
      </c>
      <c r="R116">
        <v>1211923</v>
      </c>
    </row>
    <row r="117" spans="1:18" x14ac:dyDescent="0.25">
      <c r="A117" s="170">
        <v>42172</v>
      </c>
      <c r="B117" s="116">
        <v>224.9</v>
      </c>
      <c r="C117" s="116">
        <v>222.45</v>
      </c>
      <c r="D117" s="116">
        <v>216.55</v>
      </c>
      <c r="E117" s="116">
        <v>220</v>
      </c>
      <c r="F117" s="116">
        <v>222.45</v>
      </c>
      <c r="G117">
        <v>79125</v>
      </c>
      <c r="H117" s="116"/>
      <c r="I117" s="116"/>
      <c r="L117" s="170">
        <v>42172</v>
      </c>
      <c r="M117" s="116">
        <v>222.05</v>
      </c>
      <c r="N117" s="116">
        <v>224</v>
      </c>
      <c r="O117" s="116">
        <v>216.5</v>
      </c>
      <c r="P117" s="116">
        <v>219.1</v>
      </c>
      <c r="Q117" s="116">
        <v>222.05</v>
      </c>
      <c r="R117">
        <v>1548357</v>
      </c>
    </row>
    <row r="118" spans="1:18" x14ac:dyDescent="0.25">
      <c r="A118" s="170">
        <v>42173</v>
      </c>
      <c r="B118" s="116">
        <v>224.6</v>
      </c>
      <c r="C118" s="116">
        <v>221.9</v>
      </c>
      <c r="D118" s="116">
        <v>220.4</v>
      </c>
      <c r="E118" s="116">
        <v>222.4</v>
      </c>
      <c r="F118" s="116">
        <v>221.9</v>
      </c>
      <c r="G118">
        <v>45983</v>
      </c>
      <c r="H118" s="116"/>
      <c r="I118" s="116"/>
      <c r="L118" s="170">
        <v>42173</v>
      </c>
      <c r="M118" s="116">
        <v>222.15</v>
      </c>
      <c r="N118" s="116">
        <v>224.5</v>
      </c>
      <c r="O118" s="116">
        <v>220.5</v>
      </c>
      <c r="P118" s="116">
        <v>221.7</v>
      </c>
      <c r="Q118" s="116">
        <v>222.15</v>
      </c>
      <c r="R118">
        <v>1018469</v>
      </c>
    </row>
    <row r="119" spans="1:18" x14ac:dyDescent="0.25">
      <c r="A119" s="170">
        <v>42174</v>
      </c>
      <c r="B119" s="116">
        <v>227.3</v>
      </c>
      <c r="C119" s="116">
        <v>226.05</v>
      </c>
      <c r="D119" s="116">
        <v>221.75</v>
      </c>
      <c r="E119" s="116">
        <v>223.7</v>
      </c>
      <c r="F119" s="116">
        <v>226.05</v>
      </c>
      <c r="G119">
        <v>70383</v>
      </c>
      <c r="H119" s="116"/>
      <c r="I119" s="116"/>
      <c r="L119" s="170">
        <v>42174</v>
      </c>
      <c r="M119" s="116">
        <v>226.6</v>
      </c>
      <c r="N119" s="116">
        <v>228</v>
      </c>
      <c r="O119" s="116">
        <v>221.6</v>
      </c>
      <c r="P119" s="116">
        <v>222.55</v>
      </c>
      <c r="Q119" s="116">
        <v>226.6</v>
      </c>
      <c r="R119">
        <v>1392473</v>
      </c>
    </row>
    <row r="120" spans="1:18" x14ac:dyDescent="0.25">
      <c r="A120" s="170">
        <v>42177</v>
      </c>
      <c r="B120" s="116">
        <v>230.7</v>
      </c>
      <c r="C120" s="116">
        <v>228.4</v>
      </c>
      <c r="D120" s="116">
        <v>226</v>
      </c>
      <c r="E120" s="116">
        <v>227.3</v>
      </c>
      <c r="F120" s="116">
        <v>228.4</v>
      </c>
      <c r="G120">
        <v>60379</v>
      </c>
      <c r="H120" s="116"/>
      <c r="I120" s="116"/>
      <c r="L120" s="170">
        <v>42177</v>
      </c>
      <c r="M120" s="116">
        <v>228.45</v>
      </c>
      <c r="N120" s="116">
        <v>230.85</v>
      </c>
      <c r="O120" s="116">
        <v>225.3</v>
      </c>
      <c r="P120" s="116">
        <v>227.85</v>
      </c>
      <c r="Q120" s="116">
        <v>228.45</v>
      </c>
      <c r="R120">
        <v>1162719</v>
      </c>
    </row>
    <row r="121" spans="1:18" x14ac:dyDescent="0.25">
      <c r="A121" s="170">
        <v>42178</v>
      </c>
      <c r="B121" s="116">
        <v>231.15</v>
      </c>
      <c r="C121" s="116">
        <v>230.45</v>
      </c>
      <c r="D121" s="116">
        <v>227.1</v>
      </c>
      <c r="E121" s="116">
        <v>228.4</v>
      </c>
      <c r="F121" s="116">
        <v>230.45</v>
      </c>
      <c r="G121">
        <v>37659</v>
      </c>
      <c r="H121" s="116"/>
      <c r="I121" s="116"/>
      <c r="L121" s="170">
        <v>42178</v>
      </c>
      <c r="M121" s="116">
        <v>230.65</v>
      </c>
      <c r="N121" s="116">
        <v>231.35</v>
      </c>
      <c r="O121" s="116">
        <v>227</v>
      </c>
      <c r="P121" s="116">
        <v>228.45</v>
      </c>
      <c r="Q121" s="116">
        <v>230.65</v>
      </c>
      <c r="R121">
        <v>1256867</v>
      </c>
    </row>
    <row r="122" spans="1:18" x14ac:dyDescent="0.25">
      <c r="A122" s="170">
        <v>42179</v>
      </c>
      <c r="B122" s="116">
        <v>232.5</v>
      </c>
      <c r="C122" s="116">
        <v>226.8</v>
      </c>
      <c r="D122" s="116">
        <v>225.55</v>
      </c>
      <c r="E122" s="116">
        <v>231.7</v>
      </c>
      <c r="F122" s="116">
        <v>226.8</v>
      </c>
      <c r="G122">
        <v>78520</v>
      </c>
      <c r="H122" s="116"/>
      <c r="I122" s="116"/>
      <c r="L122" s="170">
        <v>42179</v>
      </c>
      <c r="M122" s="116">
        <v>227</v>
      </c>
      <c r="N122" s="116">
        <v>232.6</v>
      </c>
      <c r="O122" s="116">
        <v>225.8</v>
      </c>
      <c r="P122" s="116">
        <v>229.9</v>
      </c>
      <c r="Q122" s="116">
        <v>227</v>
      </c>
      <c r="R122">
        <v>1613338</v>
      </c>
    </row>
    <row r="123" spans="1:18" x14ac:dyDescent="0.25">
      <c r="A123" s="170">
        <v>42180</v>
      </c>
      <c r="B123" s="116">
        <v>228.1</v>
      </c>
      <c r="C123" s="116">
        <v>226.8</v>
      </c>
      <c r="D123" s="116">
        <v>224.25</v>
      </c>
      <c r="E123" s="116">
        <v>227.9</v>
      </c>
      <c r="F123" s="116">
        <v>226.8</v>
      </c>
      <c r="G123">
        <v>51322</v>
      </c>
      <c r="H123" s="116"/>
      <c r="I123" s="116"/>
      <c r="L123" s="170">
        <v>42180</v>
      </c>
      <c r="M123" s="116">
        <v>226.6</v>
      </c>
      <c r="N123" s="116">
        <v>228.6</v>
      </c>
      <c r="O123" s="116">
        <v>224.4</v>
      </c>
      <c r="P123" s="116">
        <v>227</v>
      </c>
      <c r="Q123" s="116">
        <v>226.6</v>
      </c>
      <c r="R123">
        <v>2082661</v>
      </c>
    </row>
    <row r="124" spans="1:18" x14ac:dyDescent="0.25">
      <c r="A124" s="170">
        <v>42181</v>
      </c>
      <c r="B124" s="116">
        <v>229.85</v>
      </c>
      <c r="C124" s="116">
        <v>227.3</v>
      </c>
      <c r="D124" s="116">
        <v>225.3</v>
      </c>
      <c r="E124" s="116">
        <v>227.6</v>
      </c>
      <c r="F124" s="116">
        <v>227.3</v>
      </c>
      <c r="G124">
        <v>234898</v>
      </c>
      <c r="H124" s="116"/>
      <c r="I124" s="116"/>
      <c r="L124" s="170">
        <v>42181</v>
      </c>
      <c r="M124" s="116">
        <v>227</v>
      </c>
      <c r="N124" s="116">
        <v>229.8</v>
      </c>
      <c r="O124" s="116">
        <v>225.05</v>
      </c>
      <c r="P124" s="116">
        <v>226.5</v>
      </c>
      <c r="Q124" s="116">
        <v>227</v>
      </c>
      <c r="R124">
        <v>1388968</v>
      </c>
    </row>
    <row r="125" spans="1:18" x14ac:dyDescent="0.25">
      <c r="A125" s="170">
        <v>42184</v>
      </c>
      <c r="B125" s="116">
        <v>228</v>
      </c>
      <c r="C125" s="116">
        <v>227.4</v>
      </c>
      <c r="D125" s="116">
        <v>220.6</v>
      </c>
      <c r="E125" s="116">
        <v>225.75</v>
      </c>
      <c r="F125" s="116">
        <v>227.4</v>
      </c>
      <c r="G125">
        <v>81645</v>
      </c>
      <c r="H125" s="116"/>
      <c r="I125" s="116"/>
      <c r="L125" s="170">
        <v>42184</v>
      </c>
      <c r="M125" s="116">
        <v>227.45</v>
      </c>
      <c r="N125" s="116">
        <v>228.25</v>
      </c>
      <c r="O125" s="116">
        <v>220.25</v>
      </c>
      <c r="P125" s="116">
        <v>224</v>
      </c>
      <c r="Q125" s="116">
        <v>227.45</v>
      </c>
      <c r="R125">
        <v>980547</v>
      </c>
    </row>
    <row r="126" spans="1:18" x14ac:dyDescent="0.25">
      <c r="A126" s="170">
        <v>42185</v>
      </c>
      <c r="B126" s="116">
        <v>230</v>
      </c>
      <c r="C126" s="116">
        <v>229.5</v>
      </c>
      <c r="D126" s="116">
        <v>225</v>
      </c>
      <c r="E126" s="116">
        <v>227.45</v>
      </c>
      <c r="F126" s="116">
        <v>229.5</v>
      </c>
      <c r="G126">
        <v>37086</v>
      </c>
      <c r="H126" s="116"/>
      <c r="I126" s="116"/>
      <c r="L126" s="170">
        <v>42185</v>
      </c>
      <c r="M126" s="116">
        <v>229.9</v>
      </c>
      <c r="N126" s="116">
        <v>230.85</v>
      </c>
      <c r="O126" s="116">
        <v>225</v>
      </c>
      <c r="P126" s="116">
        <v>227</v>
      </c>
      <c r="Q126" s="116">
        <v>229.9</v>
      </c>
      <c r="R126">
        <v>1597249</v>
      </c>
    </row>
    <row r="127" spans="1:18" x14ac:dyDescent="0.25">
      <c r="A127" s="170">
        <v>42186</v>
      </c>
      <c r="B127" s="116">
        <v>239.25</v>
      </c>
      <c r="C127" s="116">
        <v>237.2</v>
      </c>
      <c r="D127" s="116">
        <v>228.9</v>
      </c>
      <c r="E127" s="116">
        <v>230</v>
      </c>
      <c r="F127" s="116">
        <v>237.2</v>
      </c>
      <c r="G127">
        <v>115996</v>
      </c>
      <c r="H127" s="116"/>
      <c r="I127" s="116"/>
      <c r="L127" s="170">
        <v>42186</v>
      </c>
      <c r="M127" s="116">
        <v>238.15</v>
      </c>
      <c r="N127" s="116">
        <v>239.8</v>
      </c>
      <c r="O127" s="116">
        <v>229</v>
      </c>
      <c r="P127" s="116">
        <v>230</v>
      </c>
      <c r="Q127" s="116">
        <v>238.15</v>
      </c>
      <c r="R127">
        <v>2913864</v>
      </c>
    </row>
    <row r="128" spans="1:18" x14ac:dyDescent="0.25">
      <c r="A128" s="170">
        <v>42187</v>
      </c>
      <c r="B128" s="116">
        <v>241.85</v>
      </c>
      <c r="C128" s="116">
        <v>238.75</v>
      </c>
      <c r="D128" s="116">
        <v>235.9</v>
      </c>
      <c r="E128" s="116">
        <v>240</v>
      </c>
      <c r="F128" s="116">
        <v>238.75</v>
      </c>
      <c r="G128">
        <v>128504</v>
      </c>
      <c r="H128" s="116"/>
      <c r="I128" s="116"/>
      <c r="L128" s="170">
        <v>42187</v>
      </c>
      <c r="M128" s="116">
        <v>239.85</v>
      </c>
      <c r="N128" s="116">
        <v>241.9</v>
      </c>
      <c r="O128" s="116">
        <v>235.8</v>
      </c>
      <c r="P128" s="116">
        <v>238.25</v>
      </c>
      <c r="Q128" s="116">
        <v>239.85</v>
      </c>
      <c r="R128">
        <v>2573710</v>
      </c>
    </row>
    <row r="129" spans="1:18" x14ac:dyDescent="0.25">
      <c r="A129" s="170">
        <v>42188</v>
      </c>
      <c r="B129" s="116">
        <v>242.5</v>
      </c>
      <c r="C129" s="116">
        <v>241.7</v>
      </c>
      <c r="D129" s="116">
        <v>238.95</v>
      </c>
      <c r="E129" s="116">
        <v>239.25</v>
      </c>
      <c r="F129" s="116">
        <v>241.7</v>
      </c>
      <c r="G129">
        <v>64229</v>
      </c>
      <c r="H129" s="116"/>
      <c r="I129" s="116"/>
      <c r="L129" s="170">
        <v>42188</v>
      </c>
      <c r="M129" s="116">
        <v>242.35</v>
      </c>
      <c r="N129" s="116">
        <v>243</v>
      </c>
      <c r="O129" s="116">
        <v>239</v>
      </c>
      <c r="P129" s="116">
        <v>239.05</v>
      </c>
      <c r="Q129" s="116">
        <v>242.35</v>
      </c>
      <c r="R129">
        <v>1396131</v>
      </c>
    </row>
    <row r="130" spans="1:18" x14ac:dyDescent="0.25">
      <c r="A130" s="170">
        <v>42191</v>
      </c>
      <c r="B130" s="116">
        <v>247</v>
      </c>
      <c r="C130" s="116">
        <v>245.7</v>
      </c>
      <c r="D130" s="116">
        <v>238.5</v>
      </c>
      <c r="E130" s="116">
        <v>238.5</v>
      </c>
      <c r="F130" s="116">
        <v>245.7</v>
      </c>
      <c r="G130">
        <v>104407</v>
      </c>
      <c r="H130" s="116"/>
      <c r="I130" s="116"/>
      <c r="L130" s="170">
        <v>42191</v>
      </c>
      <c r="M130" s="116">
        <v>245.75</v>
      </c>
      <c r="N130" s="116">
        <v>246.7</v>
      </c>
      <c r="O130" s="116">
        <v>237</v>
      </c>
      <c r="P130" s="116">
        <v>237.1</v>
      </c>
      <c r="Q130" s="116">
        <v>245.75</v>
      </c>
      <c r="R130">
        <v>1515391</v>
      </c>
    </row>
    <row r="131" spans="1:18" x14ac:dyDescent="0.25">
      <c r="A131" s="170">
        <v>42192</v>
      </c>
      <c r="B131" s="116">
        <v>247.55</v>
      </c>
      <c r="C131" s="116">
        <v>245.7</v>
      </c>
      <c r="D131" s="116">
        <v>243.55</v>
      </c>
      <c r="E131" s="116">
        <v>245.8</v>
      </c>
      <c r="F131" s="116">
        <v>245.7</v>
      </c>
      <c r="G131">
        <v>40605</v>
      </c>
      <c r="H131" s="116"/>
      <c r="I131" s="116"/>
      <c r="L131" s="170">
        <v>42192</v>
      </c>
      <c r="M131" s="116">
        <v>245.8</v>
      </c>
      <c r="N131" s="116">
        <v>247.7</v>
      </c>
      <c r="O131" s="116">
        <v>243.6</v>
      </c>
      <c r="P131" s="116">
        <v>245.5</v>
      </c>
      <c r="Q131" s="116">
        <v>245.8</v>
      </c>
      <c r="R131">
        <v>2317825</v>
      </c>
    </row>
    <row r="132" spans="1:18" x14ac:dyDescent="0.25">
      <c r="A132" s="170">
        <v>42193</v>
      </c>
      <c r="B132" s="116">
        <v>243.95</v>
      </c>
      <c r="C132" s="116">
        <v>241.05</v>
      </c>
      <c r="D132" s="116">
        <v>236.75</v>
      </c>
      <c r="E132" s="116">
        <v>243.4</v>
      </c>
      <c r="F132" s="116">
        <v>241.05</v>
      </c>
      <c r="G132">
        <v>112131</v>
      </c>
      <c r="H132" s="116"/>
      <c r="I132" s="116"/>
      <c r="L132" s="170">
        <v>42193</v>
      </c>
      <c r="M132" s="116">
        <v>241</v>
      </c>
      <c r="N132" s="116">
        <v>244.65</v>
      </c>
      <c r="O132" s="116">
        <v>237.1</v>
      </c>
      <c r="P132" s="116">
        <v>244.65</v>
      </c>
      <c r="Q132" s="116">
        <v>241</v>
      </c>
      <c r="R132">
        <v>1262638</v>
      </c>
    </row>
    <row r="133" spans="1:18" x14ac:dyDescent="0.25">
      <c r="A133" s="170">
        <v>42194</v>
      </c>
      <c r="B133" s="116">
        <v>244.75</v>
      </c>
      <c r="C133" s="116">
        <v>242.1</v>
      </c>
      <c r="D133" s="116">
        <v>241.05</v>
      </c>
      <c r="E133" s="116">
        <v>241.05</v>
      </c>
      <c r="F133" s="116">
        <v>242.1</v>
      </c>
      <c r="G133">
        <v>28980</v>
      </c>
      <c r="H133" s="116"/>
      <c r="I133" s="116"/>
      <c r="L133" s="170">
        <v>42194</v>
      </c>
      <c r="M133" s="116">
        <v>242.15</v>
      </c>
      <c r="N133" s="116">
        <v>244.65</v>
      </c>
      <c r="O133" s="116">
        <v>239.5</v>
      </c>
      <c r="P133" s="116">
        <v>239.5</v>
      </c>
      <c r="Q133" s="116">
        <v>242.15</v>
      </c>
      <c r="R133">
        <v>634397</v>
      </c>
    </row>
    <row r="134" spans="1:18" x14ac:dyDescent="0.25">
      <c r="A134" s="170">
        <v>42195</v>
      </c>
      <c r="B134" s="116">
        <v>244.25</v>
      </c>
      <c r="C134" s="116">
        <v>241.6</v>
      </c>
      <c r="D134" s="116">
        <v>238.4</v>
      </c>
      <c r="E134" s="116">
        <v>243.05</v>
      </c>
      <c r="F134" s="116">
        <v>241.6</v>
      </c>
      <c r="G134">
        <v>52913</v>
      </c>
      <c r="H134" s="116"/>
      <c r="I134" s="116"/>
      <c r="L134" s="170">
        <v>42195</v>
      </c>
      <c r="M134" s="116">
        <v>241.95</v>
      </c>
      <c r="N134" s="116">
        <v>244.5</v>
      </c>
      <c r="O134" s="116">
        <v>238.6</v>
      </c>
      <c r="P134" s="116">
        <v>242.15</v>
      </c>
      <c r="Q134" s="116">
        <v>241.95</v>
      </c>
      <c r="R134">
        <v>1117210</v>
      </c>
    </row>
    <row r="135" spans="1:18" x14ac:dyDescent="0.25">
      <c r="A135" s="170">
        <v>42198</v>
      </c>
      <c r="B135" s="116">
        <v>248.4</v>
      </c>
      <c r="C135" s="116">
        <v>247.25</v>
      </c>
      <c r="D135" s="116">
        <v>241.05</v>
      </c>
      <c r="E135" s="116">
        <v>241.75</v>
      </c>
      <c r="F135" s="116">
        <v>247.25</v>
      </c>
      <c r="G135">
        <v>71562</v>
      </c>
      <c r="H135" s="116"/>
      <c r="I135" s="116"/>
      <c r="L135" s="170">
        <v>42198</v>
      </c>
      <c r="M135" s="116">
        <v>247.85</v>
      </c>
      <c r="N135" s="116">
        <v>248.4</v>
      </c>
      <c r="O135" s="116">
        <v>240.6</v>
      </c>
      <c r="P135" s="116">
        <v>241</v>
      </c>
      <c r="Q135" s="116">
        <v>247.85</v>
      </c>
      <c r="R135">
        <v>882744</v>
      </c>
    </row>
    <row r="136" spans="1:18" x14ac:dyDescent="0.25">
      <c r="A136" s="170">
        <v>42199</v>
      </c>
      <c r="B136" s="116">
        <v>253.35</v>
      </c>
      <c r="C136" s="116">
        <v>250.95</v>
      </c>
      <c r="D136" s="116">
        <v>246.7</v>
      </c>
      <c r="E136" s="116">
        <v>248</v>
      </c>
      <c r="F136" s="116">
        <v>250.95</v>
      </c>
      <c r="G136">
        <v>77375</v>
      </c>
      <c r="H136" s="116"/>
      <c r="I136" s="116"/>
      <c r="L136" s="170">
        <v>42199</v>
      </c>
      <c r="M136" s="116">
        <v>252.35</v>
      </c>
      <c r="N136" s="116">
        <v>253.85</v>
      </c>
      <c r="O136" s="116">
        <v>246.45</v>
      </c>
      <c r="P136" s="116">
        <v>248.4</v>
      </c>
      <c r="Q136" s="116">
        <v>252.35</v>
      </c>
      <c r="R136">
        <v>1491806</v>
      </c>
    </row>
    <row r="137" spans="1:18" x14ac:dyDescent="0.25">
      <c r="A137" s="170">
        <v>42200</v>
      </c>
      <c r="B137" s="116">
        <v>256.5</v>
      </c>
      <c r="C137" s="116">
        <v>254.6</v>
      </c>
      <c r="D137" s="116">
        <v>250.5</v>
      </c>
      <c r="E137" s="116">
        <v>253</v>
      </c>
      <c r="F137" s="116">
        <v>254.6</v>
      </c>
      <c r="G137">
        <v>75948</v>
      </c>
      <c r="H137" s="116"/>
      <c r="I137" s="116"/>
      <c r="L137" s="170">
        <v>42200</v>
      </c>
      <c r="M137" s="116">
        <v>255.2</v>
      </c>
      <c r="N137" s="116">
        <v>257.3</v>
      </c>
      <c r="O137" s="116">
        <v>250.2</v>
      </c>
      <c r="P137" s="116">
        <v>252.65</v>
      </c>
      <c r="Q137" s="116">
        <v>255.2</v>
      </c>
      <c r="R137">
        <v>1257139</v>
      </c>
    </row>
    <row r="138" spans="1:18" x14ac:dyDescent="0.25">
      <c r="A138" s="170">
        <v>42201</v>
      </c>
      <c r="B138" s="116">
        <v>255.25</v>
      </c>
      <c r="C138" s="116">
        <v>253.9</v>
      </c>
      <c r="D138" s="116">
        <v>251</v>
      </c>
      <c r="E138" s="116">
        <v>254.5</v>
      </c>
      <c r="F138" s="116">
        <v>253.9</v>
      </c>
      <c r="G138">
        <v>35195</v>
      </c>
      <c r="H138" s="116"/>
      <c r="I138" s="116"/>
      <c r="L138" s="170">
        <v>42201</v>
      </c>
      <c r="M138" s="116">
        <v>254.3</v>
      </c>
      <c r="N138" s="116">
        <v>255.95</v>
      </c>
      <c r="O138" s="116">
        <v>250.85</v>
      </c>
      <c r="P138" s="116">
        <v>255</v>
      </c>
      <c r="Q138" s="116">
        <v>254.3</v>
      </c>
      <c r="R138">
        <v>821358</v>
      </c>
    </row>
    <row r="139" spans="1:18" x14ac:dyDescent="0.25">
      <c r="A139" s="170">
        <v>42202</v>
      </c>
      <c r="B139" s="116">
        <v>256.05</v>
      </c>
      <c r="C139" s="116">
        <v>250.55</v>
      </c>
      <c r="D139" s="116">
        <v>250.05</v>
      </c>
      <c r="E139" s="116">
        <v>253.5</v>
      </c>
      <c r="F139" s="116">
        <v>250.55</v>
      </c>
      <c r="G139">
        <v>123565</v>
      </c>
      <c r="H139" s="116"/>
      <c r="I139" s="116"/>
      <c r="L139" s="170">
        <v>42202</v>
      </c>
      <c r="M139" s="116">
        <v>250.6</v>
      </c>
      <c r="N139" s="116">
        <v>256.60000000000002</v>
      </c>
      <c r="O139" s="116">
        <v>250.05</v>
      </c>
      <c r="P139" s="116">
        <v>256.60000000000002</v>
      </c>
      <c r="Q139" s="116">
        <v>250.6</v>
      </c>
      <c r="R139">
        <v>6722087</v>
      </c>
    </row>
    <row r="140" spans="1:18" x14ac:dyDescent="0.25">
      <c r="A140" s="170">
        <v>42205</v>
      </c>
      <c r="B140" s="116">
        <v>252.25</v>
      </c>
      <c r="C140" s="116">
        <v>251.45</v>
      </c>
      <c r="D140" s="116">
        <v>245.55</v>
      </c>
      <c r="E140" s="116">
        <v>250.6</v>
      </c>
      <c r="F140" s="116">
        <v>251.45</v>
      </c>
      <c r="G140">
        <v>79483</v>
      </c>
      <c r="H140" s="116"/>
      <c r="I140" s="116"/>
      <c r="L140" s="170">
        <v>42205</v>
      </c>
      <c r="M140" s="116">
        <v>251.35</v>
      </c>
      <c r="N140" s="116">
        <v>252.4</v>
      </c>
      <c r="O140" s="116">
        <v>245.4</v>
      </c>
      <c r="P140" s="116">
        <v>250</v>
      </c>
      <c r="Q140" s="116">
        <v>251.35</v>
      </c>
      <c r="R140">
        <v>2520171</v>
      </c>
    </row>
    <row r="141" spans="1:18" x14ac:dyDescent="0.25">
      <c r="A141" s="170">
        <v>42206</v>
      </c>
      <c r="B141" s="116">
        <v>252.95</v>
      </c>
      <c r="C141" s="116">
        <v>242.2</v>
      </c>
      <c r="D141" s="116">
        <v>241.5</v>
      </c>
      <c r="E141" s="116">
        <v>251.35</v>
      </c>
      <c r="F141" s="116">
        <v>242.2</v>
      </c>
      <c r="G141">
        <v>62577</v>
      </c>
      <c r="H141" s="116"/>
      <c r="I141" s="116"/>
      <c r="L141" s="170">
        <v>42206</v>
      </c>
      <c r="M141" s="116">
        <v>242.1</v>
      </c>
      <c r="N141" s="116">
        <v>253.2</v>
      </c>
      <c r="O141" s="116">
        <v>241.15</v>
      </c>
      <c r="P141" s="116">
        <v>251</v>
      </c>
      <c r="Q141" s="116">
        <v>242.1</v>
      </c>
      <c r="R141">
        <v>1874950</v>
      </c>
    </row>
    <row r="142" spans="1:18" x14ac:dyDescent="0.25">
      <c r="A142" s="170">
        <v>42207</v>
      </c>
      <c r="B142" s="116">
        <v>247.2</v>
      </c>
      <c r="C142" s="116">
        <v>246.55</v>
      </c>
      <c r="D142" s="116">
        <v>239</v>
      </c>
      <c r="E142" s="116">
        <v>242</v>
      </c>
      <c r="F142" s="116">
        <v>246.55</v>
      </c>
      <c r="G142">
        <v>78873</v>
      </c>
      <c r="H142" s="116"/>
      <c r="I142" s="116"/>
      <c r="L142" s="170">
        <v>42207</v>
      </c>
      <c r="M142" s="116">
        <v>246.55</v>
      </c>
      <c r="N142" s="116">
        <v>247.35</v>
      </c>
      <c r="O142" s="116">
        <v>239.05</v>
      </c>
      <c r="P142" s="116">
        <v>241.3</v>
      </c>
      <c r="Q142" s="116">
        <v>246.55</v>
      </c>
      <c r="R142">
        <v>928326</v>
      </c>
    </row>
    <row r="143" spans="1:18" x14ac:dyDescent="0.25">
      <c r="A143" s="170">
        <v>42208</v>
      </c>
      <c r="B143" s="116">
        <v>247</v>
      </c>
      <c r="C143" s="116">
        <v>244.45</v>
      </c>
      <c r="D143" s="116">
        <v>242.85</v>
      </c>
      <c r="E143" s="116">
        <v>247</v>
      </c>
      <c r="F143" s="116">
        <v>244.45</v>
      </c>
      <c r="G143">
        <v>25377</v>
      </c>
      <c r="H143" s="116"/>
      <c r="I143" s="116"/>
      <c r="L143" s="170">
        <v>42208</v>
      </c>
      <c r="M143" s="116">
        <v>244.45</v>
      </c>
      <c r="N143" s="116">
        <v>247.6</v>
      </c>
      <c r="O143" s="116">
        <v>242.9</v>
      </c>
      <c r="P143" s="116">
        <v>247.5</v>
      </c>
      <c r="Q143" s="116">
        <v>244.45</v>
      </c>
      <c r="R143">
        <v>609596</v>
      </c>
    </row>
    <row r="144" spans="1:18" x14ac:dyDescent="0.25">
      <c r="A144" s="170">
        <v>42209</v>
      </c>
      <c r="B144" s="116">
        <v>244.8</v>
      </c>
      <c r="C144" s="116">
        <v>240.35</v>
      </c>
      <c r="D144" s="116">
        <v>239.1</v>
      </c>
      <c r="E144" s="116">
        <v>242.1</v>
      </c>
      <c r="F144" s="116">
        <v>240.35</v>
      </c>
      <c r="G144">
        <v>75430</v>
      </c>
      <c r="H144" s="116"/>
      <c r="I144" s="116"/>
      <c r="L144" s="170">
        <v>42209</v>
      </c>
      <c r="M144" s="116">
        <v>240.15</v>
      </c>
      <c r="N144" s="116">
        <v>245.7</v>
      </c>
      <c r="O144" s="116">
        <v>239</v>
      </c>
      <c r="P144" s="116">
        <v>242.6</v>
      </c>
      <c r="Q144" s="116">
        <v>240.15</v>
      </c>
      <c r="R144">
        <v>1229746</v>
      </c>
    </row>
    <row r="145" spans="1:18" x14ac:dyDescent="0.25">
      <c r="A145" s="170">
        <v>42212</v>
      </c>
      <c r="B145" s="116">
        <v>241.3</v>
      </c>
      <c r="C145" s="116">
        <v>234.3</v>
      </c>
      <c r="D145" s="116">
        <v>232.7</v>
      </c>
      <c r="E145" s="116">
        <v>236.1</v>
      </c>
      <c r="F145" s="116">
        <v>234.3</v>
      </c>
      <c r="G145">
        <v>116377</v>
      </c>
      <c r="H145" s="116"/>
      <c r="I145" s="116"/>
      <c r="L145" s="170">
        <v>42212</v>
      </c>
      <c r="M145" s="116">
        <v>234.05</v>
      </c>
      <c r="N145" s="116">
        <v>241.65</v>
      </c>
      <c r="O145" s="116">
        <v>232.15</v>
      </c>
      <c r="P145" s="116">
        <v>237.1</v>
      </c>
      <c r="Q145" s="116">
        <v>234.05</v>
      </c>
      <c r="R145">
        <v>2260013</v>
      </c>
    </row>
    <row r="146" spans="1:18" x14ac:dyDescent="0.25">
      <c r="A146" s="170">
        <v>42213</v>
      </c>
      <c r="B146" s="116">
        <v>237.25</v>
      </c>
      <c r="C146" s="116">
        <v>230.5</v>
      </c>
      <c r="D146" s="116">
        <v>227.6</v>
      </c>
      <c r="E146" s="116">
        <v>227.6</v>
      </c>
      <c r="F146" s="116">
        <v>230.5</v>
      </c>
      <c r="G146">
        <v>155370</v>
      </c>
      <c r="H146" s="116"/>
      <c r="I146" s="116"/>
      <c r="L146" s="170">
        <v>42213</v>
      </c>
      <c r="M146" s="116">
        <v>230.2</v>
      </c>
      <c r="N146" s="116">
        <v>237.7</v>
      </c>
      <c r="O146" s="116">
        <v>228.1</v>
      </c>
      <c r="P146" s="116">
        <v>229.75</v>
      </c>
      <c r="Q146" s="116">
        <v>230.2</v>
      </c>
      <c r="R146">
        <v>3148609</v>
      </c>
    </row>
    <row r="147" spans="1:18" x14ac:dyDescent="0.25">
      <c r="A147" s="170">
        <v>42214</v>
      </c>
      <c r="B147" s="116">
        <v>234.8</v>
      </c>
      <c r="C147" s="116">
        <v>233.65</v>
      </c>
      <c r="D147" s="116">
        <v>226.9</v>
      </c>
      <c r="E147" s="116">
        <v>231</v>
      </c>
      <c r="F147" s="116">
        <v>233.65</v>
      </c>
      <c r="G147">
        <v>95617</v>
      </c>
      <c r="H147" s="116"/>
      <c r="I147" s="116"/>
      <c r="L147" s="170">
        <v>42214</v>
      </c>
      <c r="M147" s="116">
        <v>233.55</v>
      </c>
      <c r="N147" s="116">
        <v>234.9</v>
      </c>
      <c r="O147" s="116">
        <v>226.75</v>
      </c>
      <c r="P147" s="116">
        <v>230.3</v>
      </c>
      <c r="Q147" s="116">
        <v>233.55</v>
      </c>
      <c r="R147">
        <v>1599267</v>
      </c>
    </row>
    <row r="148" spans="1:18" x14ac:dyDescent="0.25">
      <c r="A148" s="170">
        <v>42215</v>
      </c>
      <c r="B148" s="116">
        <v>235.5</v>
      </c>
      <c r="C148" s="116">
        <v>231.15</v>
      </c>
      <c r="D148" s="116">
        <v>229.85</v>
      </c>
      <c r="E148" s="116">
        <v>234.25</v>
      </c>
      <c r="F148" s="116">
        <v>231.15</v>
      </c>
      <c r="G148">
        <v>87913</v>
      </c>
      <c r="H148" s="116"/>
      <c r="I148" s="116"/>
      <c r="L148" s="170">
        <v>42215</v>
      </c>
      <c r="M148" s="116">
        <v>231.05</v>
      </c>
      <c r="N148" s="116">
        <v>235.8</v>
      </c>
      <c r="O148" s="116">
        <v>229.7</v>
      </c>
      <c r="P148" s="116">
        <v>233.5</v>
      </c>
      <c r="Q148" s="116">
        <v>231.05</v>
      </c>
      <c r="R148">
        <v>2314400</v>
      </c>
    </row>
    <row r="149" spans="1:18" x14ac:dyDescent="0.25">
      <c r="A149" s="170">
        <v>42216</v>
      </c>
      <c r="B149" s="116">
        <v>234.2</v>
      </c>
      <c r="C149" s="116">
        <v>232.45</v>
      </c>
      <c r="D149" s="116">
        <v>231</v>
      </c>
      <c r="E149" s="116">
        <v>232</v>
      </c>
      <c r="F149" s="116">
        <v>232.45</v>
      </c>
      <c r="G149">
        <v>42988</v>
      </c>
      <c r="H149" s="116"/>
      <c r="I149" s="116"/>
      <c r="L149" s="170">
        <v>42216</v>
      </c>
      <c r="M149" s="116">
        <v>232.3</v>
      </c>
      <c r="N149" s="116">
        <v>234.4</v>
      </c>
      <c r="O149" s="116">
        <v>230.9</v>
      </c>
      <c r="P149" s="116">
        <v>231.5</v>
      </c>
      <c r="Q149" s="116">
        <v>232.3</v>
      </c>
      <c r="R149">
        <v>1135189</v>
      </c>
    </row>
    <row r="150" spans="1:18" x14ac:dyDescent="0.25">
      <c r="A150" s="170">
        <v>42219</v>
      </c>
      <c r="B150" s="116">
        <v>233</v>
      </c>
      <c r="C150" s="116">
        <v>229.05</v>
      </c>
      <c r="D150" s="116">
        <v>227.1</v>
      </c>
      <c r="E150" s="116">
        <v>233</v>
      </c>
      <c r="F150" s="116">
        <v>229.05</v>
      </c>
      <c r="G150">
        <v>56621</v>
      </c>
      <c r="H150" s="116"/>
      <c r="I150" s="116"/>
      <c r="L150" s="170">
        <v>42219</v>
      </c>
      <c r="M150" s="116">
        <v>229.6</v>
      </c>
      <c r="N150" s="116">
        <v>232.6</v>
      </c>
      <c r="O150" s="116">
        <v>228.5</v>
      </c>
      <c r="P150" s="116">
        <v>231.25</v>
      </c>
      <c r="Q150" s="116">
        <v>229.6</v>
      </c>
      <c r="R150">
        <v>1027084</v>
      </c>
    </row>
    <row r="151" spans="1:18" x14ac:dyDescent="0.25">
      <c r="A151" s="170">
        <v>42220</v>
      </c>
      <c r="B151" s="116">
        <v>231.25</v>
      </c>
      <c r="C151" s="116">
        <v>228.95</v>
      </c>
      <c r="D151" s="116">
        <v>226</v>
      </c>
      <c r="E151" s="116">
        <v>230</v>
      </c>
      <c r="F151" s="116">
        <v>228.95</v>
      </c>
      <c r="G151">
        <v>60331</v>
      </c>
      <c r="H151" s="116"/>
      <c r="I151" s="116"/>
      <c r="L151" s="170">
        <v>42220</v>
      </c>
      <c r="M151" s="116">
        <v>229.1</v>
      </c>
      <c r="N151" s="116">
        <v>231.4</v>
      </c>
      <c r="O151" s="116">
        <v>226</v>
      </c>
      <c r="P151" s="116">
        <v>230.5</v>
      </c>
      <c r="Q151" s="116">
        <v>229.1</v>
      </c>
      <c r="R151">
        <v>985064</v>
      </c>
    </row>
    <row r="152" spans="1:18" x14ac:dyDescent="0.25">
      <c r="A152" s="170">
        <v>42221</v>
      </c>
      <c r="B152" s="116">
        <v>232.75</v>
      </c>
      <c r="C152" s="116">
        <v>230.05</v>
      </c>
      <c r="D152" s="116">
        <v>229.15</v>
      </c>
      <c r="E152" s="116">
        <v>230</v>
      </c>
      <c r="F152" s="116">
        <v>230.05</v>
      </c>
      <c r="G152">
        <v>62336</v>
      </c>
      <c r="H152" s="116"/>
      <c r="I152" s="116"/>
      <c r="L152" s="170">
        <v>42221</v>
      </c>
      <c r="M152" s="116">
        <v>229.65</v>
      </c>
      <c r="N152" s="116">
        <v>232.5</v>
      </c>
      <c r="O152" s="116">
        <v>228.9</v>
      </c>
      <c r="P152" s="116">
        <v>230</v>
      </c>
      <c r="Q152" s="116">
        <v>229.65</v>
      </c>
      <c r="R152">
        <v>741013</v>
      </c>
    </row>
    <row r="153" spans="1:18" x14ac:dyDescent="0.25">
      <c r="A153" s="170">
        <v>42222</v>
      </c>
      <c r="B153" s="116">
        <v>232.5</v>
      </c>
      <c r="C153" s="116">
        <v>229.95</v>
      </c>
      <c r="D153" s="116">
        <v>228</v>
      </c>
      <c r="E153" s="116">
        <v>230.05</v>
      </c>
      <c r="F153" s="116">
        <v>229.95</v>
      </c>
      <c r="G153">
        <v>101365</v>
      </c>
      <c r="H153" s="116"/>
      <c r="I153" s="116"/>
      <c r="L153" s="170">
        <v>42222</v>
      </c>
      <c r="M153" s="116">
        <v>230.35</v>
      </c>
      <c r="N153" s="116">
        <v>233.15</v>
      </c>
      <c r="O153" s="116">
        <v>227.95</v>
      </c>
      <c r="P153" s="116">
        <v>230.2</v>
      </c>
      <c r="Q153" s="116">
        <v>230.35</v>
      </c>
      <c r="R153">
        <v>1552864</v>
      </c>
    </row>
    <row r="154" spans="1:18" x14ac:dyDescent="0.25">
      <c r="A154" s="170">
        <v>42223</v>
      </c>
      <c r="B154" s="116">
        <v>231.4</v>
      </c>
      <c r="C154" s="116">
        <v>228.5</v>
      </c>
      <c r="D154" s="116">
        <v>228</v>
      </c>
      <c r="E154" s="116">
        <v>230.1</v>
      </c>
      <c r="F154" s="116">
        <v>228.5</v>
      </c>
      <c r="G154">
        <v>55978</v>
      </c>
      <c r="H154" s="116"/>
      <c r="I154" s="116"/>
      <c r="L154" s="170">
        <v>42223</v>
      </c>
      <c r="M154" s="116">
        <v>228.5</v>
      </c>
      <c r="N154" s="116">
        <v>231.65</v>
      </c>
      <c r="O154" s="116">
        <v>227.95</v>
      </c>
      <c r="P154" s="116">
        <v>231.3</v>
      </c>
      <c r="Q154" s="116">
        <v>228.5</v>
      </c>
      <c r="R154">
        <v>1059600</v>
      </c>
    </row>
    <row r="155" spans="1:18" x14ac:dyDescent="0.25">
      <c r="A155" s="170">
        <v>42226</v>
      </c>
      <c r="B155" s="116">
        <v>230.6</v>
      </c>
      <c r="C155" s="116">
        <v>226.45</v>
      </c>
      <c r="D155" s="116">
        <v>224.7</v>
      </c>
      <c r="E155" s="116">
        <v>229.05</v>
      </c>
      <c r="F155" s="116">
        <v>226.45</v>
      </c>
      <c r="G155">
        <v>45571</v>
      </c>
      <c r="H155" s="116"/>
      <c r="I155" s="116"/>
      <c r="L155" s="170">
        <v>42226</v>
      </c>
      <c r="M155" s="116">
        <v>226.65</v>
      </c>
      <c r="N155" s="116">
        <v>230.4</v>
      </c>
      <c r="O155" s="116">
        <v>225</v>
      </c>
      <c r="P155" s="116">
        <v>228.9</v>
      </c>
      <c r="Q155" s="116">
        <v>226.65</v>
      </c>
      <c r="R155">
        <v>833181</v>
      </c>
    </row>
    <row r="156" spans="1:18" x14ac:dyDescent="0.25">
      <c r="A156" s="170">
        <v>42227</v>
      </c>
      <c r="B156" s="116">
        <v>226.2</v>
      </c>
      <c r="C156" s="116">
        <v>222.95</v>
      </c>
      <c r="D156" s="116">
        <v>221.3</v>
      </c>
      <c r="E156" s="116">
        <v>226</v>
      </c>
      <c r="F156" s="116">
        <v>222.95</v>
      </c>
      <c r="G156">
        <v>54466</v>
      </c>
      <c r="H156" s="116"/>
      <c r="I156" s="116"/>
      <c r="L156" s="170">
        <v>42227</v>
      </c>
      <c r="M156" s="116">
        <v>222.6</v>
      </c>
      <c r="N156" s="116">
        <v>226.5</v>
      </c>
      <c r="O156" s="116">
        <v>221.2</v>
      </c>
      <c r="P156" s="116">
        <v>226.05</v>
      </c>
      <c r="Q156" s="116">
        <v>222.6</v>
      </c>
      <c r="R156">
        <v>1663784</v>
      </c>
    </row>
    <row r="157" spans="1:18" x14ac:dyDescent="0.25">
      <c r="A157" s="170">
        <v>42228</v>
      </c>
      <c r="B157" s="116">
        <v>224.7</v>
      </c>
      <c r="C157" s="116">
        <v>222.9</v>
      </c>
      <c r="D157" s="116">
        <v>219.3</v>
      </c>
      <c r="E157" s="116">
        <v>223</v>
      </c>
      <c r="F157" s="116">
        <v>222.9</v>
      </c>
      <c r="G157">
        <v>68304</v>
      </c>
      <c r="H157" s="116"/>
      <c r="I157" s="116"/>
      <c r="L157" s="170">
        <v>42228</v>
      </c>
      <c r="M157" s="116">
        <v>223.25</v>
      </c>
      <c r="N157" s="116">
        <v>224.8</v>
      </c>
      <c r="O157" s="116">
        <v>219.25</v>
      </c>
      <c r="P157" s="116">
        <v>222.05</v>
      </c>
      <c r="Q157" s="116">
        <v>223.25</v>
      </c>
      <c r="R157">
        <v>1937108</v>
      </c>
    </row>
    <row r="158" spans="1:18" x14ac:dyDescent="0.25">
      <c r="A158" s="170">
        <v>42229</v>
      </c>
      <c r="B158" s="116">
        <v>225.65</v>
      </c>
      <c r="C158" s="116">
        <v>222.05</v>
      </c>
      <c r="D158" s="116">
        <v>221.45</v>
      </c>
      <c r="E158" s="116">
        <v>223</v>
      </c>
      <c r="F158" s="116">
        <v>222.05</v>
      </c>
      <c r="G158">
        <v>106447</v>
      </c>
      <c r="H158" s="116"/>
      <c r="I158" s="116"/>
      <c r="L158" s="170">
        <v>42229</v>
      </c>
      <c r="M158" s="116">
        <v>222.1</v>
      </c>
      <c r="N158" s="116">
        <v>225.8</v>
      </c>
      <c r="O158" s="116">
        <v>205</v>
      </c>
      <c r="P158" s="116">
        <v>223.8</v>
      </c>
      <c r="Q158" s="116">
        <v>222.1</v>
      </c>
      <c r="R158">
        <v>1686056</v>
      </c>
    </row>
    <row r="159" spans="1:18" x14ac:dyDescent="0.25">
      <c r="A159" s="170">
        <v>42230</v>
      </c>
      <c r="B159" s="116">
        <v>226.45</v>
      </c>
      <c r="C159" s="116">
        <v>225.6</v>
      </c>
      <c r="D159" s="116">
        <v>221.35</v>
      </c>
      <c r="E159" s="116">
        <v>222.1</v>
      </c>
      <c r="F159" s="116">
        <v>225.6</v>
      </c>
      <c r="G159">
        <v>58574</v>
      </c>
      <c r="H159" s="116"/>
      <c r="I159" s="116"/>
      <c r="L159" s="170">
        <v>42230</v>
      </c>
      <c r="M159" s="116">
        <v>226.3</v>
      </c>
      <c r="N159" s="116">
        <v>227.2</v>
      </c>
      <c r="O159" s="116">
        <v>221.05</v>
      </c>
      <c r="P159" s="116">
        <v>222.65</v>
      </c>
      <c r="Q159" s="116">
        <v>226.3</v>
      </c>
      <c r="R159">
        <v>754609</v>
      </c>
    </row>
    <row r="160" spans="1:18" x14ac:dyDescent="0.25">
      <c r="A160" s="170">
        <v>42233</v>
      </c>
      <c r="B160" s="116">
        <v>227.5</v>
      </c>
      <c r="C160" s="116">
        <v>225.3</v>
      </c>
      <c r="D160" s="116">
        <v>221.55</v>
      </c>
      <c r="E160" s="116">
        <v>225.6</v>
      </c>
      <c r="F160" s="116">
        <v>225.3</v>
      </c>
      <c r="G160">
        <v>60923</v>
      </c>
      <c r="H160" s="116"/>
      <c r="I160" s="116"/>
      <c r="L160" s="170">
        <v>42233</v>
      </c>
      <c r="M160" s="116">
        <v>226.3</v>
      </c>
      <c r="N160" s="116">
        <v>227.7</v>
      </c>
      <c r="O160" s="116">
        <v>221.45</v>
      </c>
      <c r="P160" s="116">
        <v>225.85</v>
      </c>
      <c r="Q160" s="116">
        <v>226.3</v>
      </c>
      <c r="R160">
        <v>1935464</v>
      </c>
    </row>
    <row r="161" spans="1:18" x14ac:dyDescent="0.25">
      <c r="A161" s="170">
        <v>42234</v>
      </c>
      <c r="B161" s="116">
        <v>228.65</v>
      </c>
      <c r="C161" s="116">
        <v>226.7</v>
      </c>
      <c r="D161" s="116">
        <v>225.3</v>
      </c>
      <c r="E161" s="116">
        <v>225.3</v>
      </c>
      <c r="F161" s="116">
        <v>226.7</v>
      </c>
      <c r="G161">
        <v>33432</v>
      </c>
      <c r="H161" s="116"/>
      <c r="I161" s="116"/>
      <c r="L161" s="170">
        <v>42234</v>
      </c>
      <c r="M161" s="116">
        <v>227.1</v>
      </c>
      <c r="N161" s="116">
        <v>228.7</v>
      </c>
      <c r="O161" s="116">
        <v>225.1</v>
      </c>
      <c r="P161" s="116">
        <v>226.1</v>
      </c>
      <c r="Q161" s="116">
        <v>227.1</v>
      </c>
      <c r="R161">
        <v>930090</v>
      </c>
    </row>
    <row r="162" spans="1:18" x14ac:dyDescent="0.25">
      <c r="A162" s="170">
        <v>42235</v>
      </c>
      <c r="B162" s="116">
        <v>232.3</v>
      </c>
      <c r="C162" s="116">
        <v>230.9</v>
      </c>
      <c r="D162" s="116">
        <v>225.65</v>
      </c>
      <c r="E162" s="116">
        <v>228</v>
      </c>
      <c r="F162" s="116">
        <v>230.9</v>
      </c>
      <c r="G162">
        <v>262638</v>
      </c>
      <c r="H162" s="116"/>
      <c r="I162" s="116"/>
      <c r="L162" s="170">
        <v>42235</v>
      </c>
      <c r="M162" s="116">
        <v>231</v>
      </c>
      <c r="N162" s="116">
        <v>232.3</v>
      </c>
      <c r="O162" s="116">
        <v>225.3</v>
      </c>
      <c r="P162" s="116">
        <v>226.55</v>
      </c>
      <c r="Q162" s="116">
        <v>231</v>
      </c>
      <c r="R162">
        <v>2290638</v>
      </c>
    </row>
    <row r="163" spans="1:18" x14ac:dyDescent="0.25">
      <c r="A163" s="170">
        <v>42236</v>
      </c>
      <c r="B163" s="116">
        <v>231.9</v>
      </c>
      <c r="C163" s="116">
        <v>223.9</v>
      </c>
      <c r="D163" s="116">
        <v>222.1</v>
      </c>
      <c r="E163" s="116">
        <v>231.9</v>
      </c>
      <c r="F163" s="116">
        <v>223.9</v>
      </c>
      <c r="G163">
        <v>80748</v>
      </c>
      <c r="H163" s="116"/>
      <c r="I163" s="116"/>
      <c r="L163" s="170">
        <v>42236</v>
      </c>
      <c r="M163" s="116">
        <v>223.95</v>
      </c>
      <c r="N163" s="116">
        <v>230.5</v>
      </c>
      <c r="O163" s="116">
        <v>222</v>
      </c>
      <c r="P163" s="116">
        <v>228.1</v>
      </c>
      <c r="Q163" s="116">
        <v>223.95</v>
      </c>
      <c r="R163">
        <v>1763388</v>
      </c>
    </row>
    <row r="164" spans="1:18" x14ac:dyDescent="0.25">
      <c r="A164" s="170">
        <v>42237</v>
      </c>
      <c r="B164" s="116">
        <v>236.6</v>
      </c>
      <c r="C164" s="116">
        <v>226.75</v>
      </c>
      <c r="D164" s="116">
        <v>221.8</v>
      </c>
      <c r="E164" s="116">
        <v>222</v>
      </c>
      <c r="F164" s="116">
        <v>226.75</v>
      </c>
      <c r="G164">
        <v>101349</v>
      </c>
      <c r="H164" s="116"/>
      <c r="I164" s="116"/>
      <c r="L164" s="170">
        <v>42237</v>
      </c>
      <c r="M164" s="116">
        <v>227.05</v>
      </c>
      <c r="N164" s="116">
        <v>237.9</v>
      </c>
      <c r="O164" s="116">
        <v>220.9</v>
      </c>
      <c r="P164" s="116">
        <v>221.2</v>
      </c>
      <c r="Q164" s="116">
        <v>227.05</v>
      </c>
      <c r="R164">
        <v>3353922</v>
      </c>
    </row>
    <row r="165" spans="1:18" x14ac:dyDescent="0.25">
      <c r="A165" s="170">
        <v>42240</v>
      </c>
      <c r="B165" s="116">
        <v>222.85</v>
      </c>
      <c r="C165" s="116">
        <v>213.25</v>
      </c>
      <c r="D165" s="116">
        <v>211.4</v>
      </c>
      <c r="E165" s="116">
        <v>222.4</v>
      </c>
      <c r="F165" s="116">
        <v>213.25</v>
      </c>
      <c r="G165">
        <v>249581</v>
      </c>
      <c r="H165" s="116"/>
      <c r="I165" s="116"/>
      <c r="L165" s="170">
        <v>42240</v>
      </c>
      <c r="M165" s="116">
        <v>212.15</v>
      </c>
      <c r="N165" s="116">
        <v>223.45</v>
      </c>
      <c r="O165" s="116">
        <v>209.5</v>
      </c>
      <c r="P165" s="116">
        <v>223.45</v>
      </c>
      <c r="Q165" s="116">
        <v>212.15</v>
      </c>
      <c r="R165">
        <v>3420210</v>
      </c>
    </row>
    <row r="166" spans="1:18" x14ac:dyDescent="0.25">
      <c r="A166" s="170">
        <v>42241</v>
      </c>
      <c r="B166" s="116">
        <v>215.5</v>
      </c>
      <c r="C166" s="116">
        <v>208.4</v>
      </c>
      <c r="D166" s="116">
        <v>202.3</v>
      </c>
      <c r="E166" s="116">
        <v>215</v>
      </c>
      <c r="F166" s="116">
        <v>208.4</v>
      </c>
      <c r="G166">
        <v>151584</v>
      </c>
      <c r="H166" s="116"/>
      <c r="I166" s="116"/>
      <c r="L166" s="170">
        <v>42241</v>
      </c>
      <c r="M166" s="116">
        <v>207.6</v>
      </c>
      <c r="N166" s="116">
        <v>216</v>
      </c>
      <c r="O166" s="116">
        <v>202.1</v>
      </c>
      <c r="P166" s="116">
        <v>213</v>
      </c>
      <c r="Q166" s="116">
        <v>207.6</v>
      </c>
      <c r="R166">
        <v>5337022</v>
      </c>
    </row>
    <row r="167" spans="1:18" x14ac:dyDescent="0.25">
      <c r="A167" s="170">
        <v>42242</v>
      </c>
      <c r="B167" s="116">
        <v>210</v>
      </c>
      <c r="C167" s="116">
        <v>199</v>
      </c>
      <c r="D167" s="116">
        <v>198</v>
      </c>
      <c r="E167" s="116">
        <v>210</v>
      </c>
      <c r="F167" s="116">
        <v>199</v>
      </c>
      <c r="G167">
        <v>5229050</v>
      </c>
      <c r="H167" s="116"/>
      <c r="I167" s="116"/>
      <c r="L167" s="170">
        <v>42242</v>
      </c>
      <c r="M167" s="116">
        <v>198.2</v>
      </c>
      <c r="N167" s="116">
        <v>207.5</v>
      </c>
      <c r="O167" s="116">
        <v>197.4</v>
      </c>
      <c r="P167" s="116">
        <v>207</v>
      </c>
      <c r="Q167" s="116">
        <v>198.2</v>
      </c>
      <c r="R167">
        <v>13203158</v>
      </c>
    </row>
    <row r="168" spans="1:18" x14ac:dyDescent="0.25">
      <c r="A168" s="170">
        <v>42243</v>
      </c>
      <c r="B168" s="116">
        <v>211</v>
      </c>
      <c r="C168" s="116">
        <v>210.1</v>
      </c>
      <c r="D168" s="116">
        <v>200.5</v>
      </c>
      <c r="E168" s="116">
        <v>203.5</v>
      </c>
      <c r="F168" s="116">
        <v>210.1</v>
      </c>
      <c r="G168">
        <v>200051</v>
      </c>
      <c r="H168" s="116"/>
      <c r="I168" s="116"/>
      <c r="L168" s="170">
        <v>42243</v>
      </c>
      <c r="M168" s="116">
        <v>209.9</v>
      </c>
      <c r="N168" s="116">
        <v>211</v>
      </c>
      <c r="O168" s="116">
        <v>200.3</v>
      </c>
      <c r="P168" s="116">
        <v>204</v>
      </c>
      <c r="Q168" s="116">
        <v>209.9</v>
      </c>
      <c r="R168">
        <v>9588672</v>
      </c>
    </row>
    <row r="169" spans="1:18" x14ac:dyDescent="0.25">
      <c r="A169" s="170">
        <v>42244</v>
      </c>
      <c r="B169" s="116">
        <v>214</v>
      </c>
      <c r="C169" s="116">
        <v>206.1</v>
      </c>
      <c r="D169" s="116">
        <v>205</v>
      </c>
      <c r="E169" s="116">
        <v>214</v>
      </c>
      <c r="F169" s="116">
        <v>206.1</v>
      </c>
      <c r="G169">
        <v>167878</v>
      </c>
      <c r="H169" s="116"/>
      <c r="I169" s="116"/>
      <c r="L169" s="170">
        <v>42244</v>
      </c>
      <c r="M169" s="116">
        <v>206.1</v>
      </c>
      <c r="N169" s="116">
        <v>212.9</v>
      </c>
      <c r="O169" s="116">
        <v>204.85</v>
      </c>
      <c r="P169" s="116">
        <v>212</v>
      </c>
      <c r="Q169" s="116">
        <v>206.1</v>
      </c>
      <c r="R169">
        <v>2305680</v>
      </c>
    </row>
    <row r="170" spans="1:18" x14ac:dyDescent="0.25">
      <c r="A170" s="170">
        <v>42247</v>
      </c>
      <c r="B170" s="116">
        <v>211.45</v>
      </c>
      <c r="C170" s="116">
        <v>207.4</v>
      </c>
      <c r="D170" s="116">
        <v>202.5</v>
      </c>
      <c r="E170" s="116">
        <v>207.2</v>
      </c>
      <c r="F170" s="116">
        <v>207.4</v>
      </c>
      <c r="G170">
        <v>99118</v>
      </c>
      <c r="H170" s="116"/>
      <c r="I170" s="116"/>
      <c r="L170" s="170">
        <v>42247</v>
      </c>
      <c r="M170" s="116">
        <v>207.2</v>
      </c>
      <c r="N170" s="116">
        <v>211.5</v>
      </c>
      <c r="O170" s="116">
        <v>202.4</v>
      </c>
      <c r="P170" s="116">
        <v>206</v>
      </c>
      <c r="Q170" s="116">
        <v>207.2</v>
      </c>
      <c r="R170">
        <v>2519792</v>
      </c>
    </row>
    <row r="171" spans="1:18" x14ac:dyDescent="0.25">
      <c r="A171" s="170">
        <v>42248</v>
      </c>
      <c r="B171" s="116">
        <v>209.5</v>
      </c>
      <c r="C171" s="116">
        <v>207.75</v>
      </c>
      <c r="D171" s="116">
        <v>203.75</v>
      </c>
      <c r="E171" s="116">
        <v>207.2</v>
      </c>
      <c r="F171" s="116">
        <v>207.75</v>
      </c>
      <c r="G171">
        <v>130773</v>
      </c>
      <c r="H171" s="116"/>
      <c r="I171" s="116"/>
      <c r="L171" s="170">
        <v>42248</v>
      </c>
      <c r="M171" s="116">
        <v>207.6</v>
      </c>
      <c r="N171" s="116">
        <v>209.65</v>
      </c>
      <c r="O171" s="116">
        <v>203.55</v>
      </c>
      <c r="P171" s="116">
        <v>207</v>
      </c>
      <c r="Q171" s="116">
        <v>207.6</v>
      </c>
      <c r="R171">
        <v>2862960</v>
      </c>
    </row>
    <row r="172" spans="1:18" x14ac:dyDescent="0.25">
      <c r="A172" s="170">
        <v>42249</v>
      </c>
      <c r="B172" s="116">
        <v>214.65</v>
      </c>
      <c r="C172" s="116">
        <v>210.45</v>
      </c>
      <c r="D172" s="116">
        <v>208.7</v>
      </c>
      <c r="E172" s="116">
        <v>209.85</v>
      </c>
      <c r="F172" s="116">
        <v>210.45</v>
      </c>
      <c r="G172">
        <v>125024</v>
      </c>
      <c r="H172" s="116"/>
      <c r="I172" s="116"/>
      <c r="L172" s="170">
        <v>42249</v>
      </c>
      <c r="M172" s="116">
        <v>209.9</v>
      </c>
      <c r="N172" s="116">
        <v>214.5</v>
      </c>
      <c r="O172" s="116">
        <v>208.15</v>
      </c>
      <c r="P172" s="116">
        <v>209.05</v>
      </c>
      <c r="Q172" s="116">
        <v>209.9</v>
      </c>
      <c r="R172">
        <v>3979719</v>
      </c>
    </row>
    <row r="173" spans="1:18" x14ac:dyDescent="0.25">
      <c r="A173" s="170">
        <v>42250</v>
      </c>
      <c r="B173" s="116">
        <v>221.5</v>
      </c>
      <c r="C173" s="116">
        <v>218.75</v>
      </c>
      <c r="D173" s="116">
        <v>212</v>
      </c>
      <c r="E173" s="116">
        <v>212</v>
      </c>
      <c r="F173" s="116">
        <v>218.75</v>
      </c>
      <c r="G173">
        <v>167537</v>
      </c>
      <c r="H173" s="116"/>
      <c r="I173" s="116"/>
      <c r="L173" s="170">
        <v>42250</v>
      </c>
      <c r="M173" s="116">
        <v>218.45</v>
      </c>
      <c r="N173" s="116">
        <v>221.5</v>
      </c>
      <c r="O173" s="116">
        <v>212.25</v>
      </c>
      <c r="P173" s="116">
        <v>212.25</v>
      </c>
      <c r="Q173" s="116">
        <v>218.45</v>
      </c>
      <c r="R173">
        <v>3757279</v>
      </c>
    </row>
    <row r="174" spans="1:18" x14ac:dyDescent="0.25">
      <c r="A174" s="170">
        <v>42251</v>
      </c>
      <c r="B174" s="116">
        <v>221</v>
      </c>
      <c r="C174" s="116">
        <v>211.9</v>
      </c>
      <c r="D174" s="116">
        <v>209.9</v>
      </c>
      <c r="E174" s="116">
        <v>221</v>
      </c>
      <c r="F174" s="116">
        <v>211.9</v>
      </c>
      <c r="G174">
        <v>142070</v>
      </c>
      <c r="H174" s="116"/>
      <c r="I174" s="116"/>
      <c r="L174" s="170">
        <v>42251</v>
      </c>
      <c r="M174" s="116">
        <v>211.5</v>
      </c>
      <c r="N174" s="116">
        <v>218.1</v>
      </c>
      <c r="O174" s="116">
        <v>209.6</v>
      </c>
      <c r="P174" s="116">
        <v>216.85</v>
      </c>
      <c r="Q174" s="116">
        <v>211.5</v>
      </c>
      <c r="R174">
        <v>4209879</v>
      </c>
    </row>
    <row r="175" spans="1:18" x14ac:dyDescent="0.25">
      <c r="A175" s="170">
        <v>42254</v>
      </c>
      <c r="B175" s="116">
        <v>213</v>
      </c>
      <c r="C175" s="116">
        <v>207</v>
      </c>
      <c r="D175" s="116">
        <v>206.5</v>
      </c>
      <c r="E175" s="116">
        <v>213</v>
      </c>
      <c r="F175" s="116">
        <v>207</v>
      </c>
      <c r="G175">
        <v>134591</v>
      </c>
      <c r="H175" s="116"/>
      <c r="I175" s="116"/>
      <c r="L175" s="170">
        <v>42254</v>
      </c>
      <c r="M175" s="116">
        <v>206.9</v>
      </c>
      <c r="N175" s="116">
        <v>213.55</v>
      </c>
      <c r="O175" s="116">
        <v>206.5</v>
      </c>
      <c r="P175" s="116">
        <v>212</v>
      </c>
      <c r="Q175" s="116">
        <v>206.9</v>
      </c>
      <c r="R175">
        <v>2205149</v>
      </c>
    </row>
    <row r="176" spans="1:18" x14ac:dyDescent="0.25">
      <c r="A176" s="170">
        <v>42255</v>
      </c>
      <c r="B176" s="116">
        <v>209.35</v>
      </c>
      <c r="C176" s="116">
        <v>208.55</v>
      </c>
      <c r="D176" s="116">
        <v>205</v>
      </c>
      <c r="E176" s="116">
        <v>207.9</v>
      </c>
      <c r="F176" s="116">
        <v>208.55</v>
      </c>
      <c r="G176">
        <v>1448998</v>
      </c>
      <c r="H176" s="116"/>
      <c r="I176" s="116"/>
      <c r="L176" s="170">
        <v>42255</v>
      </c>
      <c r="M176" s="116">
        <v>208.55</v>
      </c>
      <c r="N176" s="116">
        <v>209.6</v>
      </c>
      <c r="O176" s="116">
        <v>205.05</v>
      </c>
      <c r="P176" s="116">
        <v>207.55</v>
      </c>
      <c r="Q176" s="116">
        <v>208.55</v>
      </c>
      <c r="R176">
        <v>2767023</v>
      </c>
    </row>
    <row r="177" spans="1:18" x14ac:dyDescent="0.25">
      <c r="A177" s="170">
        <v>42256</v>
      </c>
      <c r="B177" s="116">
        <v>216.45</v>
      </c>
      <c r="C177" s="116">
        <v>212.6</v>
      </c>
      <c r="D177" s="116">
        <v>209.9</v>
      </c>
      <c r="E177" s="116">
        <v>212</v>
      </c>
      <c r="F177" s="116">
        <v>212.6</v>
      </c>
      <c r="G177">
        <v>530960</v>
      </c>
      <c r="H177" s="116"/>
      <c r="I177" s="116"/>
      <c r="L177" s="170">
        <v>42256</v>
      </c>
      <c r="M177" s="116">
        <v>212.15</v>
      </c>
      <c r="N177" s="116">
        <v>216.5</v>
      </c>
      <c r="O177" s="116">
        <v>209.55</v>
      </c>
      <c r="P177" s="116">
        <v>211</v>
      </c>
      <c r="Q177" s="116">
        <v>212.15</v>
      </c>
      <c r="R177">
        <v>2977388</v>
      </c>
    </row>
    <row r="178" spans="1:18" x14ac:dyDescent="0.25">
      <c r="A178" s="170">
        <v>42257</v>
      </c>
      <c r="B178" s="116">
        <v>213.2</v>
      </c>
      <c r="C178" s="116">
        <v>211.25</v>
      </c>
      <c r="D178" s="116">
        <v>206.4</v>
      </c>
      <c r="E178" s="116">
        <v>210</v>
      </c>
      <c r="F178" s="116">
        <v>211.25</v>
      </c>
      <c r="G178">
        <v>117632</v>
      </c>
      <c r="H178" s="116"/>
      <c r="I178" s="116"/>
      <c r="L178" s="170">
        <v>42257</v>
      </c>
      <c r="M178" s="116">
        <v>211.3</v>
      </c>
      <c r="N178" s="116">
        <v>213.1</v>
      </c>
      <c r="O178" s="116">
        <v>206.25</v>
      </c>
      <c r="P178" s="116">
        <v>209.95</v>
      </c>
      <c r="Q178" s="116">
        <v>211.3</v>
      </c>
      <c r="R178">
        <v>3337613</v>
      </c>
    </row>
    <row r="179" spans="1:18" x14ac:dyDescent="0.25">
      <c r="A179" s="170">
        <v>42258</v>
      </c>
      <c r="B179" s="116">
        <v>213.1</v>
      </c>
      <c r="C179" s="116">
        <v>207.4</v>
      </c>
      <c r="D179" s="116">
        <v>206.5</v>
      </c>
      <c r="E179" s="116">
        <v>212.15</v>
      </c>
      <c r="F179" s="116">
        <v>207.4</v>
      </c>
      <c r="G179">
        <v>106163</v>
      </c>
      <c r="H179" s="116"/>
      <c r="I179" s="116"/>
      <c r="L179" s="170">
        <v>42258</v>
      </c>
      <c r="M179" s="116">
        <v>207</v>
      </c>
      <c r="N179" s="116">
        <v>213.9</v>
      </c>
      <c r="O179" s="116">
        <v>206.35</v>
      </c>
      <c r="P179" s="116">
        <v>213.9</v>
      </c>
      <c r="Q179" s="116">
        <v>207</v>
      </c>
      <c r="R179">
        <v>3237366</v>
      </c>
    </row>
    <row r="180" spans="1:18" x14ac:dyDescent="0.25">
      <c r="A180" s="170">
        <v>42261</v>
      </c>
      <c r="B180" s="116">
        <v>212.55</v>
      </c>
      <c r="C180" s="116">
        <v>211.45</v>
      </c>
      <c r="D180" s="116">
        <v>205.8</v>
      </c>
      <c r="E180" s="116">
        <v>207</v>
      </c>
      <c r="F180" s="116">
        <v>211.45</v>
      </c>
      <c r="G180">
        <v>116676</v>
      </c>
      <c r="H180" s="116"/>
      <c r="I180" s="116"/>
      <c r="L180" s="170">
        <v>42261</v>
      </c>
      <c r="M180" s="116">
        <v>211.25</v>
      </c>
      <c r="N180" s="116">
        <v>212</v>
      </c>
      <c r="O180" s="116">
        <v>205.8</v>
      </c>
      <c r="P180" s="116">
        <v>207.9</v>
      </c>
      <c r="Q180" s="116">
        <v>211.25</v>
      </c>
      <c r="R180">
        <v>3455014</v>
      </c>
    </row>
    <row r="181" spans="1:18" x14ac:dyDescent="0.25">
      <c r="A181" s="170">
        <v>42262</v>
      </c>
      <c r="B181" s="116">
        <v>213.4</v>
      </c>
      <c r="C181" s="116">
        <v>205.1</v>
      </c>
      <c r="D181" s="116">
        <v>203.5</v>
      </c>
      <c r="E181" s="116">
        <v>213.4</v>
      </c>
      <c r="F181" s="116">
        <v>205.1</v>
      </c>
      <c r="G181">
        <v>138861</v>
      </c>
      <c r="H181" s="116"/>
      <c r="I181" s="116"/>
      <c r="L181" s="170">
        <v>42262</v>
      </c>
      <c r="M181" s="116">
        <v>204.4</v>
      </c>
      <c r="N181" s="116">
        <v>211.6</v>
      </c>
      <c r="O181" s="116">
        <v>203.1</v>
      </c>
      <c r="P181" s="116">
        <v>211.05</v>
      </c>
      <c r="Q181" s="116">
        <v>204.4</v>
      </c>
      <c r="R181">
        <v>5716055</v>
      </c>
    </row>
    <row r="182" spans="1:18" x14ac:dyDescent="0.25">
      <c r="A182" s="170">
        <v>42263</v>
      </c>
      <c r="B182" s="116">
        <v>211.2</v>
      </c>
      <c r="C182" s="116">
        <v>210.15</v>
      </c>
      <c r="D182" s="116">
        <v>206.05</v>
      </c>
      <c r="E182" s="116">
        <v>206.9</v>
      </c>
      <c r="F182" s="116">
        <v>210.15</v>
      </c>
      <c r="G182">
        <v>95908</v>
      </c>
      <c r="H182" s="116"/>
      <c r="I182" s="116"/>
      <c r="L182" s="170">
        <v>42263</v>
      </c>
      <c r="M182" s="116">
        <v>210.45</v>
      </c>
      <c r="N182" s="116">
        <v>211.4</v>
      </c>
      <c r="O182" s="116">
        <v>206</v>
      </c>
      <c r="P182" s="116">
        <v>207.7</v>
      </c>
      <c r="Q182" s="116">
        <v>210.45</v>
      </c>
      <c r="R182">
        <v>3528310</v>
      </c>
    </row>
    <row r="183" spans="1:18" x14ac:dyDescent="0.25">
      <c r="A183" s="170">
        <v>42265</v>
      </c>
      <c r="B183" s="116">
        <v>212.1</v>
      </c>
      <c r="C183" s="116">
        <v>209.8</v>
      </c>
      <c r="D183" s="116">
        <v>209</v>
      </c>
      <c r="E183" s="116">
        <v>210.2</v>
      </c>
      <c r="F183" s="116">
        <v>209.8</v>
      </c>
      <c r="G183">
        <v>127846</v>
      </c>
      <c r="H183" s="116"/>
      <c r="I183" s="116"/>
      <c r="L183" s="170">
        <v>42265</v>
      </c>
      <c r="M183" s="116">
        <v>209.75</v>
      </c>
      <c r="N183" s="116">
        <v>212.45</v>
      </c>
      <c r="O183" s="116">
        <v>208.15</v>
      </c>
      <c r="P183" s="116">
        <v>212</v>
      </c>
      <c r="Q183" s="116">
        <v>209.75</v>
      </c>
      <c r="R183">
        <v>3986002</v>
      </c>
    </row>
    <row r="184" spans="1:18" x14ac:dyDescent="0.25">
      <c r="A184" s="170">
        <v>42268</v>
      </c>
      <c r="B184" s="116">
        <v>210.3</v>
      </c>
      <c r="C184" s="116">
        <v>209.75</v>
      </c>
      <c r="D184" s="116">
        <v>203.8</v>
      </c>
      <c r="E184" s="116">
        <v>208.1</v>
      </c>
      <c r="F184" s="116">
        <v>209.75</v>
      </c>
      <c r="G184">
        <v>96207</v>
      </c>
      <c r="H184" s="116"/>
      <c r="I184" s="116"/>
      <c r="L184" s="170">
        <v>42268</v>
      </c>
      <c r="M184" s="116">
        <v>209.9</v>
      </c>
      <c r="N184" s="116">
        <v>210.65</v>
      </c>
      <c r="O184" s="116">
        <v>203.55</v>
      </c>
      <c r="P184" s="116">
        <v>208.7</v>
      </c>
      <c r="Q184" s="116">
        <v>209.9</v>
      </c>
      <c r="R184">
        <v>2320677</v>
      </c>
    </row>
    <row r="185" spans="1:18" x14ac:dyDescent="0.25">
      <c r="A185" s="170">
        <v>42269</v>
      </c>
      <c r="B185" s="116">
        <v>210.4</v>
      </c>
      <c r="C185" s="116">
        <v>207.8</v>
      </c>
      <c r="D185" s="116">
        <v>205.2</v>
      </c>
      <c r="E185" s="116">
        <v>210.3</v>
      </c>
      <c r="F185" s="116">
        <v>207.8</v>
      </c>
      <c r="G185">
        <v>54873</v>
      </c>
      <c r="H185" s="116"/>
      <c r="I185" s="116"/>
      <c r="L185" s="170">
        <v>42269</v>
      </c>
      <c r="M185" s="116">
        <v>207.85</v>
      </c>
      <c r="N185" s="116">
        <v>211.75</v>
      </c>
      <c r="O185" s="116">
        <v>205.1</v>
      </c>
      <c r="P185" s="116">
        <v>210.25</v>
      </c>
      <c r="Q185" s="116">
        <v>207.85</v>
      </c>
      <c r="R185">
        <v>2351761</v>
      </c>
    </row>
    <row r="186" spans="1:18" x14ac:dyDescent="0.25">
      <c r="A186" s="170">
        <v>42270</v>
      </c>
      <c r="B186" s="116">
        <v>209.55</v>
      </c>
      <c r="C186" s="116">
        <v>208.8</v>
      </c>
      <c r="D186" s="116">
        <v>205</v>
      </c>
      <c r="E186" s="116">
        <v>206</v>
      </c>
      <c r="F186" s="116">
        <v>208.8</v>
      </c>
      <c r="G186">
        <v>85247</v>
      </c>
      <c r="H186" s="116"/>
      <c r="I186" s="116"/>
      <c r="L186" s="170">
        <v>42270</v>
      </c>
      <c r="M186" s="116">
        <v>208.7</v>
      </c>
      <c r="N186" s="116">
        <v>209.35</v>
      </c>
      <c r="O186" s="116">
        <v>204.05</v>
      </c>
      <c r="P186" s="116">
        <v>204.05</v>
      </c>
      <c r="Q186" s="116">
        <v>208.7</v>
      </c>
      <c r="R186">
        <v>2097301</v>
      </c>
    </row>
    <row r="187" spans="1:18" x14ac:dyDescent="0.25">
      <c r="A187" s="170">
        <v>42271</v>
      </c>
      <c r="B187" s="116">
        <v>208.3</v>
      </c>
      <c r="C187" s="116">
        <v>206.9</v>
      </c>
      <c r="D187" s="116">
        <v>204.75</v>
      </c>
      <c r="E187" s="116">
        <v>207.8</v>
      </c>
      <c r="F187" s="116">
        <v>206.9</v>
      </c>
      <c r="G187">
        <v>837907</v>
      </c>
      <c r="H187" s="116"/>
      <c r="I187" s="116"/>
      <c r="L187" s="170">
        <v>42271</v>
      </c>
      <c r="M187" s="116">
        <v>207</v>
      </c>
      <c r="N187" s="116">
        <v>208.9</v>
      </c>
      <c r="O187" s="116">
        <v>204.55</v>
      </c>
      <c r="P187" s="116">
        <v>206.3</v>
      </c>
      <c r="Q187" s="116">
        <v>207</v>
      </c>
      <c r="R187">
        <v>4214954</v>
      </c>
    </row>
    <row r="188" spans="1:18" x14ac:dyDescent="0.25">
      <c r="A188" s="170">
        <v>42275</v>
      </c>
      <c r="B188" s="116">
        <v>207.45</v>
      </c>
      <c r="C188" s="116">
        <v>203</v>
      </c>
      <c r="D188" s="116">
        <v>201.9</v>
      </c>
      <c r="E188" s="116">
        <v>207.45</v>
      </c>
      <c r="F188" s="116">
        <v>203</v>
      </c>
      <c r="G188">
        <v>49084</v>
      </c>
      <c r="H188" s="116"/>
      <c r="I188" s="116"/>
      <c r="L188" s="170">
        <v>42275</v>
      </c>
      <c r="M188" s="116">
        <v>203.05</v>
      </c>
      <c r="N188" s="116">
        <v>206.95</v>
      </c>
      <c r="O188" s="116">
        <v>202.1</v>
      </c>
      <c r="P188" s="116">
        <v>206.95</v>
      </c>
      <c r="Q188" s="116">
        <v>203.05</v>
      </c>
      <c r="R188">
        <v>816802</v>
      </c>
    </row>
    <row r="189" spans="1:18" x14ac:dyDescent="0.25">
      <c r="A189" s="170">
        <v>42276</v>
      </c>
      <c r="B189" s="116">
        <v>207.45</v>
      </c>
      <c r="C189" s="116">
        <v>202.9</v>
      </c>
      <c r="D189" s="116">
        <v>196.45</v>
      </c>
      <c r="E189" s="116">
        <v>200</v>
      </c>
      <c r="F189" s="116">
        <v>202.9</v>
      </c>
      <c r="G189">
        <v>242985</v>
      </c>
      <c r="H189" s="116"/>
      <c r="I189" s="116"/>
      <c r="L189" s="170">
        <v>42276</v>
      </c>
      <c r="M189" s="116">
        <v>203</v>
      </c>
      <c r="N189" s="116">
        <v>207.65</v>
      </c>
      <c r="O189" s="116">
        <v>196.25</v>
      </c>
      <c r="P189" s="116">
        <v>200.5</v>
      </c>
      <c r="Q189" s="116">
        <v>203</v>
      </c>
      <c r="R189">
        <v>2655447</v>
      </c>
    </row>
    <row r="190" spans="1:18" x14ac:dyDescent="0.25">
      <c r="A190" s="170">
        <v>42277</v>
      </c>
      <c r="B190" s="116">
        <v>206.85</v>
      </c>
      <c r="C190" s="116">
        <v>205.65</v>
      </c>
      <c r="D190" s="116">
        <v>203.55</v>
      </c>
      <c r="E190" s="116">
        <v>204.8</v>
      </c>
      <c r="F190" s="116">
        <v>205.65</v>
      </c>
      <c r="G190">
        <v>84108</v>
      </c>
      <c r="H190" s="116"/>
      <c r="I190" s="116"/>
      <c r="L190" s="170">
        <v>42277</v>
      </c>
      <c r="M190" s="116">
        <v>205.8</v>
      </c>
      <c r="N190" s="116">
        <v>206.5</v>
      </c>
      <c r="O190" s="116">
        <v>203.65</v>
      </c>
      <c r="P190" s="116">
        <v>204</v>
      </c>
      <c r="Q190" s="116">
        <v>205.8</v>
      </c>
      <c r="R190">
        <v>1873748</v>
      </c>
    </row>
    <row r="191" spans="1:18" x14ac:dyDescent="0.25">
      <c r="A191" s="170">
        <v>42278</v>
      </c>
      <c r="B191" s="116">
        <v>211.05</v>
      </c>
      <c r="C191" s="116">
        <v>209.95</v>
      </c>
      <c r="D191" s="116">
        <v>206.8</v>
      </c>
      <c r="E191" s="116">
        <v>208.9</v>
      </c>
      <c r="F191" s="116">
        <v>209.95</v>
      </c>
      <c r="G191">
        <v>166468</v>
      </c>
      <c r="H191" s="116"/>
      <c r="I191" s="116"/>
      <c r="L191" s="170">
        <v>42278</v>
      </c>
      <c r="M191" s="116">
        <v>209.95</v>
      </c>
      <c r="N191" s="116">
        <v>211</v>
      </c>
      <c r="O191" s="116">
        <v>206.8</v>
      </c>
      <c r="P191" s="116">
        <v>207.2</v>
      </c>
      <c r="Q191" s="116">
        <v>209.95</v>
      </c>
      <c r="R191">
        <v>3720910</v>
      </c>
    </row>
    <row r="192" spans="1:18" x14ac:dyDescent="0.25">
      <c r="A192" s="170">
        <v>42282</v>
      </c>
      <c r="B192" s="116">
        <v>212.4</v>
      </c>
      <c r="C192" s="116">
        <v>210.25</v>
      </c>
      <c r="D192" s="116">
        <v>209.45</v>
      </c>
      <c r="E192" s="116">
        <v>210.3</v>
      </c>
      <c r="F192" s="116">
        <v>210.25</v>
      </c>
      <c r="G192">
        <v>81053</v>
      </c>
      <c r="H192" s="116"/>
      <c r="I192" s="116"/>
      <c r="L192" s="170">
        <v>42282</v>
      </c>
      <c r="M192" s="116">
        <v>209.95</v>
      </c>
      <c r="N192" s="116">
        <v>212.6</v>
      </c>
      <c r="O192" s="116">
        <v>209.2</v>
      </c>
      <c r="P192" s="116">
        <v>211</v>
      </c>
      <c r="Q192" s="116">
        <v>209.95</v>
      </c>
      <c r="R192">
        <v>2664054</v>
      </c>
    </row>
    <row r="193" spans="1:18" x14ac:dyDescent="0.25">
      <c r="A193" s="170">
        <v>42283</v>
      </c>
      <c r="B193" s="116">
        <v>213.2</v>
      </c>
      <c r="C193" s="116">
        <v>209.55</v>
      </c>
      <c r="D193" s="116">
        <v>207.5</v>
      </c>
      <c r="E193" s="116">
        <v>212</v>
      </c>
      <c r="F193" s="116">
        <v>209.55</v>
      </c>
      <c r="G193">
        <v>79052</v>
      </c>
      <c r="H193" s="116"/>
      <c r="I193" s="116"/>
      <c r="L193" s="170">
        <v>42283</v>
      </c>
      <c r="M193" s="116">
        <v>209.8</v>
      </c>
      <c r="N193" s="116">
        <v>212.85</v>
      </c>
      <c r="O193" s="116">
        <v>207.6</v>
      </c>
      <c r="P193" s="116">
        <v>212</v>
      </c>
      <c r="Q193" s="116">
        <v>209.8</v>
      </c>
      <c r="R193">
        <v>2279449</v>
      </c>
    </row>
    <row r="194" spans="1:18" x14ac:dyDescent="0.25">
      <c r="A194" s="170">
        <v>42284</v>
      </c>
      <c r="B194" s="116">
        <v>210.65</v>
      </c>
      <c r="C194" s="116">
        <v>209.05</v>
      </c>
      <c r="D194" s="116">
        <v>207.1</v>
      </c>
      <c r="E194" s="116">
        <v>210.65</v>
      </c>
      <c r="F194" s="116">
        <v>209.05</v>
      </c>
      <c r="G194">
        <v>2116741</v>
      </c>
      <c r="H194" s="116"/>
      <c r="I194" s="116"/>
      <c r="L194" s="170">
        <v>42284</v>
      </c>
      <c r="M194" s="116">
        <v>209.15</v>
      </c>
      <c r="N194" s="116">
        <v>210.15</v>
      </c>
      <c r="O194" s="116">
        <v>207.65</v>
      </c>
      <c r="P194" s="116">
        <v>210.1</v>
      </c>
      <c r="Q194" s="116">
        <v>209.15</v>
      </c>
      <c r="R194">
        <v>1205766</v>
      </c>
    </row>
    <row r="195" spans="1:18" x14ac:dyDescent="0.25">
      <c r="A195" s="170">
        <v>42285</v>
      </c>
      <c r="B195" s="116">
        <v>211.35</v>
      </c>
      <c r="C195" s="116">
        <v>210.35</v>
      </c>
      <c r="D195" s="116">
        <v>208.4</v>
      </c>
      <c r="E195" s="116">
        <v>209.9</v>
      </c>
      <c r="F195" s="116">
        <v>210.35</v>
      </c>
      <c r="G195">
        <v>147590</v>
      </c>
      <c r="H195" s="116"/>
      <c r="I195" s="116"/>
      <c r="L195" s="170">
        <v>42285</v>
      </c>
      <c r="M195" s="116">
        <v>209.9</v>
      </c>
      <c r="N195" s="116">
        <v>211.35</v>
      </c>
      <c r="O195" s="116">
        <v>208.15</v>
      </c>
      <c r="P195" s="116">
        <v>209</v>
      </c>
      <c r="Q195" s="116">
        <v>209.9</v>
      </c>
      <c r="R195">
        <v>2837012</v>
      </c>
    </row>
    <row r="196" spans="1:18" x14ac:dyDescent="0.25">
      <c r="A196" s="170">
        <v>42286</v>
      </c>
      <c r="B196" s="116">
        <v>211.6</v>
      </c>
      <c r="C196" s="116">
        <v>209.15</v>
      </c>
      <c r="D196" s="116">
        <v>207</v>
      </c>
      <c r="E196" s="116">
        <v>211</v>
      </c>
      <c r="F196" s="116">
        <v>209.15</v>
      </c>
      <c r="G196">
        <v>1179811</v>
      </c>
      <c r="H196" s="116"/>
      <c r="I196" s="116"/>
      <c r="L196" s="170">
        <v>42286</v>
      </c>
      <c r="M196" s="116">
        <v>209.15</v>
      </c>
      <c r="N196" s="116">
        <v>211.8</v>
      </c>
      <c r="O196" s="116">
        <v>206.25</v>
      </c>
      <c r="P196" s="116">
        <v>211.15</v>
      </c>
      <c r="Q196" s="116">
        <v>209.15</v>
      </c>
      <c r="R196">
        <v>4634135</v>
      </c>
    </row>
    <row r="197" spans="1:18" x14ac:dyDescent="0.25">
      <c r="A197" s="170">
        <v>42289</v>
      </c>
      <c r="B197" s="116">
        <v>210.45</v>
      </c>
      <c r="C197" s="116">
        <v>209.8</v>
      </c>
      <c r="D197" s="116">
        <v>208.05</v>
      </c>
      <c r="E197" s="116">
        <v>209.15</v>
      </c>
      <c r="F197" s="116">
        <v>209.8</v>
      </c>
      <c r="G197">
        <v>61241</v>
      </c>
      <c r="H197" s="116"/>
      <c r="I197" s="116"/>
      <c r="L197" s="170">
        <v>42289</v>
      </c>
      <c r="M197" s="116">
        <v>209.95</v>
      </c>
      <c r="N197" s="116">
        <v>210.5</v>
      </c>
      <c r="O197" s="116">
        <v>208.35</v>
      </c>
      <c r="P197" s="116">
        <v>209.4</v>
      </c>
      <c r="Q197" s="116">
        <v>209.95</v>
      </c>
      <c r="R197">
        <v>1486928</v>
      </c>
    </row>
    <row r="198" spans="1:18" x14ac:dyDescent="0.25">
      <c r="A198" s="170">
        <v>42290</v>
      </c>
      <c r="B198" s="116">
        <v>210.65</v>
      </c>
      <c r="C198" s="116">
        <v>209.95</v>
      </c>
      <c r="D198" s="116">
        <v>209</v>
      </c>
      <c r="E198" s="116">
        <v>209</v>
      </c>
      <c r="F198" s="116">
        <v>209.95</v>
      </c>
      <c r="G198">
        <v>332172</v>
      </c>
      <c r="H198" s="116"/>
      <c r="I198" s="116"/>
      <c r="L198" s="170">
        <v>42290</v>
      </c>
      <c r="M198" s="116">
        <v>209.95</v>
      </c>
      <c r="N198" s="116">
        <v>210.75</v>
      </c>
      <c r="O198" s="116">
        <v>209.5</v>
      </c>
      <c r="P198" s="116">
        <v>210</v>
      </c>
      <c r="Q198" s="116">
        <v>209.95</v>
      </c>
      <c r="R198">
        <v>2682919</v>
      </c>
    </row>
    <row r="199" spans="1:18" x14ac:dyDescent="0.25">
      <c r="A199" s="170">
        <v>42291</v>
      </c>
      <c r="B199" s="116">
        <v>210.55</v>
      </c>
      <c r="C199" s="116">
        <v>210</v>
      </c>
      <c r="D199" s="116">
        <v>209</v>
      </c>
      <c r="E199" s="116">
        <v>210</v>
      </c>
      <c r="F199" s="116">
        <v>210</v>
      </c>
      <c r="G199">
        <v>303450</v>
      </c>
      <c r="H199" s="116"/>
      <c r="I199" s="116"/>
      <c r="L199" s="170">
        <v>42291</v>
      </c>
      <c r="M199" s="116">
        <v>209.95</v>
      </c>
      <c r="N199" s="116">
        <v>210.75</v>
      </c>
      <c r="O199" s="116">
        <v>209</v>
      </c>
      <c r="P199" s="116">
        <v>210.1</v>
      </c>
      <c r="Q199" s="116">
        <v>209.95</v>
      </c>
      <c r="R199">
        <v>2170530</v>
      </c>
    </row>
    <row r="200" spans="1:18" x14ac:dyDescent="0.25">
      <c r="A200" s="170">
        <v>42292</v>
      </c>
      <c r="B200" s="116">
        <v>211.25</v>
      </c>
      <c r="C200" s="116">
        <v>209.7</v>
      </c>
      <c r="D200" s="116">
        <v>209.2</v>
      </c>
      <c r="E200" s="116">
        <v>211</v>
      </c>
      <c r="F200" s="116">
        <v>209.7</v>
      </c>
      <c r="G200">
        <v>76685</v>
      </c>
      <c r="H200" s="116"/>
      <c r="I200" s="116"/>
      <c r="L200" s="170">
        <v>42292</v>
      </c>
      <c r="M200" s="116">
        <v>209.65</v>
      </c>
      <c r="N200" s="116">
        <v>211.2</v>
      </c>
      <c r="O200" s="116">
        <v>209.1</v>
      </c>
      <c r="P200" s="116">
        <v>210.5</v>
      </c>
      <c r="Q200" s="116">
        <v>209.65</v>
      </c>
      <c r="R200">
        <v>2993217</v>
      </c>
    </row>
    <row r="201" spans="1:18" x14ac:dyDescent="0.25">
      <c r="A201" s="170">
        <v>42293</v>
      </c>
      <c r="B201" s="116">
        <v>214.7</v>
      </c>
      <c r="C201" s="116">
        <v>212.5</v>
      </c>
      <c r="D201" s="116">
        <v>209.5</v>
      </c>
      <c r="E201" s="116">
        <v>210.05</v>
      </c>
      <c r="F201" s="116">
        <v>212.5</v>
      </c>
      <c r="G201">
        <v>82885</v>
      </c>
      <c r="H201" s="116"/>
      <c r="I201" s="116"/>
      <c r="L201" s="170">
        <v>42293</v>
      </c>
      <c r="M201" s="116">
        <v>212.15</v>
      </c>
      <c r="N201" s="116">
        <v>214.75</v>
      </c>
      <c r="O201" s="116">
        <v>209.35</v>
      </c>
      <c r="P201" s="116">
        <v>210.95</v>
      </c>
      <c r="Q201" s="116">
        <v>212.15</v>
      </c>
      <c r="R201">
        <v>3865670</v>
      </c>
    </row>
    <row r="202" spans="1:18" x14ac:dyDescent="0.25">
      <c r="A202" s="170">
        <v>42296</v>
      </c>
      <c r="B202" s="116">
        <v>213.8</v>
      </c>
      <c r="C202" s="116">
        <v>210.25</v>
      </c>
      <c r="D202" s="116">
        <v>209.7</v>
      </c>
      <c r="E202" s="116">
        <v>212.55</v>
      </c>
      <c r="F202" s="116">
        <v>210.25</v>
      </c>
      <c r="G202">
        <v>124407</v>
      </c>
      <c r="H202" s="116"/>
      <c r="I202" s="116"/>
      <c r="L202" s="170">
        <v>42296</v>
      </c>
      <c r="M202" s="116">
        <v>210.05</v>
      </c>
      <c r="N202" s="116">
        <v>214.5</v>
      </c>
      <c r="O202" s="116">
        <v>209.55</v>
      </c>
      <c r="P202" s="116">
        <v>214.5</v>
      </c>
      <c r="Q202" s="116">
        <v>210.05</v>
      </c>
      <c r="R202">
        <v>3187045</v>
      </c>
    </row>
    <row r="203" spans="1:18" x14ac:dyDescent="0.25">
      <c r="A203" s="170">
        <v>42297</v>
      </c>
      <c r="B203" s="116">
        <v>210.3</v>
      </c>
      <c r="C203" s="116">
        <v>209.9</v>
      </c>
      <c r="D203" s="116">
        <v>209</v>
      </c>
      <c r="E203" s="116">
        <v>210.3</v>
      </c>
      <c r="F203" s="116">
        <v>209.9</v>
      </c>
      <c r="G203">
        <v>219230</v>
      </c>
      <c r="H203" s="116"/>
      <c r="I203" s="116"/>
      <c r="L203" s="170">
        <v>42297</v>
      </c>
      <c r="M203" s="116">
        <v>209.95</v>
      </c>
      <c r="N203" s="116">
        <v>210.4</v>
      </c>
      <c r="O203" s="116">
        <v>208.9</v>
      </c>
      <c r="P203" s="116">
        <v>210.4</v>
      </c>
      <c r="Q203" s="116">
        <v>209.95</v>
      </c>
      <c r="R203">
        <v>2407020</v>
      </c>
    </row>
    <row r="204" spans="1:18" x14ac:dyDescent="0.25">
      <c r="A204" s="170">
        <v>42298</v>
      </c>
      <c r="B204" s="116">
        <v>210.2</v>
      </c>
      <c r="C204" s="116">
        <v>209.1</v>
      </c>
      <c r="D204" s="116">
        <v>208.3</v>
      </c>
      <c r="E204" s="116">
        <v>209</v>
      </c>
      <c r="F204" s="116">
        <v>209.1</v>
      </c>
      <c r="G204">
        <v>105474</v>
      </c>
      <c r="H204" s="116"/>
      <c r="I204" s="116"/>
      <c r="L204" s="170">
        <v>42298</v>
      </c>
      <c r="M204" s="116">
        <v>209.2</v>
      </c>
      <c r="N204" s="116">
        <v>210.05</v>
      </c>
      <c r="O204" s="116">
        <v>208.15</v>
      </c>
      <c r="P204" s="116">
        <v>208.15</v>
      </c>
      <c r="Q204" s="116">
        <v>209.2</v>
      </c>
      <c r="R204">
        <v>1299281</v>
      </c>
    </row>
    <row r="205" spans="1:18" x14ac:dyDescent="0.25">
      <c r="A205" s="170">
        <v>42300</v>
      </c>
      <c r="B205" s="116">
        <v>211.5</v>
      </c>
      <c r="C205" s="116">
        <v>208.7</v>
      </c>
      <c r="D205" s="116">
        <v>208</v>
      </c>
      <c r="E205" s="116">
        <v>211</v>
      </c>
      <c r="F205" s="116">
        <v>208.7</v>
      </c>
      <c r="G205">
        <v>716727</v>
      </c>
      <c r="H205" s="116"/>
      <c r="I205" s="116"/>
      <c r="L205" s="170">
        <v>42300</v>
      </c>
      <c r="M205" s="116">
        <v>208.95</v>
      </c>
      <c r="N205" s="116">
        <v>211.5</v>
      </c>
      <c r="O205" s="116">
        <v>208</v>
      </c>
      <c r="P205" s="116">
        <v>210.5</v>
      </c>
      <c r="Q205" s="116">
        <v>208.95</v>
      </c>
      <c r="R205">
        <v>1604359</v>
      </c>
    </row>
    <row r="206" spans="1:18" x14ac:dyDescent="0.25">
      <c r="A206" s="170">
        <v>42303</v>
      </c>
      <c r="B206" s="116">
        <v>210</v>
      </c>
      <c r="C206" s="116">
        <v>208.5</v>
      </c>
      <c r="D206" s="116">
        <v>206.4</v>
      </c>
      <c r="E206" s="116">
        <v>210</v>
      </c>
      <c r="F206" s="116">
        <v>208.5</v>
      </c>
      <c r="G206">
        <v>78041</v>
      </c>
      <c r="H206" s="116"/>
      <c r="I206" s="116"/>
      <c r="L206" s="170">
        <v>42303</v>
      </c>
      <c r="M206" s="116">
        <v>208.65</v>
      </c>
      <c r="N206" s="116">
        <v>209.85</v>
      </c>
      <c r="O206" s="116">
        <v>206.3</v>
      </c>
      <c r="P206" s="116">
        <v>209.85</v>
      </c>
      <c r="Q206" s="116">
        <v>208.65</v>
      </c>
      <c r="R206">
        <v>874211</v>
      </c>
    </row>
    <row r="207" spans="1:18" x14ac:dyDescent="0.25">
      <c r="A207" s="170">
        <v>42304</v>
      </c>
      <c r="B207" s="116">
        <v>210</v>
      </c>
      <c r="C207" s="116">
        <v>205.55</v>
      </c>
      <c r="D207" s="116">
        <v>204.15</v>
      </c>
      <c r="E207" s="116">
        <v>206.6</v>
      </c>
      <c r="F207" s="116">
        <v>205.55</v>
      </c>
      <c r="G207">
        <v>159293</v>
      </c>
      <c r="H207" s="116"/>
      <c r="I207" s="116"/>
      <c r="L207" s="170">
        <v>42304</v>
      </c>
      <c r="M207" s="116">
        <v>205.4</v>
      </c>
      <c r="N207" s="116">
        <v>210</v>
      </c>
      <c r="O207" s="116">
        <v>204.1</v>
      </c>
      <c r="P207" s="116">
        <v>208.6</v>
      </c>
      <c r="Q207" s="116">
        <v>205.4</v>
      </c>
      <c r="R207">
        <v>4472757</v>
      </c>
    </row>
    <row r="208" spans="1:18" x14ac:dyDescent="0.25">
      <c r="A208" s="170">
        <v>42305</v>
      </c>
      <c r="B208" s="116">
        <v>209.7</v>
      </c>
      <c r="C208" s="116">
        <v>208.75</v>
      </c>
      <c r="D208" s="116">
        <v>202.7</v>
      </c>
      <c r="E208" s="116">
        <v>202.7</v>
      </c>
      <c r="F208" s="116">
        <v>208.75</v>
      </c>
      <c r="G208">
        <v>225119</v>
      </c>
      <c r="H208" s="116"/>
      <c r="I208" s="116"/>
      <c r="L208" s="170">
        <v>42305</v>
      </c>
      <c r="M208" s="116">
        <v>208.75</v>
      </c>
      <c r="N208" s="116">
        <v>209.5</v>
      </c>
      <c r="O208" s="116">
        <v>203.1</v>
      </c>
      <c r="P208" s="116">
        <v>204</v>
      </c>
      <c r="Q208" s="116">
        <v>208.75</v>
      </c>
      <c r="R208">
        <v>3866274</v>
      </c>
    </row>
    <row r="209" spans="1:18" x14ac:dyDescent="0.25">
      <c r="A209" s="170">
        <v>42306</v>
      </c>
      <c r="B209" s="116">
        <v>210.45</v>
      </c>
      <c r="C209" s="116">
        <v>207.35</v>
      </c>
      <c r="D209" s="116">
        <v>202.45</v>
      </c>
      <c r="E209" s="116">
        <v>203.3</v>
      </c>
      <c r="F209" s="116">
        <v>207.35</v>
      </c>
      <c r="G209">
        <v>1312592</v>
      </c>
      <c r="H209" s="116"/>
      <c r="I209" s="116"/>
      <c r="L209" s="170">
        <v>42306</v>
      </c>
      <c r="M209" s="116">
        <v>207.45</v>
      </c>
      <c r="N209" s="116">
        <v>210</v>
      </c>
      <c r="O209" s="116">
        <v>202.7</v>
      </c>
      <c r="P209" s="116">
        <v>204</v>
      </c>
      <c r="Q209" s="116">
        <v>207.45</v>
      </c>
      <c r="R209">
        <v>4392554</v>
      </c>
    </row>
    <row r="210" spans="1:18" x14ac:dyDescent="0.25">
      <c r="A210" s="170">
        <v>42307</v>
      </c>
      <c r="B210" s="116">
        <v>210.3</v>
      </c>
      <c r="C210" s="116">
        <v>207.3</v>
      </c>
      <c r="D210" s="116">
        <v>206.55</v>
      </c>
      <c r="E210" s="116">
        <v>208.4</v>
      </c>
      <c r="F210" s="116">
        <v>207.3</v>
      </c>
      <c r="G210">
        <v>388438</v>
      </c>
      <c r="H210" s="116"/>
      <c r="I210" s="116"/>
      <c r="L210" s="170">
        <v>42307</v>
      </c>
      <c r="M210" s="116">
        <v>206.95</v>
      </c>
      <c r="N210" s="116">
        <v>210.4</v>
      </c>
      <c r="O210" s="116">
        <v>206.15</v>
      </c>
      <c r="P210" s="116">
        <v>207.45</v>
      </c>
      <c r="Q210" s="116">
        <v>206.95</v>
      </c>
      <c r="R210">
        <v>2865884</v>
      </c>
    </row>
    <row r="211" spans="1:18" x14ac:dyDescent="0.25">
      <c r="A211" s="170">
        <v>42310</v>
      </c>
      <c r="B211" s="116">
        <v>210.5</v>
      </c>
      <c r="C211" s="116">
        <v>210.05</v>
      </c>
      <c r="D211" s="116">
        <v>205.3</v>
      </c>
      <c r="E211" s="116">
        <v>207.5</v>
      </c>
      <c r="F211" s="116">
        <v>210.05</v>
      </c>
      <c r="G211">
        <v>86506</v>
      </c>
      <c r="H211" s="116"/>
      <c r="I211" s="116"/>
      <c r="L211" s="170">
        <v>42310</v>
      </c>
      <c r="M211" s="116">
        <v>210</v>
      </c>
      <c r="N211" s="116">
        <v>210.25</v>
      </c>
      <c r="O211" s="116">
        <v>205</v>
      </c>
      <c r="P211" s="116">
        <v>207.65</v>
      </c>
      <c r="Q211" s="116">
        <v>210</v>
      </c>
      <c r="R211">
        <v>965211</v>
      </c>
    </row>
    <row r="212" spans="1:18" x14ac:dyDescent="0.25">
      <c r="A212" s="170">
        <v>42311</v>
      </c>
      <c r="B212" s="116">
        <v>213.7</v>
      </c>
      <c r="C212" s="116">
        <v>209.5</v>
      </c>
      <c r="D212" s="116">
        <v>208.95</v>
      </c>
      <c r="E212" s="116">
        <v>210.1</v>
      </c>
      <c r="F212" s="116">
        <v>209.5</v>
      </c>
      <c r="G212">
        <v>139325</v>
      </c>
      <c r="H212" s="116"/>
      <c r="I212" s="116"/>
      <c r="L212" s="170">
        <v>42311</v>
      </c>
      <c r="M212" s="116">
        <v>209.7</v>
      </c>
      <c r="N212" s="116">
        <v>231</v>
      </c>
      <c r="O212" s="116">
        <v>208.85</v>
      </c>
      <c r="P212" s="116">
        <v>211.2</v>
      </c>
      <c r="Q212" s="116">
        <v>209.7</v>
      </c>
      <c r="R212">
        <v>4046742</v>
      </c>
    </row>
    <row r="213" spans="1:18" x14ac:dyDescent="0.25">
      <c r="A213" s="170">
        <v>42312</v>
      </c>
      <c r="B213" s="116">
        <v>211.2</v>
      </c>
      <c r="C213" s="116">
        <v>209.4</v>
      </c>
      <c r="D213" s="116">
        <v>208.05</v>
      </c>
      <c r="E213" s="116">
        <v>210.9</v>
      </c>
      <c r="F213" s="116">
        <v>209.4</v>
      </c>
      <c r="G213">
        <v>195862</v>
      </c>
      <c r="H213" s="116"/>
      <c r="I213" s="116"/>
      <c r="L213" s="170">
        <v>42312</v>
      </c>
      <c r="M213" s="116">
        <v>209.05</v>
      </c>
      <c r="N213" s="116">
        <v>211.45</v>
      </c>
      <c r="O213" s="116">
        <v>208</v>
      </c>
      <c r="P213" s="116">
        <v>211</v>
      </c>
      <c r="Q213" s="116">
        <v>209.05</v>
      </c>
      <c r="R213">
        <v>2195061</v>
      </c>
    </row>
    <row r="214" spans="1:18" x14ac:dyDescent="0.25">
      <c r="A214" s="170">
        <v>42313</v>
      </c>
      <c r="B214" s="116">
        <v>210.9</v>
      </c>
      <c r="C214" s="116">
        <v>208.4</v>
      </c>
      <c r="D214" s="116">
        <v>206</v>
      </c>
      <c r="E214" s="116">
        <v>210.9</v>
      </c>
      <c r="F214" s="116">
        <v>208.4</v>
      </c>
      <c r="G214">
        <v>291666</v>
      </c>
      <c r="H214" s="116"/>
      <c r="I214" s="116"/>
      <c r="L214" s="170">
        <v>42313</v>
      </c>
      <c r="M214" s="116">
        <v>208.15</v>
      </c>
      <c r="N214" s="116">
        <v>209.7</v>
      </c>
      <c r="O214" s="116">
        <v>206.8</v>
      </c>
      <c r="P214" s="116">
        <v>209</v>
      </c>
      <c r="Q214" s="116">
        <v>208.15</v>
      </c>
      <c r="R214">
        <v>1127252</v>
      </c>
    </row>
    <row r="215" spans="1:18" x14ac:dyDescent="0.25">
      <c r="A215" s="170">
        <v>42314</v>
      </c>
      <c r="B215" s="116">
        <v>210.95</v>
      </c>
      <c r="C215" s="116">
        <v>209.8</v>
      </c>
      <c r="D215" s="116">
        <v>206.1</v>
      </c>
      <c r="E215" s="116">
        <v>208.25</v>
      </c>
      <c r="F215" s="116">
        <v>209.8</v>
      </c>
      <c r="G215">
        <v>75302</v>
      </c>
      <c r="H215" s="116"/>
      <c r="I215" s="116"/>
      <c r="L215" s="170">
        <v>42314</v>
      </c>
      <c r="M215" s="116">
        <v>209.85</v>
      </c>
      <c r="N215" s="116">
        <v>210</v>
      </c>
      <c r="O215" s="116">
        <v>205.85</v>
      </c>
      <c r="P215" s="116">
        <v>208.1</v>
      </c>
      <c r="Q215" s="116">
        <v>209.85</v>
      </c>
      <c r="R215">
        <v>1717509</v>
      </c>
    </row>
    <row r="216" spans="1:18" x14ac:dyDescent="0.25">
      <c r="A216" s="170">
        <v>42317</v>
      </c>
      <c r="B216" s="116">
        <v>209.95</v>
      </c>
      <c r="C216" s="116">
        <v>205.2</v>
      </c>
      <c r="D216" s="116">
        <v>203.7</v>
      </c>
      <c r="E216" s="116">
        <v>209.95</v>
      </c>
      <c r="F216" s="116">
        <v>205.2</v>
      </c>
      <c r="G216">
        <v>402058</v>
      </c>
      <c r="H216" s="116"/>
      <c r="I216" s="116"/>
      <c r="L216" s="170">
        <v>42317</v>
      </c>
      <c r="M216" s="116">
        <v>205</v>
      </c>
      <c r="N216" s="116">
        <v>207.6</v>
      </c>
      <c r="O216" s="116">
        <v>203.3</v>
      </c>
      <c r="P216" s="116">
        <v>203.3</v>
      </c>
      <c r="Q216" s="116">
        <v>205</v>
      </c>
      <c r="R216">
        <v>3763169</v>
      </c>
    </row>
    <row r="217" spans="1:18" x14ac:dyDescent="0.25">
      <c r="A217" s="170">
        <v>42318</v>
      </c>
      <c r="B217" s="116">
        <v>205</v>
      </c>
      <c r="C217" s="116">
        <v>197.2</v>
      </c>
      <c r="D217" s="116">
        <v>195.75</v>
      </c>
      <c r="E217" s="116">
        <v>205</v>
      </c>
      <c r="F217" s="116">
        <v>197.2</v>
      </c>
      <c r="G217">
        <v>633666</v>
      </c>
      <c r="H217" s="116"/>
      <c r="I217" s="116"/>
      <c r="L217" s="170">
        <v>42318</v>
      </c>
      <c r="M217" s="116">
        <v>196.7</v>
      </c>
      <c r="N217" s="116">
        <v>204.4</v>
      </c>
      <c r="O217" s="116">
        <v>195.7</v>
      </c>
      <c r="P217" s="116">
        <v>204</v>
      </c>
      <c r="Q217" s="116">
        <v>196.7</v>
      </c>
      <c r="R217">
        <v>5616108</v>
      </c>
    </row>
    <row r="218" spans="1:18" x14ac:dyDescent="0.25">
      <c r="A218" s="170">
        <v>42319</v>
      </c>
      <c r="B218" s="116">
        <v>200</v>
      </c>
      <c r="C218" s="116">
        <v>197.8</v>
      </c>
      <c r="D218" s="116">
        <v>196.95</v>
      </c>
      <c r="E218" s="116">
        <v>200</v>
      </c>
      <c r="F218" s="116">
        <v>197.8</v>
      </c>
      <c r="G218">
        <v>83816</v>
      </c>
      <c r="H218" s="116"/>
      <c r="I218" s="116"/>
      <c r="L218" s="170">
        <v>42319</v>
      </c>
      <c r="M218" s="116">
        <v>198.2</v>
      </c>
      <c r="N218" s="116">
        <v>199.8</v>
      </c>
      <c r="O218" s="116">
        <v>197.1</v>
      </c>
      <c r="P218" s="116">
        <v>198.8</v>
      </c>
      <c r="Q218" s="116">
        <v>198.2</v>
      </c>
      <c r="R218">
        <v>156139</v>
      </c>
    </row>
    <row r="219" spans="1:18" x14ac:dyDescent="0.25">
      <c r="A219" s="170">
        <v>42321</v>
      </c>
      <c r="B219" s="116">
        <v>197.8</v>
      </c>
      <c r="C219" s="116">
        <v>192.95</v>
      </c>
      <c r="D219" s="116">
        <v>191.9</v>
      </c>
      <c r="E219" s="116">
        <v>197.8</v>
      </c>
      <c r="F219" s="116">
        <v>192.95</v>
      </c>
      <c r="G219">
        <v>782590</v>
      </c>
      <c r="H219" s="116"/>
      <c r="I219" s="116"/>
      <c r="L219" s="170">
        <v>42321</v>
      </c>
      <c r="M219" s="116">
        <v>192.65</v>
      </c>
      <c r="N219" s="116">
        <v>196.85</v>
      </c>
      <c r="O219" s="116">
        <v>191.5</v>
      </c>
      <c r="P219" s="116">
        <v>195.25</v>
      </c>
      <c r="Q219" s="116">
        <v>192.65</v>
      </c>
      <c r="R219">
        <v>3043549</v>
      </c>
    </row>
    <row r="220" spans="1:18" x14ac:dyDescent="0.25">
      <c r="A220" s="170">
        <v>42324</v>
      </c>
      <c r="B220" s="116">
        <v>196.15</v>
      </c>
      <c r="C220" s="116">
        <v>194.4</v>
      </c>
      <c r="D220" s="116">
        <v>188.8</v>
      </c>
      <c r="E220" s="116">
        <v>193.45</v>
      </c>
      <c r="F220" s="116">
        <v>194.4</v>
      </c>
      <c r="G220">
        <v>235625</v>
      </c>
      <c r="H220" s="116"/>
      <c r="I220" s="116"/>
      <c r="L220" s="170">
        <v>42324</v>
      </c>
      <c r="M220" s="116">
        <v>194.15</v>
      </c>
      <c r="N220" s="116">
        <v>196</v>
      </c>
      <c r="O220" s="116">
        <v>188.75</v>
      </c>
      <c r="P220" s="116">
        <v>192.3</v>
      </c>
      <c r="Q220" s="116">
        <v>194.15</v>
      </c>
      <c r="R220">
        <v>3882134</v>
      </c>
    </row>
    <row r="221" spans="1:18" x14ac:dyDescent="0.25">
      <c r="A221" s="170">
        <v>42325</v>
      </c>
      <c r="B221" s="116">
        <v>199.5</v>
      </c>
      <c r="C221" s="116">
        <v>199.05</v>
      </c>
      <c r="D221" s="116">
        <v>195</v>
      </c>
      <c r="E221" s="116">
        <v>195.1</v>
      </c>
      <c r="F221" s="116">
        <v>199.05</v>
      </c>
      <c r="G221">
        <v>79997</v>
      </c>
      <c r="H221" s="116"/>
      <c r="I221" s="116"/>
      <c r="L221" s="170">
        <v>42325</v>
      </c>
      <c r="M221" s="116">
        <v>199</v>
      </c>
      <c r="N221" s="116">
        <v>199.7</v>
      </c>
      <c r="O221" s="116">
        <v>194.8</v>
      </c>
      <c r="P221" s="116">
        <v>195.1</v>
      </c>
      <c r="Q221" s="116">
        <v>199</v>
      </c>
      <c r="R221">
        <v>3433667</v>
      </c>
    </row>
    <row r="222" spans="1:18" x14ac:dyDescent="0.25">
      <c r="A222" s="170">
        <v>42326</v>
      </c>
      <c r="B222" s="116">
        <v>202.8</v>
      </c>
      <c r="C222" s="116">
        <v>197.4</v>
      </c>
      <c r="D222" s="116">
        <v>196.2</v>
      </c>
      <c r="E222" s="116">
        <v>200</v>
      </c>
      <c r="F222" s="116">
        <v>197.4</v>
      </c>
      <c r="G222">
        <v>155162</v>
      </c>
      <c r="H222" s="116"/>
      <c r="I222" s="116"/>
      <c r="L222" s="170">
        <v>42326</v>
      </c>
      <c r="M222" s="116">
        <v>197.45</v>
      </c>
      <c r="N222" s="116">
        <v>202.75</v>
      </c>
      <c r="O222" s="116">
        <v>196.1</v>
      </c>
      <c r="P222" s="116">
        <v>198.7</v>
      </c>
      <c r="Q222" s="116">
        <v>197.45</v>
      </c>
      <c r="R222">
        <v>3293580</v>
      </c>
    </row>
    <row r="223" spans="1:18" x14ac:dyDescent="0.25">
      <c r="A223" s="170">
        <v>42327</v>
      </c>
      <c r="B223" s="116">
        <v>199.2</v>
      </c>
      <c r="C223" s="116">
        <v>197.95</v>
      </c>
      <c r="D223" s="116">
        <v>195.5</v>
      </c>
      <c r="E223" s="116">
        <v>198</v>
      </c>
      <c r="F223" s="116">
        <v>197.95</v>
      </c>
      <c r="G223">
        <v>89919</v>
      </c>
      <c r="H223" s="116"/>
      <c r="I223" s="116"/>
      <c r="L223" s="170">
        <v>42327</v>
      </c>
      <c r="M223" s="116">
        <v>198.05</v>
      </c>
      <c r="N223" s="116">
        <v>199</v>
      </c>
      <c r="O223" s="116">
        <v>195.3</v>
      </c>
      <c r="P223" s="116">
        <v>198.15</v>
      </c>
      <c r="Q223" s="116">
        <v>198.05</v>
      </c>
      <c r="R223">
        <v>1583080</v>
      </c>
    </row>
    <row r="224" spans="1:18" x14ac:dyDescent="0.25">
      <c r="A224" s="170">
        <v>42328</v>
      </c>
      <c r="B224" s="116">
        <v>202.9</v>
      </c>
      <c r="C224" s="116">
        <v>200.9</v>
      </c>
      <c r="D224" s="116">
        <v>198.35</v>
      </c>
      <c r="E224" s="116">
        <v>198.75</v>
      </c>
      <c r="F224" s="116">
        <v>200.9</v>
      </c>
      <c r="G224">
        <v>1157585</v>
      </c>
      <c r="H224" s="116"/>
      <c r="I224" s="116"/>
      <c r="L224" s="170">
        <v>42328</v>
      </c>
      <c r="M224" s="116">
        <v>201.95</v>
      </c>
      <c r="N224" s="116">
        <v>203.75</v>
      </c>
      <c r="O224" s="116">
        <v>197.95</v>
      </c>
      <c r="P224" s="116">
        <v>198</v>
      </c>
      <c r="Q224" s="116">
        <v>201.95</v>
      </c>
      <c r="R224">
        <v>1408094</v>
      </c>
    </row>
    <row r="225" spans="1:18" x14ac:dyDescent="0.25">
      <c r="A225" s="170">
        <v>42331</v>
      </c>
      <c r="B225" s="116">
        <v>203.5</v>
      </c>
      <c r="C225" s="116">
        <v>201.25</v>
      </c>
      <c r="D225" s="116">
        <v>199.75</v>
      </c>
      <c r="E225" s="116">
        <v>203</v>
      </c>
      <c r="F225" s="116">
        <v>201.25</v>
      </c>
      <c r="G225">
        <v>179025</v>
      </c>
      <c r="H225" s="116"/>
      <c r="I225" s="116"/>
      <c r="L225" s="170">
        <v>42331</v>
      </c>
      <c r="M225" s="116">
        <v>200.7</v>
      </c>
      <c r="N225" s="116">
        <v>203.9</v>
      </c>
      <c r="O225" s="116">
        <v>199.65</v>
      </c>
      <c r="P225" s="116">
        <v>203.9</v>
      </c>
      <c r="Q225" s="116">
        <v>200.7</v>
      </c>
      <c r="R225">
        <v>825259</v>
      </c>
    </row>
    <row r="226" spans="1:18" x14ac:dyDescent="0.25">
      <c r="A226" s="170">
        <v>42332</v>
      </c>
      <c r="B226" s="116">
        <v>204.95</v>
      </c>
      <c r="C226" s="116">
        <v>202.35</v>
      </c>
      <c r="D226" s="116">
        <v>201</v>
      </c>
      <c r="E226" s="116">
        <v>201</v>
      </c>
      <c r="F226" s="116">
        <v>202.35</v>
      </c>
      <c r="G226">
        <v>503605</v>
      </c>
      <c r="H226" s="116"/>
      <c r="I226" s="116"/>
      <c r="L226" s="170">
        <v>42332</v>
      </c>
      <c r="M226" s="116">
        <v>202.6</v>
      </c>
      <c r="N226" s="116">
        <v>205.05</v>
      </c>
      <c r="O226" s="116">
        <v>200.05</v>
      </c>
      <c r="P226" s="116">
        <v>200.1</v>
      </c>
      <c r="Q226" s="116">
        <v>202.6</v>
      </c>
      <c r="R226">
        <v>2351546</v>
      </c>
    </row>
    <row r="227" spans="1:18" x14ac:dyDescent="0.25">
      <c r="A227" s="170">
        <v>42334</v>
      </c>
      <c r="B227" s="116">
        <v>204.4</v>
      </c>
      <c r="C227" s="116">
        <v>203.05</v>
      </c>
      <c r="D227" s="116">
        <v>201.4</v>
      </c>
      <c r="E227" s="116">
        <v>201.9</v>
      </c>
      <c r="F227" s="116">
        <v>203.05</v>
      </c>
      <c r="G227">
        <v>70755</v>
      </c>
      <c r="H227" s="116"/>
      <c r="I227" s="116"/>
      <c r="L227" s="170">
        <v>42334</v>
      </c>
      <c r="M227" s="116">
        <v>203.2</v>
      </c>
      <c r="N227" s="116">
        <v>204.5</v>
      </c>
      <c r="O227" s="116">
        <v>201.1</v>
      </c>
      <c r="P227" s="116">
        <v>201.7</v>
      </c>
      <c r="Q227" s="116">
        <v>203.2</v>
      </c>
      <c r="R227">
        <v>2387706</v>
      </c>
    </row>
    <row r="228" spans="1:18" x14ac:dyDescent="0.25">
      <c r="A228" s="170">
        <v>42335</v>
      </c>
      <c r="B228" s="116">
        <v>205</v>
      </c>
      <c r="C228" s="116">
        <v>201.9</v>
      </c>
      <c r="D228" s="116">
        <v>200.85</v>
      </c>
      <c r="E228" s="116">
        <v>202.95</v>
      </c>
      <c r="F228" s="116">
        <v>201.9</v>
      </c>
      <c r="G228">
        <v>59665</v>
      </c>
      <c r="H228" s="116"/>
      <c r="I228" s="116"/>
      <c r="L228" s="170">
        <v>42335</v>
      </c>
      <c r="M228" s="116">
        <v>202.6</v>
      </c>
      <c r="N228" s="116">
        <v>205</v>
      </c>
      <c r="O228" s="116">
        <v>201.3</v>
      </c>
      <c r="P228" s="116">
        <v>203.5</v>
      </c>
      <c r="Q228" s="116">
        <v>202.6</v>
      </c>
      <c r="R228">
        <v>772024</v>
      </c>
    </row>
    <row r="229" spans="1:18" x14ac:dyDescent="0.25">
      <c r="A229" s="170">
        <v>42338</v>
      </c>
      <c r="B229" s="116">
        <v>202.6</v>
      </c>
      <c r="C229" s="116">
        <v>198.85</v>
      </c>
      <c r="D229" s="116">
        <v>198.05</v>
      </c>
      <c r="E229" s="116">
        <v>202.6</v>
      </c>
      <c r="F229" s="116">
        <v>198.85</v>
      </c>
      <c r="G229">
        <v>1156890</v>
      </c>
      <c r="H229" s="116"/>
      <c r="I229" s="116"/>
      <c r="L229" s="170">
        <v>42338</v>
      </c>
      <c r="M229" s="116">
        <v>198.9</v>
      </c>
      <c r="N229" s="116">
        <v>203</v>
      </c>
      <c r="O229" s="116">
        <v>198.1</v>
      </c>
      <c r="P229" s="116">
        <v>202.6</v>
      </c>
      <c r="Q229" s="116">
        <v>198.9</v>
      </c>
      <c r="R229">
        <v>3352994</v>
      </c>
    </row>
    <row r="230" spans="1:18" x14ac:dyDescent="0.25">
      <c r="A230" s="170">
        <v>42339</v>
      </c>
      <c r="B230" s="116">
        <v>203.5</v>
      </c>
      <c r="C230" s="116">
        <v>200.7</v>
      </c>
      <c r="D230" s="116">
        <v>199.85</v>
      </c>
      <c r="E230" s="116">
        <v>200</v>
      </c>
      <c r="F230" s="116">
        <v>200.7</v>
      </c>
      <c r="G230">
        <v>100065</v>
      </c>
      <c r="H230" s="116"/>
      <c r="I230" s="116"/>
      <c r="L230" s="170">
        <v>42339</v>
      </c>
      <c r="M230" s="116">
        <v>200.8</v>
      </c>
      <c r="N230" s="116">
        <v>203.5</v>
      </c>
      <c r="O230" s="116">
        <v>200</v>
      </c>
      <c r="P230" s="116">
        <v>200.1</v>
      </c>
      <c r="Q230" s="116">
        <v>200.8</v>
      </c>
      <c r="R230">
        <v>1088925</v>
      </c>
    </row>
    <row r="231" spans="1:18" x14ac:dyDescent="0.25">
      <c r="A231" s="170">
        <v>42340</v>
      </c>
      <c r="B231" s="116">
        <v>203.6</v>
      </c>
      <c r="C231" s="116">
        <v>200.45</v>
      </c>
      <c r="D231" s="116">
        <v>199.15</v>
      </c>
      <c r="E231" s="116">
        <v>203</v>
      </c>
      <c r="F231" s="116">
        <v>200.45</v>
      </c>
      <c r="G231">
        <v>95594</v>
      </c>
      <c r="H231" s="116"/>
      <c r="I231" s="116"/>
      <c r="L231" s="170">
        <v>42340</v>
      </c>
      <c r="M231" s="116">
        <v>200.15</v>
      </c>
      <c r="N231" s="116">
        <v>203.75</v>
      </c>
      <c r="O231" s="116">
        <v>199.15</v>
      </c>
      <c r="P231" s="116">
        <v>203.35</v>
      </c>
      <c r="Q231" s="116">
        <v>200.15</v>
      </c>
      <c r="R231">
        <v>2388672</v>
      </c>
    </row>
    <row r="232" spans="1:18" x14ac:dyDescent="0.25">
      <c r="A232" s="170">
        <v>42341</v>
      </c>
      <c r="B232" s="116">
        <v>200.5</v>
      </c>
      <c r="C232" s="116">
        <v>198</v>
      </c>
      <c r="D232" s="116">
        <v>197.3</v>
      </c>
      <c r="E232" s="116">
        <v>200</v>
      </c>
      <c r="F232" s="116">
        <v>198</v>
      </c>
      <c r="G232">
        <v>63433</v>
      </c>
      <c r="H232" s="116"/>
      <c r="I232" s="116"/>
      <c r="L232" s="170">
        <v>42341</v>
      </c>
      <c r="M232" s="116">
        <v>197.7</v>
      </c>
      <c r="N232" s="116">
        <v>200.45</v>
      </c>
      <c r="O232" s="116">
        <v>197.2</v>
      </c>
      <c r="P232" s="116">
        <v>199.2</v>
      </c>
      <c r="Q232" s="116">
        <v>197.7</v>
      </c>
      <c r="R232">
        <v>1969587</v>
      </c>
    </row>
    <row r="233" spans="1:18" x14ac:dyDescent="0.25">
      <c r="A233" s="170">
        <v>42342</v>
      </c>
      <c r="B233" s="116">
        <v>199.5</v>
      </c>
      <c r="C233" s="116">
        <v>195.05</v>
      </c>
      <c r="D233" s="116">
        <v>194.5</v>
      </c>
      <c r="E233" s="116">
        <v>199.5</v>
      </c>
      <c r="F233" s="116">
        <v>195.05</v>
      </c>
      <c r="G233">
        <v>69202</v>
      </c>
      <c r="H233" s="116"/>
      <c r="I233" s="116"/>
      <c r="L233" s="170">
        <v>42342</v>
      </c>
      <c r="M233" s="116">
        <v>195.05</v>
      </c>
      <c r="N233" s="116">
        <v>197.55</v>
      </c>
      <c r="O233" s="116">
        <v>194.5</v>
      </c>
      <c r="P233" s="116">
        <v>197</v>
      </c>
      <c r="Q233" s="116">
        <v>195.05</v>
      </c>
      <c r="R233">
        <v>2711059</v>
      </c>
    </row>
    <row r="234" spans="1:18" x14ac:dyDescent="0.25">
      <c r="A234" s="170">
        <v>42345</v>
      </c>
      <c r="B234" s="116">
        <v>198.4</v>
      </c>
      <c r="C234" s="116">
        <v>195.9</v>
      </c>
      <c r="D234" s="116">
        <v>195.6</v>
      </c>
      <c r="E234" s="116">
        <v>196.95</v>
      </c>
      <c r="F234" s="116">
        <v>195.9</v>
      </c>
      <c r="G234">
        <v>60678</v>
      </c>
      <c r="H234" s="116"/>
      <c r="I234" s="116"/>
      <c r="L234" s="170">
        <v>42345</v>
      </c>
      <c r="M234" s="116">
        <v>195.9</v>
      </c>
      <c r="N234" s="116">
        <v>198.5</v>
      </c>
      <c r="O234" s="116">
        <v>195.15</v>
      </c>
      <c r="P234" s="116">
        <v>196.5</v>
      </c>
      <c r="Q234" s="116">
        <v>195.9</v>
      </c>
      <c r="R234">
        <v>1962362</v>
      </c>
    </row>
    <row r="235" spans="1:18" x14ac:dyDescent="0.25">
      <c r="A235" s="170">
        <v>42346</v>
      </c>
      <c r="B235" s="116">
        <v>195.35</v>
      </c>
      <c r="C235" s="116">
        <v>194.45</v>
      </c>
      <c r="D235" s="116">
        <v>193.4</v>
      </c>
      <c r="E235" s="116">
        <v>195</v>
      </c>
      <c r="F235" s="116">
        <v>194.45</v>
      </c>
      <c r="G235">
        <v>44931</v>
      </c>
      <c r="H235" s="116"/>
      <c r="I235" s="116"/>
      <c r="L235" s="170">
        <v>42346</v>
      </c>
      <c r="M235" s="116">
        <v>194.65</v>
      </c>
      <c r="N235" s="116">
        <v>195.1</v>
      </c>
      <c r="O235" s="116">
        <v>193.25</v>
      </c>
      <c r="P235" s="116">
        <v>195</v>
      </c>
      <c r="Q235" s="116">
        <v>194.65</v>
      </c>
      <c r="R235">
        <v>1650962</v>
      </c>
    </row>
    <row r="236" spans="1:18" x14ac:dyDescent="0.25">
      <c r="A236" s="170">
        <v>42347</v>
      </c>
      <c r="B236" s="116">
        <v>196</v>
      </c>
      <c r="C236" s="116">
        <v>189.5</v>
      </c>
      <c r="D236" s="116">
        <v>188.15</v>
      </c>
      <c r="E236" s="116">
        <v>196</v>
      </c>
      <c r="F236" s="116">
        <v>189.5</v>
      </c>
      <c r="G236">
        <v>150214</v>
      </c>
      <c r="H236" s="116"/>
      <c r="I236" s="116"/>
      <c r="L236" s="170">
        <v>42347</v>
      </c>
      <c r="M236" s="116">
        <v>189.4</v>
      </c>
      <c r="N236" s="116">
        <v>195</v>
      </c>
      <c r="O236" s="116">
        <v>188.25</v>
      </c>
      <c r="P236" s="116">
        <v>194.1</v>
      </c>
      <c r="Q236" s="116">
        <v>189.4</v>
      </c>
      <c r="R236">
        <v>2732209</v>
      </c>
    </row>
    <row r="237" spans="1:18" x14ac:dyDescent="0.25">
      <c r="A237" s="170">
        <v>42348</v>
      </c>
      <c r="B237" s="116">
        <v>191.6</v>
      </c>
      <c r="C237" s="116">
        <v>189.75</v>
      </c>
      <c r="D237" s="116">
        <v>188.1</v>
      </c>
      <c r="E237" s="116">
        <v>190</v>
      </c>
      <c r="F237" s="116">
        <v>189.75</v>
      </c>
      <c r="G237">
        <v>134333</v>
      </c>
      <c r="H237" s="116"/>
      <c r="I237" s="116"/>
      <c r="L237" s="170">
        <v>42348</v>
      </c>
      <c r="M237" s="116">
        <v>189.9</v>
      </c>
      <c r="N237" s="116">
        <v>191.9</v>
      </c>
      <c r="O237" s="116">
        <v>188.1</v>
      </c>
      <c r="P237" s="116">
        <v>190.55</v>
      </c>
      <c r="Q237" s="116">
        <v>189.9</v>
      </c>
      <c r="R237">
        <v>1553164</v>
      </c>
    </row>
    <row r="238" spans="1:18" x14ac:dyDescent="0.25">
      <c r="A238" s="170">
        <v>42349</v>
      </c>
      <c r="B238" s="116">
        <v>194.4</v>
      </c>
      <c r="C238" s="116">
        <v>188.75</v>
      </c>
      <c r="D238" s="116">
        <v>187.7</v>
      </c>
      <c r="E238" s="116">
        <v>190.6</v>
      </c>
      <c r="F238" s="116">
        <v>188.75</v>
      </c>
      <c r="G238">
        <v>333497</v>
      </c>
      <c r="H238" s="116"/>
      <c r="I238" s="116"/>
      <c r="L238" s="170">
        <v>42349</v>
      </c>
      <c r="M238" s="116">
        <v>189</v>
      </c>
      <c r="N238" s="116">
        <v>194.45</v>
      </c>
      <c r="O238" s="116">
        <v>187.6</v>
      </c>
      <c r="P238" s="116">
        <v>190</v>
      </c>
      <c r="Q238" s="116">
        <v>189</v>
      </c>
      <c r="R238">
        <v>2526945</v>
      </c>
    </row>
    <row r="239" spans="1:18" x14ac:dyDescent="0.25">
      <c r="A239" s="170">
        <v>42352</v>
      </c>
      <c r="B239" s="116">
        <v>193.65</v>
      </c>
      <c r="C239" s="116">
        <v>192.9</v>
      </c>
      <c r="D239" s="116">
        <v>189.1</v>
      </c>
      <c r="E239" s="116">
        <v>190</v>
      </c>
      <c r="F239" s="116">
        <v>192.9</v>
      </c>
      <c r="G239">
        <v>98860</v>
      </c>
      <c r="H239" s="116"/>
      <c r="I239" s="116"/>
      <c r="L239" s="170">
        <v>42352</v>
      </c>
      <c r="M239" s="116">
        <v>193.25</v>
      </c>
      <c r="N239" s="116">
        <v>194.5</v>
      </c>
      <c r="O239" s="116">
        <v>189.05</v>
      </c>
      <c r="P239" s="116">
        <v>190.45</v>
      </c>
      <c r="Q239" s="116">
        <v>193.25</v>
      </c>
      <c r="R239">
        <v>1484031</v>
      </c>
    </row>
    <row r="240" spans="1:18" x14ac:dyDescent="0.25">
      <c r="A240" s="170">
        <v>42353</v>
      </c>
      <c r="B240" s="116">
        <v>194.5</v>
      </c>
      <c r="C240" s="116">
        <v>193.25</v>
      </c>
      <c r="D240" s="116">
        <v>190.15</v>
      </c>
      <c r="E240" s="116">
        <v>192.85</v>
      </c>
      <c r="F240" s="116">
        <v>193.25</v>
      </c>
      <c r="G240">
        <v>43393</v>
      </c>
      <c r="H240" s="116"/>
      <c r="I240" s="116"/>
      <c r="L240" s="170">
        <v>42353</v>
      </c>
      <c r="M240" s="116">
        <v>193.35</v>
      </c>
      <c r="N240" s="116">
        <v>194.1</v>
      </c>
      <c r="O240" s="116">
        <v>190.15</v>
      </c>
      <c r="P240" s="116">
        <v>194</v>
      </c>
      <c r="Q240" s="116">
        <v>193.35</v>
      </c>
      <c r="R240">
        <v>955636</v>
      </c>
    </row>
    <row r="241" spans="1:18" x14ac:dyDescent="0.25">
      <c r="A241" s="170">
        <v>42354</v>
      </c>
      <c r="B241" s="116">
        <v>195.1</v>
      </c>
      <c r="C241" s="116">
        <v>194.2</v>
      </c>
      <c r="D241" s="116">
        <v>192.2</v>
      </c>
      <c r="E241" s="116">
        <v>194</v>
      </c>
      <c r="F241" s="116">
        <v>194.2</v>
      </c>
      <c r="G241">
        <v>2989872</v>
      </c>
      <c r="H241" s="116"/>
      <c r="I241" s="116"/>
      <c r="L241" s="170">
        <v>42354</v>
      </c>
      <c r="M241" s="116">
        <v>194.35</v>
      </c>
      <c r="N241" s="116">
        <v>194.75</v>
      </c>
      <c r="O241" s="116">
        <v>192.05</v>
      </c>
      <c r="P241" s="116">
        <v>194</v>
      </c>
      <c r="Q241" s="116">
        <v>194.35</v>
      </c>
      <c r="R241">
        <v>1968396</v>
      </c>
    </row>
    <row r="242" spans="1:18" x14ac:dyDescent="0.25">
      <c r="A242" s="170">
        <v>42355</v>
      </c>
      <c r="B242" s="116">
        <v>198.5</v>
      </c>
      <c r="C242" s="116">
        <v>197.9</v>
      </c>
      <c r="D242" s="116">
        <v>194.3</v>
      </c>
      <c r="E242" s="116">
        <v>195</v>
      </c>
      <c r="F242" s="116">
        <v>197.9</v>
      </c>
      <c r="G242">
        <v>126284</v>
      </c>
      <c r="H242" s="116"/>
      <c r="I242" s="116"/>
      <c r="L242" s="170">
        <v>42355</v>
      </c>
      <c r="M242" s="116">
        <v>198.15</v>
      </c>
      <c r="N242" s="116">
        <v>198.85</v>
      </c>
      <c r="O242" s="116">
        <v>194.2</v>
      </c>
      <c r="P242" s="116">
        <v>194.55</v>
      </c>
      <c r="Q242" s="116">
        <v>198.15</v>
      </c>
      <c r="R242">
        <v>1386966</v>
      </c>
    </row>
    <row r="243" spans="1:18" x14ac:dyDescent="0.25">
      <c r="A243" s="170">
        <v>42356</v>
      </c>
      <c r="B243" s="116">
        <v>202.15</v>
      </c>
      <c r="C243" s="116">
        <v>199.9</v>
      </c>
      <c r="D243" s="116">
        <v>194.65</v>
      </c>
      <c r="E243" s="116">
        <v>198.5</v>
      </c>
      <c r="F243" s="116">
        <v>199.9</v>
      </c>
      <c r="G243">
        <v>9766549</v>
      </c>
      <c r="H243" s="116"/>
      <c r="I243" s="116"/>
      <c r="L243" s="170">
        <v>42356</v>
      </c>
      <c r="M243" s="116">
        <v>199.5</v>
      </c>
      <c r="N243" s="116">
        <v>202.5</v>
      </c>
      <c r="O243" s="116">
        <v>195</v>
      </c>
      <c r="P243" s="116">
        <v>198</v>
      </c>
      <c r="Q243" s="116">
        <v>199.5</v>
      </c>
      <c r="R243">
        <v>2885447</v>
      </c>
    </row>
    <row r="244" spans="1:18" x14ac:dyDescent="0.25">
      <c r="A244" s="170">
        <v>42359</v>
      </c>
      <c r="B244" s="116">
        <v>202.35</v>
      </c>
      <c r="C244" s="116">
        <v>200.7</v>
      </c>
      <c r="D244" s="116">
        <v>198.2</v>
      </c>
      <c r="E244" s="116">
        <v>200.7</v>
      </c>
      <c r="F244" s="116">
        <v>200.7</v>
      </c>
      <c r="G244">
        <v>650715</v>
      </c>
      <c r="H244" s="116"/>
      <c r="I244" s="116"/>
      <c r="L244" s="170">
        <v>42359</v>
      </c>
      <c r="M244" s="116">
        <v>200.8</v>
      </c>
      <c r="N244" s="116">
        <v>202.4</v>
      </c>
      <c r="O244" s="116">
        <v>198.15</v>
      </c>
      <c r="P244" s="116">
        <v>200</v>
      </c>
      <c r="Q244" s="116">
        <v>200.8</v>
      </c>
      <c r="R244">
        <v>928789</v>
      </c>
    </row>
    <row r="245" spans="1:18" x14ac:dyDescent="0.25">
      <c r="A245" s="170">
        <v>42360</v>
      </c>
      <c r="B245" s="116">
        <v>201.9</v>
      </c>
      <c r="C245" s="116">
        <v>200</v>
      </c>
      <c r="D245" s="116">
        <v>199.5</v>
      </c>
      <c r="E245" s="116">
        <v>200</v>
      </c>
      <c r="F245" s="116">
        <v>200</v>
      </c>
      <c r="G245">
        <v>164496</v>
      </c>
      <c r="H245" s="116"/>
      <c r="I245" s="116"/>
      <c r="L245" s="170">
        <v>42360</v>
      </c>
      <c r="M245" s="116">
        <v>200</v>
      </c>
      <c r="N245" s="116">
        <v>202</v>
      </c>
      <c r="O245" s="116">
        <v>199.3</v>
      </c>
      <c r="P245" s="116">
        <v>200</v>
      </c>
      <c r="Q245" s="116">
        <v>200</v>
      </c>
      <c r="R245">
        <v>1053432</v>
      </c>
    </row>
    <row r="246" spans="1:18" x14ac:dyDescent="0.25">
      <c r="A246" s="170">
        <v>42361</v>
      </c>
      <c r="B246" s="116">
        <v>202</v>
      </c>
      <c r="C246" s="116">
        <v>201.4</v>
      </c>
      <c r="D246" s="116">
        <v>200.5</v>
      </c>
      <c r="E246" s="116">
        <v>201</v>
      </c>
      <c r="F246" s="116">
        <v>201.4</v>
      </c>
      <c r="G246">
        <v>74888</v>
      </c>
      <c r="H246" s="116"/>
      <c r="I246" s="116"/>
      <c r="L246" s="170">
        <v>42361</v>
      </c>
      <c r="M246" s="116">
        <v>201.45</v>
      </c>
      <c r="N246" s="116">
        <v>201.7</v>
      </c>
      <c r="O246" s="116">
        <v>200.45</v>
      </c>
      <c r="P246" s="116">
        <v>200.95</v>
      </c>
      <c r="Q246" s="116">
        <v>201.45</v>
      </c>
      <c r="R246">
        <v>810750</v>
      </c>
    </row>
    <row r="247" spans="1:18" x14ac:dyDescent="0.25">
      <c r="A247" s="170">
        <v>42362</v>
      </c>
      <c r="B247" s="116">
        <v>204.25</v>
      </c>
      <c r="C247" s="116">
        <v>203.35</v>
      </c>
      <c r="D247" s="116">
        <v>200.55</v>
      </c>
      <c r="E247" s="116">
        <v>202</v>
      </c>
      <c r="F247" s="116">
        <v>203.35</v>
      </c>
      <c r="G247">
        <v>39727</v>
      </c>
      <c r="H247" s="116"/>
      <c r="I247" s="116"/>
      <c r="L247" s="170">
        <v>42362</v>
      </c>
      <c r="M247" s="116">
        <v>203.3</v>
      </c>
      <c r="N247" s="116">
        <v>204.2</v>
      </c>
      <c r="O247" s="116">
        <v>200.7</v>
      </c>
      <c r="P247" s="116">
        <v>201.85</v>
      </c>
      <c r="Q247" s="116">
        <v>203.3</v>
      </c>
      <c r="R247">
        <v>494077</v>
      </c>
    </row>
    <row r="248" spans="1:18" x14ac:dyDescent="0.25">
      <c r="A248" s="170">
        <v>42366</v>
      </c>
      <c r="B248" s="116">
        <v>204.5</v>
      </c>
      <c r="C248" s="116">
        <v>202.2</v>
      </c>
      <c r="D248" s="116">
        <v>201</v>
      </c>
      <c r="E248" s="116">
        <v>204</v>
      </c>
      <c r="F248" s="116">
        <v>202.2</v>
      </c>
      <c r="G248">
        <v>90597</v>
      </c>
      <c r="H248" s="116"/>
      <c r="I248" s="116"/>
      <c r="L248" s="170">
        <v>42366</v>
      </c>
      <c r="M248" s="116">
        <v>202.7</v>
      </c>
      <c r="N248" s="116">
        <v>204.5</v>
      </c>
      <c r="O248" s="116">
        <v>201.6</v>
      </c>
      <c r="P248" s="116">
        <v>203</v>
      </c>
      <c r="Q248" s="116">
        <v>202.7</v>
      </c>
      <c r="R248">
        <v>1402316</v>
      </c>
    </row>
    <row r="249" spans="1:18" x14ac:dyDescent="0.25">
      <c r="A249" s="170">
        <v>42367</v>
      </c>
      <c r="B249" s="116">
        <v>205.95</v>
      </c>
      <c r="C249" s="116">
        <v>205.45</v>
      </c>
      <c r="D249" s="116">
        <v>202.05</v>
      </c>
      <c r="E249" s="116">
        <v>203.3</v>
      </c>
      <c r="F249" s="116">
        <v>205.45</v>
      </c>
      <c r="G249">
        <v>78168</v>
      </c>
      <c r="H249" s="116"/>
      <c r="I249" s="116"/>
      <c r="L249" s="170">
        <v>42367</v>
      </c>
      <c r="M249" s="116">
        <v>205.55</v>
      </c>
      <c r="N249" s="116">
        <v>206.3</v>
      </c>
      <c r="O249" s="116">
        <v>201.9</v>
      </c>
      <c r="P249" s="116">
        <v>202.8</v>
      </c>
      <c r="Q249" s="116">
        <v>205.55</v>
      </c>
      <c r="R249">
        <v>1357720</v>
      </c>
    </row>
    <row r="250" spans="1:18" x14ac:dyDescent="0.25">
      <c r="A250" s="170">
        <v>42368</v>
      </c>
      <c r="B250" s="116">
        <v>207</v>
      </c>
      <c r="C250" s="116">
        <v>204.55</v>
      </c>
      <c r="D250" s="116">
        <v>204.05</v>
      </c>
      <c r="E250" s="116">
        <v>207</v>
      </c>
      <c r="F250" s="116">
        <v>204.55</v>
      </c>
      <c r="G250">
        <v>32565</v>
      </c>
      <c r="H250" s="116"/>
      <c r="I250" s="116"/>
      <c r="L250" s="170">
        <v>42368</v>
      </c>
      <c r="M250" s="116">
        <v>204.95</v>
      </c>
      <c r="N250" s="116">
        <v>206</v>
      </c>
      <c r="O250" s="116">
        <v>204.3</v>
      </c>
      <c r="P250" s="116">
        <v>205.9</v>
      </c>
      <c r="Q250" s="116">
        <v>204.95</v>
      </c>
      <c r="R250">
        <v>685334</v>
      </c>
    </row>
    <row r="251" spans="1:18" x14ac:dyDescent="0.25">
      <c r="A251" s="170">
        <v>42369</v>
      </c>
      <c r="B251" s="116">
        <v>205.95</v>
      </c>
      <c r="C251" s="116">
        <v>203.3</v>
      </c>
      <c r="D251" s="116">
        <v>202.55</v>
      </c>
      <c r="E251" s="116">
        <v>204.55</v>
      </c>
      <c r="F251" s="116">
        <v>203.3</v>
      </c>
      <c r="G251">
        <v>44790</v>
      </c>
      <c r="H251" s="116"/>
      <c r="I251" s="116"/>
      <c r="L251" s="170">
        <v>42369</v>
      </c>
      <c r="M251" s="116">
        <v>203.05</v>
      </c>
      <c r="N251" s="116">
        <v>205.9</v>
      </c>
      <c r="O251" s="116">
        <v>202.4</v>
      </c>
      <c r="P251" s="116">
        <v>205</v>
      </c>
      <c r="Q251" s="116">
        <v>203.05</v>
      </c>
      <c r="R251">
        <v>1177258</v>
      </c>
    </row>
    <row r="252" spans="1:18" x14ac:dyDescent="0.25">
      <c r="A252" s="170">
        <v>42370</v>
      </c>
      <c r="B252" s="116">
        <v>206.5</v>
      </c>
      <c r="C252" s="116">
        <v>205.25</v>
      </c>
      <c r="D252" s="116">
        <v>203</v>
      </c>
      <c r="E252" s="116">
        <v>203</v>
      </c>
      <c r="F252" s="116">
        <v>205.25</v>
      </c>
      <c r="G252">
        <v>37783</v>
      </c>
      <c r="H252" s="116"/>
      <c r="I252" s="116"/>
      <c r="L252" s="170">
        <v>42370</v>
      </c>
      <c r="M252" s="116">
        <v>205.65</v>
      </c>
      <c r="N252" s="116">
        <v>206.4</v>
      </c>
      <c r="O252" s="116">
        <v>203</v>
      </c>
      <c r="P252" s="116">
        <v>203.5</v>
      </c>
      <c r="Q252" s="116">
        <v>205.65</v>
      </c>
      <c r="R252">
        <v>553703</v>
      </c>
    </row>
    <row r="253" spans="1:18" x14ac:dyDescent="0.25">
      <c r="A253" s="170">
        <v>42373</v>
      </c>
      <c r="B253" s="116">
        <v>207</v>
      </c>
      <c r="C253" s="116">
        <v>202.25</v>
      </c>
      <c r="D253" s="116">
        <v>200.5</v>
      </c>
      <c r="E253" s="116">
        <v>207</v>
      </c>
      <c r="F253" s="116">
        <v>202.25</v>
      </c>
      <c r="G253">
        <v>115634</v>
      </c>
      <c r="H253" s="116"/>
      <c r="I253" s="116"/>
      <c r="L253" s="170">
        <v>42373</v>
      </c>
      <c r="M253" s="116">
        <v>202.15</v>
      </c>
      <c r="N253" s="116">
        <v>205.6</v>
      </c>
      <c r="O253" s="116">
        <v>200.25</v>
      </c>
      <c r="P253" s="116">
        <v>204.05</v>
      </c>
      <c r="Q253" s="116">
        <v>202.15</v>
      </c>
      <c r="R253">
        <v>1079102</v>
      </c>
    </row>
    <row r="254" spans="1:18" x14ac:dyDescent="0.25">
      <c r="A254" s="170">
        <v>42374</v>
      </c>
      <c r="B254" s="116">
        <v>204.6</v>
      </c>
      <c r="C254" s="116">
        <v>203.85</v>
      </c>
      <c r="D254" s="116">
        <v>201.7</v>
      </c>
      <c r="E254" s="116">
        <v>203</v>
      </c>
      <c r="F254" s="116">
        <v>203.85</v>
      </c>
      <c r="G254">
        <v>37611</v>
      </c>
      <c r="H254" s="116"/>
      <c r="I254" s="116"/>
      <c r="L254" s="170">
        <v>42374</v>
      </c>
      <c r="M254" s="116">
        <v>204</v>
      </c>
      <c r="N254" s="116">
        <v>204.7</v>
      </c>
      <c r="O254" s="116">
        <v>201.8</v>
      </c>
      <c r="P254" s="116">
        <v>203</v>
      </c>
      <c r="Q254" s="116">
        <v>204</v>
      </c>
      <c r="R254">
        <v>1097743</v>
      </c>
    </row>
    <row r="255" spans="1:18" x14ac:dyDescent="0.25">
      <c r="A255" s="170">
        <v>42375</v>
      </c>
      <c r="B255" s="116">
        <v>205</v>
      </c>
      <c r="C255" s="116">
        <v>203.2</v>
      </c>
      <c r="D255" s="116">
        <v>200.9</v>
      </c>
      <c r="E255" s="116">
        <v>203.85</v>
      </c>
      <c r="F255" s="116">
        <v>203.2</v>
      </c>
      <c r="G255">
        <v>36877</v>
      </c>
      <c r="H255" s="116"/>
      <c r="I255" s="116"/>
      <c r="L255" s="170">
        <v>42375</v>
      </c>
      <c r="M255" s="116">
        <v>203.05</v>
      </c>
      <c r="N255" s="116">
        <v>204.95</v>
      </c>
      <c r="O255" s="116">
        <v>200.5</v>
      </c>
      <c r="P255" s="116">
        <v>204.95</v>
      </c>
      <c r="Q255" s="116">
        <v>203.05</v>
      </c>
      <c r="R255">
        <v>1593489</v>
      </c>
    </row>
    <row r="256" spans="1:18" x14ac:dyDescent="0.25">
      <c r="A256" s="170">
        <v>42376</v>
      </c>
      <c r="B256" s="116">
        <v>202.15</v>
      </c>
      <c r="C256" s="116">
        <v>197.6</v>
      </c>
      <c r="D256" s="116">
        <v>195.75</v>
      </c>
      <c r="E256" s="116">
        <v>201.55</v>
      </c>
      <c r="F256" s="116">
        <v>197.6</v>
      </c>
      <c r="G256">
        <v>92652</v>
      </c>
      <c r="H256" s="116"/>
      <c r="I256" s="116"/>
      <c r="L256" s="170">
        <v>42376</v>
      </c>
      <c r="M256" s="116">
        <v>197.6</v>
      </c>
      <c r="N256" s="116">
        <v>202.5</v>
      </c>
      <c r="O256" s="116">
        <v>195.75</v>
      </c>
      <c r="P256" s="116">
        <v>202</v>
      </c>
      <c r="Q256" s="116">
        <v>197.6</v>
      </c>
      <c r="R256">
        <v>2114333</v>
      </c>
    </row>
    <row r="257" spans="1:18" x14ac:dyDescent="0.25">
      <c r="A257" s="170">
        <v>42377</v>
      </c>
      <c r="B257" s="116">
        <v>199.1</v>
      </c>
      <c r="C257" s="116">
        <v>197.6</v>
      </c>
      <c r="D257" s="116">
        <v>194.25</v>
      </c>
      <c r="E257" s="116">
        <v>199</v>
      </c>
      <c r="F257" s="116">
        <v>197.6</v>
      </c>
      <c r="G257">
        <v>71712</v>
      </c>
      <c r="H257" s="116"/>
      <c r="I257" s="116"/>
      <c r="L257" s="170">
        <v>42377</v>
      </c>
      <c r="M257" s="116">
        <v>198.35</v>
      </c>
      <c r="N257" s="116">
        <v>199.65</v>
      </c>
      <c r="O257" s="116">
        <v>194.1</v>
      </c>
      <c r="P257" s="116">
        <v>199</v>
      </c>
      <c r="Q257" s="116">
        <v>198.35</v>
      </c>
      <c r="R257">
        <v>1860881</v>
      </c>
    </row>
    <row r="258" spans="1:18" x14ac:dyDescent="0.25">
      <c r="A258" s="170">
        <v>42380</v>
      </c>
      <c r="B258" s="116">
        <v>201.9</v>
      </c>
      <c r="C258" s="116">
        <v>198.4</v>
      </c>
      <c r="D258" s="116">
        <v>194.85</v>
      </c>
      <c r="E258" s="116">
        <v>196</v>
      </c>
      <c r="F258" s="116">
        <v>198.4</v>
      </c>
      <c r="G258">
        <v>44814</v>
      </c>
      <c r="H258" s="116"/>
      <c r="I258" s="116"/>
      <c r="L258" s="170">
        <v>42380</v>
      </c>
      <c r="M258" s="116">
        <v>197.95</v>
      </c>
      <c r="N258" s="116">
        <v>198.8</v>
      </c>
      <c r="O258" s="116">
        <v>194.55</v>
      </c>
      <c r="P258" s="116">
        <v>196</v>
      </c>
      <c r="Q258" s="116">
        <v>197.95</v>
      </c>
      <c r="R258">
        <v>1818961</v>
      </c>
    </row>
    <row r="259" spans="1:18" x14ac:dyDescent="0.25">
      <c r="A259" s="170">
        <v>42381</v>
      </c>
      <c r="B259" s="116">
        <v>199</v>
      </c>
      <c r="C259" s="116">
        <v>195.4</v>
      </c>
      <c r="D259" s="116">
        <v>194.25</v>
      </c>
      <c r="E259" s="116">
        <v>197.65</v>
      </c>
      <c r="F259" s="116">
        <v>195.4</v>
      </c>
      <c r="G259">
        <v>724846</v>
      </c>
      <c r="H259" s="116"/>
      <c r="I259" s="116"/>
      <c r="L259" s="170">
        <v>42381</v>
      </c>
      <c r="M259" s="116">
        <v>195.2</v>
      </c>
      <c r="N259" s="116">
        <v>199.2</v>
      </c>
      <c r="O259" s="116">
        <v>194.2</v>
      </c>
      <c r="P259" s="116">
        <v>198.4</v>
      </c>
      <c r="Q259" s="116">
        <v>195.2</v>
      </c>
      <c r="R259">
        <v>1601848</v>
      </c>
    </row>
    <row r="260" spans="1:18" x14ac:dyDescent="0.25">
      <c r="A260" s="170">
        <v>42382</v>
      </c>
      <c r="B260" s="116">
        <v>199.2</v>
      </c>
      <c r="C260" s="116">
        <v>198.05</v>
      </c>
      <c r="D260" s="116">
        <v>194</v>
      </c>
      <c r="E260" s="116">
        <v>196</v>
      </c>
      <c r="F260" s="116">
        <v>198.05</v>
      </c>
      <c r="G260">
        <v>105560</v>
      </c>
      <c r="H260" s="116"/>
      <c r="I260" s="116"/>
      <c r="L260" s="170">
        <v>42382</v>
      </c>
      <c r="M260" s="116">
        <v>197.95</v>
      </c>
      <c r="N260" s="116">
        <v>198.85</v>
      </c>
      <c r="O260" s="116">
        <v>194.05</v>
      </c>
      <c r="P260" s="116">
        <v>196.95</v>
      </c>
      <c r="Q260" s="116">
        <v>197.95</v>
      </c>
      <c r="R260">
        <v>1692489</v>
      </c>
    </row>
    <row r="261" spans="1:18" x14ac:dyDescent="0.25">
      <c r="A261" s="170">
        <v>42383</v>
      </c>
      <c r="B261" s="116">
        <v>199.5</v>
      </c>
      <c r="C261" s="116">
        <v>198.35</v>
      </c>
      <c r="D261" s="116">
        <v>192.6</v>
      </c>
      <c r="E261" s="116">
        <v>197</v>
      </c>
      <c r="F261" s="116">
        <v>198.35</v>
      </c>
      <c r="G261">
        <v>144837</v>
      </c>
      <c r="H261" s="116"/>
      <c r="I261" s="116"/>
      <c r="L261" s="170">
        <v>42383</v>
      </c>
      <c r="M261" s="116">
        <v>197.95</v>
      </c>
      <c r="N261" s="116">
        <v>199.5</v>
      </c>
      <c r="O261" s="116">
        <v>192.5</v>
      </c>
      <c r="P261" s="116">
        <v>194.1</v>
      </c>
      <c r="Q261" s="116">
        <v>197.95</v>
      </c>
      <c r="R261">
        <v>1391517</v>
      </c>
    </row>
    <row r="262" spans="1:18" x14ac:dyDescent="0.25">
      <c r="A262" s="170">
        <v>42384</v>
      </c>
      <c r="B262" s="116">
        <v>198</v>
      </c>
      <c r="C262" s="116">
        <v>193.9</v>
      </c>
      <c r="D262" s="116">
        <v>192.65</v>
      </c>
      <c r="E262" s="116">
        <v>198</v>
      </c>
      <c r="F262" s="116">
        <v>193.9</v>
      </c>
      <c r="G262">
        <v>107226</v>
      </c>
      <c r="H262" s="116"/>
      <c r="I262" s="116"/>
      <c r="L262" s="170">
        <v>42384</v>
      </c>
      <c r="M262" s="116">
        <v>193.9</v>
      </c>
      <c r="N262" s="116">
        <v>198.95</v>
      </c>
      <c r="O262" s="116">
        <v>192.6</v>
      </c>
      <c r="P262" s="116">
        <v>196.55</v>
      </c>
      <c r="Q262" s="116">
        <v>193.9</v>
      </c>
      <c r="R262">
        <v>1561732</v>
      </c>
    </row>
    <row r="263" spans="1:18" x14ac:dyDescent="0.25">
      <c r="A263" s="170">
        <v>42387</v>
      </c>
      <c r="B263" s="116">
        <v>195</v>
      </c>
      <c r="C263" s="116">
        <v>191.05</v>
      </c>
      <c r="D263" s="116">
        <v>189.25</v>
      </c>
      <c r="E263" s="116">
        <v>190</v>
      </c>
      <c r="F263" s="116">
        <v>191.05</v>
      </c>
      <c r="G263">
        <v>120964</v>
      </c>
      <c r="H263" s="116"/>
      <c r="I263" s="116"/>
      <c r="L263" s="170">
        <v>42387</v>
      </c>
      <c r="M263" s="116">
        <v>191.1</v>
      </c>
      <c r="N263" s="116">
        <v>194.8</v>
      </c>
      <c r="O263" s="116">
        <v>189.05</v>
      </c>
      <c r="P263" s="116">
        <v>194.4</v>
      </c>
      <c r="Q263" s="116">
        <v>191.1</v>
      </c>
      <c r="R263">
        <v>2315714</v>
      </c>
    </row>
    <row r="264" spans="1:18" x14ac:dyDescent="0.25">
      <c r="A264" s="170">
        <v>42388</v>
      </c>
      <c r="B264" s="116">
        <v>193.5</v>
      </c>
      <c r="C264" s="116">
        <v>191.25</v>
      </c>
      <c r="D264" s="116">
        <v>188.95</v>
      </c>
      <c r="E264" s="116">
        <v>193.5</v>
      </c>
      <c r="F264" s="116">
        <v>191.25</v>
      </c>
      <c r="G264">
        <v>175869</v>
      </c>
      <c r="H264" s="116"/>
      <c r="I264" s="116"/>
      <c r="L264" s="170">
        <v>42388</v>
      </c>
      <c r="M264" s="116">
        <v>191.35</v>
      </c>
      <c r="N264" s="116">
        <v>192.6</v>
      </c>
      <c r="O264" s="116">
        <v>189</v>
      </c>
      <c r="P264" s="116">
        <v>190</v>
      </c>
      <c r="Q264" s="116">
        <v>191.35</v>
      </c>
      <c r="R264">
        <v>2220899</v>
      </c>
    </row>
    <row r="265" spans="1:18" x14ac:dyDescent="0.25">
      <c r="A265" s="170">
        <v>42389</v>
      </c>
      <c r="B265" s="116">
        <v>191.5</v>
      </c>
      <c r="C265" s="116">
        <v>187</v>
      </c>
      <c r="D265" s="116">
        <v>185.25</v>
      </c>
      <c r="E265" s="116">
        <v>190</v>
      </c>
      <c r="F265" s="116">
        <v>187</v>
      </c>
      <c r="G265">
        <v>237499</v>
      </c>
      <c r="H265" s="116"/>
      <c r="I265" s="116"/>
      <c r="L265" s="170">
        <v>42389</v>
      </c>
      <c r="M265" s="116">
        <v>186.95</v>
      </c>
      <c r="N265" s="116">
        <v>196</v>
      </c>
      <c r="O265" s="116">
        <v>185.2</v>
      </c>
      <c r="P265" s="116">
        <v>189</v>
      </c>
      <c r="Q265" s="116">
        <v>186.95</v>
      </c>
      <c r="R265">
        <v>1976025</v>
      </c>
    </row>
    <row r="266" spans="1:18" x14ac:dyDescent="0.25">
      <c r="A266" s="170">
        <v>42390</v>
      </c>
      <c r="B266" s="116">
        <v>195</v>
      </c>
      <c r="C266" s="116">
        <v>192.3</v>
      </c>
      <c r="D266" s="116">
        <v>187.5</v>
      </c>
      <c r="E266" s="116">
        <v>188</v>
      </c>
      <c r="F266" s="116">
        <v>192.3</v>
      </c>
      <c r="G266">
        <v>87917</v>
      </c>
      <c r="H266" s="116"/>
      <c r="I266" s="116"/>
      <c r="L266" s="170">
        <v>42390</v>
      </c>
      <c r="M266" s="116">
        <v>192.1</v>
      </c>
      <c r="N266" s="116">
        <v>194.4</v>
      </c>
      <c r="O266" s="116">
        <v>187.3</v>
      </c>
      <c r="P266" s="116">
        <v>189</v>
      </c>
      <c r="Q266" s="116">
        <v>192.1</v>
      </c>
      <c r="R266">
        <v>1546722</v>
      </c>
    </row>
    <row r="267" spans="1:18" x14ac:dyDescent="0.25">
      <c r="A267" s="170">
        <v>42391</v>
      </c>
      <c r="B267" s="116">
        <v>196.6</v>
      </c>
      <c r="C267" s="116">
        <v>192.9</v>
      </c>
      <c r="D267" s="116">
        <v>191.65</v>
      </c>
      <c r="E267" s="116">
        <v>193</v>
      </c>
      <c r="F267" s="116">
        <v>192.9</v>
      </c>
      <c r="G267">
        <v>62091</v>
      </c>
      <c r="H267" s="116"/>
      <c r="I267" s="116"/>
      <c r="L267" s="170">
        <v>42391</v>
      </c>
      <c r="M267" s="116">
        <v>193</v>
      </c>
      <c r="N267" s="116">
        <v>196.65</v>
      </c>
      <c r="O267" s="116">
        <v>191.65</v>
      </c>
      <c r="P267" s="116">
        <v>193.8</v>
      </c>
      <c r="Q267" s="116">
        <v>193</v>
      </c>
      <c r="R267">
        <v>1064284</v>
      </c>
    </row>
    <row r="268" spans="1:18" x14ac:dyDescent="0.25">
      <c r="A268" s="170">
        <v>42394</v>
      </c>
      <c r="B268" s="116">
        <v>199.35</v>
      </c>
      <c r="C268" s="116">
        <v>197.1</v>
      </c>
      <c r="D268" s="116">
        <v>194</v>
      </c>
      <c r="E268" s="116">
        <v>194</v>
      </c>
      <c r="F268" s="116">
        <v>197.1</v>
      </c>
      <c r="G268">
        <v>73082</v>
      </c>
      <c r="H268" s="116"/>
      <c r="I268" s="116"/>
      <c r="L268" s="170">
        <v>42394</v>
      </c>
      <c r="M268" s="116">
        <v>196.95</v>
      </c>
      <c r="N268" s="116">
        <v>199.35</v>
      </c>
      <c r="O268" s="116">
        <v>193.55</v>
      </c>
      <c r="P268" s="116">
        <v>194.2</v>
      </c>
      <c r="Q268" s="116">
        <v>196.95</v>
      </c>
      <c r="R268">
        <v>1102255</v>
      </c>
    </row>
    <row r="269" spans="1:18" x14ac:dyDescent="0.25">
      <c r="A269" s="170">
        <v>42396</v>
      </c>
      <c r="B269" s="116">
        <v>197</v>
      </c>
      <c r="C269" s="116">
        <v>191.7</v>
      </c>
      <c r="D269" s="116">
        <v>190.9</v>
      </c>
      <c r="E269" s="116">
        <v>196.95</v>
      </c>
      <c r="F269" s="116">
        <v>191.7</v>
      </c>
      <c r="G269">
        <v>120050</v>
      </c>
      <c r="H269" s="116"/>
      <c r="I269" s="116"/>
      <c r="L269" s="170">
        <v>42396</v>
      </c>
      <c r="M269" s="116">
        <v>191.9</v>
      </c>
      <c r="N269" s="116">
        <v>197.4</v>
      </c>
      <c r="O269" s="116">
        <v>190.9</v>
      </c>
      <c r="P269" s="116">
        <v>196.95</v>
      </c>
      <c r="Q269" s="116">
        <v>191.9</v>
      </c>
      <c r="R269">
        <v>1409030</v>
      </c>
    </row>
    <row r="270" spans="1:18" x14ac:dyDescent="0.25">
      <c r="A270" s="170">
        <v>42397</v>
      </c>
      <c r="B270" s="116">
        <v>194.75</v>
      </c>
      <c r="C270" s="116">
        <v>193.25</v>
      </c>
      <c r="D270" s="116">
        <v>191</v>
      </c>
      <c r="E270" s="116">
        <v>192</v>
      </c>
      <c r="F270" s="116">
        <v>193.25</v>
      </c>
      <c r="G270">
        <v>38836</v>
      </c>
      <c r="H270" s="116"/>
      <c r="I270" s="116"/>
      <c r="L270" s="170">
        <v>42397</v>
      </c>
      <c r="M270" s="116">
        <v>193.2</v>
      </c>
      <c r="N270" s="116">
        <v>195</v>
      </c>
      <c r="O270" s="116">
        <v>191</v>
      </c>
      <c r="P270" s="116">
        <v>191.9</v>
      </c>
      <c r="Q270" s="116">
        <v>193.2</v>
      </c>
      <c r="R270">
        <v>2728142</v>
      </c>
    </row>
    <row r="271" spans="1:18" x14ac:dyDescent="0.25">
      <c r="A271" s="170">
        <v>42398</v>
      </c>
      <c r="B271" s="116">
        <v>196.5</v>
      </c>
      <c r="C271" s="116">
        <v>194.85</v>
      </c>
      <c r="D271" s="116">
        <v>192.85</v>
      </c>
      <c r="E271" s="116">
        <v>193</v>
      </c>
      <c r="F271" s="116">
        <v>194.85</v>
      </c>
      <c r="G271">
        <v>61598</v>
      </c>
      <c r="H271" s="116"/>
      <c r="I271" s="116"/>
      <c r="L271" s="170">
        <v>42398</v>
      </c>
      <c r="M271" s="116">
        <v>195.35</v>
      </c>
      <c r="N271" s="116">
        <v>196.5</v>
      </c>
      <c r="O271" s="116">
        <v>193</v>
      </c>
      <c r="P271" s="116">
        <v>193.95</v>
      </c>
      <c r="Q271" s="116">
        <v>195.35</v>
      </c>
      <c r="R271">
        <v>1857531</v>
      </c>
    </row>
    <row r="272" spans="1:18" x14ac:dyDescent="0.25">
      <c r="A272" s="170">
        <v>42401</v>
      </c>
      <c r="B272" s="116">
        <v>200.85</v>
      </c>
      <c r="C272" s="116">
        <v>199.95</v>
      </c>
      <c r="D272" s="116">
        <v>196</v>
      </c>
      <c r="E272" s="116">
        <v>197</v>
      </c>
      <c r="F272" s="116">
        <v>199.95</v>
      </c>
      <c r="G272">
        <v>69316</v>
      </c>
      <c r="H272" s="116"/>
      <c r="I272" s="116"/>
      <c r="L272" s="170">
        <v>42401</v>
      </c>
      <c r="M272" s="116">
        <v>199.95</v>
      </c>
      <c r="N272" s="116">
        <v>200.8</v>
      </c>
      <c r="O272" s="116">
        <v>195.35</v>
      </c>
      <c r="P272" s="116">
        <v>196.5</v>
      </c>
      <c r="Q272" s="116">
        <v>199.95</v>
      </c>
      <c r="R272">
        <v>1699676</v>
      </c>
    </row>
    <row r="273" spans="1:18" x14ac:dyDescent="0.25">
      <c r="A273" s="170">
        <v>42402</v>
      </c>
      <c r="B273" s="116">
        <v>201.75</v>
      </c>
      <c r="C273" s="116">
        <v>196.7</v>
      </c>
      <c r="D273" s="116">
        <v>195.5</v>
      </c>
      <c r="E273" s="116">
        <v>199.95</v>
      </c>
      <c r="F273" s="116">
        <v>196.7</v>
      </c>
      <c r="G273">
        <v>48930</v>
      </c>
      <c r="H273" s="116"/>
      <c r="I273" s="116"/>
      <c r="L273" s="170">
        <v>42402</v>
      </c>
      <c r="M273" s="116">
        <v>196.6</v>
      </c>
      <c r="N273" s="116">
        <v>201.95</v>
      </c>
      <c r="O273" s="116">
        <v>195.6</v>
      </c>
      <c r="P273" s="116">
        <v>200.8</v>
      </c>
      <c r="Q273" s="116">
        <v>196.6</v>
      </c>
      <c r="R273">
        <v>1122874</v>
      </c>
    </row>
    <row r="274" spans="1:18" x14ac:dyDescent="0.25">
      <c r="A274" s="170">
        <v>42403</v>
      </c>
      <c r="B274" s="116">
        <v>197.3</v>
      </c>
      <c r="C274" s="116">
        <v>192.4</v>
      </c>
      <c r="D274" s="116">
        <v>191.25</v>
      </c>
      <c r="E274" s="116">
        <v>196</v>
      </c>
      <c r="F274" s="116">
        <v>192.4</v>
      </c>
      <c r="G274">
        <v>30291</v>
      </c>
      <c r="H274" s="116"/>
      <c r="I274" s="116"/>
      <c r="L274" s="170">
        <v>42403</v>
      </c>
      <c r="M274" s="116">
        <v>191.9</v>
      </c>
      <c r="N274" s="116">
        <v>197.55</v>
      </c>
      <c r="O274" s="116">
        <v>191.1</v>
      </c>
      <c r="P274" s="116">
        <v>195.8</v>
      </c>
      <c r="Q274" s="116">
        <v>191.9</v>
      </c>
      <c r="R274">
        <v>954604</v>
      </c>
    </row>
    <row r="275" spans="1:18" x14ac:dyDescent="0.25">
      <c r="A275" s="170">
        <v>42404</v>
      </c>
      <c r="B275" s="116">
        <v>197</v>
      </c>
      <c r="C275" s="116">
        <v>195.75</v>
      </c>
      <c r="D275" s="116">
        <v>193</v>
      </c>
      <c r="E275" s="116">
        <v>193</v>
      </c>
      <c r="F275" s="116">
        <v>195.75</v>
      </c>
      <c r="G275">
        <v>67274</v>
      </c>
      <c r="H275" s="116"/>
      <c r="I275" s="116"/>
      <c r="L275" s="170">
        <v>42404</v>
      </c>
      <c r="M275" s="116">
        <v>195.65</v>
      </c>
      <c r="N275" s="116">
        <v>197</v>
      </c>
      <c r="O275" s="116">
        <v>192.75</v>
      </c>
      <c r="P275" s="116">
        <v>192.75</v>
      </c>
      <c r="Q275" s="116">
        <v>195.65</v>
      </c>
      <c r="R275">
        <v>802383</v>
      </c>
    </row>
    <row r="276" spans="1:18" x14ac:dyDescent="0.25">
      <c r="A276" s="170">
        <v>42405</v>
      </c>
      <c r="B276" s="116">
        <v>199.2</v>
      </c>
      <c r="C276" s="116">
        <v>195.45</v>
      </c>
      <c r="D276" s="116">
        <v>195</v>
      </c>
      <c r="E276" s="116">
        <v>195.65</v>
      </c>
      <c r="F276" s="116">
        <v>195.45</v>
      </c>
      <c r="G276">
        <v>96229</v>
      </c>
      <c r="H276" s="116"/>
      <c r="I276" s="116"/>
      <c r="L276" s="170">
        <v>42405</v>
      </c>
      <c r="M276" s="116">
        <v>195.5</v>
      </c>
      <c r="N276" s="116">
        <v>199.4</v>
      </c>
      <c r="O276" s="116">
        <v>194.1</v>
      </c>
      <c r="P276" s="116">
        <v>194.1</v>
      </c>
      <c r="Q276" s="116">
        <v>195.5</v>
      </c>
      <c r="R276">
        <v>1742979</v>
      </c>
    </row>
    <row r="277" spans="1:18" x14ac:dyDescent="0.25">
      <c r="A277" s="170">
        <v>42408</v>
      </c>
      <c r="B277" s="116">
        <v>200.6</v>
      </c>
      <c r="C277" s="116">
        <v>196.95</v>
      </c>
      <c r="D277" s="116">
        <v>195.8</v>
      </c>
      <c r="E277" s="116">
        <v>196</v>
      </c>
      <c r="F277" s="116">
        <v>196.95</v>
      </c>
      <c r="G277">
        <v>1154470</v>
      </c>
      <c r="H277" s="116"/>
      <c r="I277" s="116"/>
      <c r="L277" s="170">
        <v>42408</v>
      </c>
      <c r="M277" s="116">
        <v>197.15</v>
      </c>
      <c r="N277" s="116">
        <v>201</v>
      </c>
      <c r="O277" s="116">
        <v>195.4</v>
      </c>
      <c r="P277" s="116">
        <v>195.5</v>
      </c>
      <c r="Q277" s="116">
        <v>197.15</v>
      </c>
      <c r="R277">
        <v>924357</v>
      </c>
    </row>
    <row r="278" spans="1:18" x14ac:dyDescent="0.25">
      <c r="A278" s="170">
        <v>42409</v>
      </c>
      <c r="B278" s="116">
        <v>198</v>
      </c>
      <c r="C278" s="116">
        <v>197.4</v>
      </c>
      <c r="D278" s="116">
        <v>195.55</v>
      </c>
      <c r="E278" s="116">
        <v>197</v>
      </c>
      <c r="F278" s="116">
        <v>197.4</v>
      </c>
      <c r="G278">
        <v>138460</v>
      </c>
      <c r="H278" s="116"/>
      <c r="I278" s="116"/>
      <c r="L278" s="170">
        <v>42409</v>
      </c>
      <c r="M278" s="116">
        <v>197.65</v>
      </c>
      <c r="N278" s="116">
        <v>198.3</v>
      </c>
      <c r="O278" s="116">
        <v>195</v>
      </c>
      <c r="P278" s="116">
        <v>196.5</v>
      </c>
      <c r="Q278" s="116">
        <v>197.65</v>
      </c>
      <c r="R278">
        <v>962190</v>
      </c>
    </row>
    <row r="279" spans="1:18" x14ac:dyDescent="0.25">
      <c r="A279" s="170">
        <v>42410</v>
      </c>
      <c r="B279" s="116">
        <v>197</v>
      </c>
      <c r="C279" s="116">
        <v>195</v>
      </c>
      <c r="D279" s="116">
        <v>191.25</v>
      </c>
      <c r="E279" s="116">
        <v>196</v>
      </c>
      <c r="F279" s="116">
        <v>195</v>
      </c>
      <c r="G279">
        <v>474949</v>
      </c>
      <c r="H279" s="116"/>
      <c r="I279" s="116"/>
      <c r="L279" s="170">
        <v>42410</v>
      </c>
      <c r="M279" s="116">
        <v>195.6</v>
      </c>
      <c r="N279" s="116">
        <v>197</v>
      </c>
      <c r="O279" s="116">
        <v>191</v>
      </c>
      <c r="P279" s="116">
        <v>197</v>
      </c>
      <c r="Q279" s="116">
        <v>195.6</v>
      </c>
      <c r="R279">
        <v>2357622</v>
      </c>
    </row>
    <row r="280" spans="1:18" x14ac:dyDescent="0.25">
      <c r="A280" s="170">
        <v>42411</v>
      </c>
      <c r="B280" s="116">
        <v>195.75</v>
      </c>
      <c r="C280" s="116">
        <v>193.55</v>
      </c>
      <c r="D280" s="116">
        <v>189</v>
      </c>
      <c r="E280" s="116">
        <v>189</v>
      </c>
      <c r="F280" s="116">
        <v>193.55</v>
      </c>
      <c r="G280">
        <v>219113</v>
      </c>
      <c r="H280" s="116"/>
      <c r="I280" s="116"/>
      <c r="L280" s="170">
        <v>42411</v>
      </c>
      <c r="M280" s="116">
        <v>193.35</v>
      </c>
      <c r="N280" s="116">
        <v>195.75</v>
      </c>
      <c r="O280" s="116">
        <v>188.1</v>
      </c>
      <c r="P280" s="116">
        <v>188.5</v>
      </c>
      <c r="Q280" s="116">
        <v>193.35</v>
      </c>
      <c r="R280">
        <v>3151319</v>
      </c>
    </row>
    <row r="281" spans="1:18" x14ac:dyDescent="0.25">
      <c r="A281" s="170">
        <v>42412</v>
      </c>
      <c r="B281" s="116">
        <v>195.95</v>
      </c>
      <c r="C281" s="116">
        <v>194.6</v>
      </c>
      <c r="D281" s="116">
        <v>190.65</v>
      </c>
      <c r="E281" s="116">
        <v>193.5</v>
      </c>
      <c r="F281" s="116">
        <v>194.6</v>
      </c>
      <c r="G281">
        <v>176352</v>
      </c>
      <c r="H281" s="116"/>
      <c r="I281" s="116"/>
      <c r="L281" s="170">
        <v>42412</v>
      </c>
      <c r="M281" s="116">
        <v>194.65</v>
      </c>
      <c r="N281" s="116">
        <v>196.35</v>
      </c>
      <c r="O281" s="116">
        <v>190.4</v>
      </c>
      <c r="P281" s="116">
        <v>195</v>
      </c>
      <c r="Q281" s="116">
        <v>194.65</v>
      </c>
      <c r="R281">
        <v>1650757</v>
      </c>
    </row>
    <row r="282" spans="1:18" x14ac:dyDescent="0.25">
      <c r="A282" s="170">
        <v>42415</v>
      </c>
      <c r="B282" s="116">
        <v>199.35</v>
      </c>
      <c r="C282" s="116">
        <v>197.75</v>
      </c>
      <c r="D282" s="116">
        <v>195.25</v>
      </c>
      <c r="E282" s="116">
        <v>195.3</v>
      </c>
      <c r="F282" s="116">
        <v>197.75</v>
      </c>
      <c r="G282">
        <v>298427</v>
      </c>
      <c r="H282" s="116"/>
      <c r="I282" s="116"/>
      <c r="L282" s="170">
        <v>42415</v>
      </c>
      <c r="M282" s="116">
        <v>198</v>
      </c>
      <c r="N282" s="116">
        <v>199.35</v>
      </c>
      <c r="O282" s="116">
        <v>195.3</v>
      </c>
      <c r="P282" s="116">
        <v>196</v>
      </c>
      <c r="Q282" s="116">
        <v>198</v>
      </c>
      <c r="R282">
        <v>1061877</v>
      </c>
    </row>
    <row r="283" spans="1:18" x14ac:dyDescent="0.25">
      <c r="A283" s="170">
        <v>42416</v>
      </c>
      <c r="B283" s="116">
        <v>204.5</v>
      </c>
      <c r="C283" s="116">
        <v>193</v>
      </c>
      <c r="D283" s="116">
        <v>192</v>
      </c>
      <c r="E283" s="116">
        <v>204.5</v>
      </c>
      <c r="F283" s="116">
        <v>193</v>
      </c>
      <c r="G283">
        <v>148347</v>
      </c>
      <c r="H283" s="116"/>
      <c r="I283" s="116"/>
      <c r="L283" s="170">
        <v>42416</v>
      </c>
      <c r="M283" s="116">
        <v>194</v>
      </c>
      <c r="N283" s="116">
        <v>199.2</v>
      </c>
      <c r="O283" s="116">
        <v>192.4</v>
      </c>
      <c r="P283" s="116">
        <v>198.9</v>
      </c>
      <c r="Q283" s="116">
        <v>194</v>
      </c>
      <c r="R283">
        <v>704409</v>
      </c>
    </row>
    <row r="284" spans="1:18" x14ac:dyDescent="0.25">
      <c r="A284" s="170">
        <v>42417</v>
      </c>
      <c r="B284" s="116">
        <v>194.65</v>
      </c>
      <c r="C284" s="116">
        <v>193.3</v>
      </c>
      <c r="D284" s="116">
        <v>188.85</v>
      </c>
      <c r="E284" s="116">
        <v>193.3</v>
      </c>
      <c r="F284" s="116">
        <v>193.3</v>
      </c>
      <c r="G284">
        <v>50875</v>
      </c>
      <c r="H284" s="116"/>
      <c r="I284" s="116"/>
      <c r="L284" s="170">
        <v>42417</v>
      </c>
      <c r="M284" s="116">
        <v>193.4</v>
      </c>
      <c r="N284" s="116">
        <v>194.6</v>
      </c>
      <c r="O284" s="116">
        <v>188.5</v>
      </c>
      <c r="P284" s="116">
        <v>194</v>
      </c>
      <c r="Q284" s="116">
        <v>193.4</v>
      </c>
      <c r="R284">
        <v>986654</v>
      </c>
    </row>
    <row r="285" spans="1:18" x14ac:dyDescent="0.25">
      <c r="A285" s="170">
        <v>42418</v>
      </c>
      <c r="B285" s="116">
        <v>196.4</v>
      </c>
      <c r="C285" s="116">
        <v>195.35</v>
      </c>
      <c r="D285" s="116">
        <v>193.1</v>
      </c>
      <c r="E285" s="116">
        <v>194.55</v>
      </c>
      <c r="F285" s="116">
        <v>195.35</v>
      </c>
      <c r="G285">
        <v>153695</v>
      </c>
      <c r="H285" s="116"/>
      <c r="I285" s="116"/>
      <c r="L285" s="170">
        <v>42418</v>
      </c>
      <c r="M285" s="116">
        <v>195.35</v>
      </c>
      <c r="N285" s="116">
        <v>196.4</v>
      </c>
      <c r="O285" s="116">
        <v>192.7</v>
      </c>
      <c r="P285" s="116">
        <v>195</v>
      </c>
      <c r="Q285" s="116">
        <v>195.35</v>
      </c>
      <c r="R285">
        <v>1106473</v>
      </c>
    </row>
    <row r="286" spans="1:18" x14ac:dyDescent="0.25">
      <c r="A286" s="170">
        <v>42419</v>
      </c>
      <c r="B286" s="116">
        <v>196</v>
      </c>
      <c r="C286" s="116">
        <v>194.85</v>
      </c>
      <c r="D286" s="116">
        <v>194.05</v>
      </c>
      <c r="E286" s="116">
        <v>196</v>
      </c>
      <c r="F286" s="116">
        <v>194.85</v>
      </c>
      <c r="G286">
        <v>49573</v>
      </c>
      <c r="H286" s="116"/>
      <c r="I286" s="116"/>
      <c r="L286" s="170">
        <v>42419</v>
      </c>
      <c r="M286" s="116">
        <v>194.95</v>
      </c>
      <c r="N286" s="116">
        <v>195.65</v>
      </c>
      <c r="O286" s="116">
        <v>194</v>
      </c>
      <c r="P286" s="116">
        <v>194.7</v>
      </c>
      <c r="Q286" s="116">
        <v>194.95</v>
      </c>
      <c r="R286">
        <v>1086947</v>
      </c>
    </row>
    <row r="287" spans="1:18" x14ac:dyDescent="0.25">
      <c r="A287" s="170">
        <v>42422</v>
      </c>
      <c r="B287" s="116">
        <v>196.6</v>
      </c>
      <c r="C287" s="116">
        <v>195.65</v>
      </c>
      <c r="D287" s="116">
        <v>194.9</v>
      </c>
      <c r="E287" s="116">
        <v>195.65</v>
      </c>
      <c r="F287" s="116">
        <v>195.65</v>
      </c>
      <c r="G287">
        <v>66497</v>
      </c>
      <c r="H287" s="116"/>
      <c r="I287" s="116"/>
      <c r="L287" s="170">
        <v>42422</v>
      </c>
      <c r="M287" s="116">
        <v>196</v>
      </c>
      <c r="N287" s="116">
        <v>197</v>
      </c>
      <c r="O287" s="116">
        <v>195</v>
      </c>
      <c r="P287" s="116">
        <v>195.75</v>
      </c>
      <c r="Q287" s="116">
        <v>196</v>
      </c>
      <c r="R287">
        <v>1609745</v>
      </c>
    </row>
    <row r="288" spans="1:18" x14ac:dyDescent="0.25">
      <c r="A288" s="170">
        <v>42423</v>
      </c>
      <c r="B288" s="116">
        <v>196.45</v>
      </c>
      <c r="C288" s="116">
        <v>193.35</v>
      </c>
      <c r="D288" s="116">
        <v>192.7</v>
      </c>
      <c r="E288" s="116">
        <v>196</v>
      </c>
      <c r="F288" s="116">
        <v>193.35</v>
      </c>
      <c r="G288">
        <v>1370826</v>
      </c>
      <c r="H288" s="116"/>
      <c r="I288" s="116"/>
      <c r="L288" s="170">
        <v>42423</v>
      </c>
      <c r="M288" s="116">
        <v>193.6</v>
      </c>
      <c r="N288" s="116">
        <v>196.35</v>
      </c>
      <c r="O288" s="116">
        <v>192.7</v>
      </c>
      <c r="P288" s="116">
        <v>195.8</v>
      </c>
      <c r="Q288" s="116">
        <v>193.6</v>
      </c>
      <c r="R288">
        <v>1271281</v>
      </c>
    </row>
    <row r="289" spans="1:18" x14ac:dyDescent="0.25">
      <c r="A289" s="170">
        <v>42424</v>
      </c>
      <c r="B289" s="116">
        <v>194.15</v>
      </c>
      <c r="C289" s="116">
        <v>191.05</v>
      </c>
      <c r="D289" s="116">
        <v>190.55</v>
      </c>
      <c r="E289" s="116">
        <v>193.8</v>
      </c>
      <c r="F289" s="116">
        <v>191.05</v>
      </c>
      <c r="G289">
        <v>140731</v>
      </c>
      <c r="H289" s="116"/>
      <c r="I289" s="116"/>
      <c r="L289" s="170">
        <v>42424</v>
      </c>
      <c r="M289" s="116">
        <v>191.4</v>
      </c>
      <c r="N289" s="116">
        <v>194.3</v>
      </c>
      <c r="O289" s="116">
        <v>190.75</v>
      </c>
      <c r="P289" s="116">
        <v>193</v>
      </c>
      <c r="Q289" s="116">
        <v>191.4</v>
      </c>
      <c r="R289">
        <v>905452</v>
      </c>
    </row>
    <row r="290" spans="1:18" x14ac:dyDescent="0.25">
      <c r="A290" s="170">
        <v>42425</v>
      </c>
      <c r="B290" s="116">
        <v>192.5</v>
      </c>
      <c r="C290" s="116">
        <v>188.95</v>
      </c>
      <c r="D290" s="116">
        <v>186</v>
      </c>
      <c r="E290" s="116">
        <v>190</v>
      </c>
      <c r="F290" s="116">
        <v>188.95</v>
      </c>
      <c r="G290">
        <v>97865</v>
      </c>
      <c r="H290" s="116"/>
      <c r="I290" s="116"/>
      <c r="L290" s="170">
        <v>42425</v>
      </c>
      <c r="M290" s="116">
        <v>188.8</v>
      </c>
      <c r="N290" s="116">
        <v>192.65</v>
      </c>
      <c r="O290" s="116">
        <v>187.9</v>
      </c>
      <c r="P290" s="116">
        <v>190.85</v>
      </c>
      <c r="Q290" s="116">
        <v>188.8</v>
      </c>
      <c r="R290">
        <v>2832446</v>
      </c>
    </row>
    <row r="291" spans="1:18" x14ac:dyDescent="0.25">
      <c r="A291" s="170">
        <v>42426</v>
      </c>
      <c r="B291" s="116">
        <v>192.5</v>
      </c>
      <c r="C291" s="116">
        <v>188.55</v>
      </c>
      <c r="D291" s="116">
        <v>186.4</v>
      </c>
      <c r="E291" s="116">
        <v>190</v>
      </c>
      <c r="F291" s="116">
        <v>188.55</v>
      </c>
      <c r="G291">
        <v>74432</v>
      </c>
      <c r="H291" s="116"/>
      <c r="I291" s="116"/>
      <c r="L291" s="170">
        <v>42426</v>
      </c>
      <c r="M291" s="116">
        <v>189</v>
      </c>
      <c r="N291" s="116">
        <v>192.35</v>
      </c>
      <c r="O291" s="116">
        <v>186.4</v>
      </c>
      <c r="P291" s="116">
        <v>190.9</v>
      </c>
      <c r="Q291" s="116">
        <v>189</v>
      </c>
      <c r="R291">
        <v>1864015</v>
      </c>
    </row>
    <row r="292" spans="1:18" x14ac:dyDescent="0.25">
      <c r="A292" s="170">
        <v>42429</v>
      </c>
      <c r="B292" s="116">
        <v>191.8</v>
      </c>
      <c r="C292" s="116">
        <v>187.95</v>
      </c>
      <c r="D292" s="116">
        <v>185</v>
      </c>
      <c r="E292" s="116">
        <v>189</v>
      </c>
      <c r="F292" s="116">
        <v>187.95</v>
      </c>
      <c r="G292">
        <v>63717</v>
      </c>
      <c r="H292" s="116"/>
      <c r="I292" s="116"/>
      <c r="L292" s="170">
        <v>42429</v>
      </c>
      <c r="M292" s="116">
        <v>187.95</v>
      </c>
      <c r="N292" s="116">
        <v>192</v>
      </c>
      <c r="O292" s="116">
        <v>185</v>
      </c>
      <c r="P292" s="116">
        <v>190</v>
      </c>
      <c r="Q292" s="116">
        <v>187.95</v>
      </c>
      <c r="R292">
        <v>2396243</v>
      </c>
    </row>
    <row r="293" spans="1:18" x14ac:dyDescent="0.25">
      <c r="A293" s="170">
        <v>42430</v>
      </c>
      <c r="B293" s="116">
        <v>191.1</v>
      </c>
      <c r="C293" s="116">
        <v>190.5</v>
      </c>
      <c r="D293" s="116">
        <v>188.5</v>
      </c>
      <c r="E293" s="116">
        <v>189</v>
      </c>
      <c r="F293" s="116">
        <v>190.5</v>
      </c>
      <c r="G293">
        <v>65932</v>
      </c>
      <c r="H293" s="116"/>
      <c r="I293" s="116"/>
      <c r="L293" s="170">
        <v>42430</v>
      </c>
      <c r="M293" s="116">
        <v>190.4</v>
      </c>
      <c r="N293" s="116">
        <v>191.45</v>
      </c>
      <c r="O293" s="116">
        <v>188.2</v>
      </c>
      <c r="P293" s="116">
        <v>189.25</v>
      </c>
      <c r="Q293" s="116">
        <v>190.4</v>
      </c>
      <c r="R293">
        <v>1759654</v>
      </c>
    </row>
    <row r="294" spans="1:18" x14ac:dyDescent="0.25">
      <c r="A294" s="170">
        <v>42431</v>
      </c>
      <c r="B294" s="116">
        <v>197</v>
      </c>
      <c r="C294" s="116">
        <v>195.8</v>
      </c>
      <c r="D294" s="116">
        <v>191.8</v>
      </c>
      <c r="E294" s="116">
        <v>193.8</v>
      </c>
      <c r="F294" s="116">
        <v>195.8</v>
      </c>
      <c r="G294">
        <v>79478</v>
      </c>
      <c r="H294" s="116"/>
      <c r="I294" s="116"/>
      <c r="L294" s="170">
        <v>42431</v>
      </c>
      <c r="M294" s="116">
        <v>195.65</v>
      </c>
      <c r="N294" s="116">
        <v>197</v>
      </c>
      <c r="O294" s="116">
        <v>191.65</v>
      </c>
      <c r="P294" s="116">
        <v>193</v>
      </c>
      <c r="Q294" s="116">
        <v>195.65</v>
      </c>
      <c r="R294">
        <v>1346291</v>
      </c>
    </row>
    <row r="295" spans="1:18" x14ac:dyDescent="0.25">
      <c r="A295" s="170">
        <v>42432</v>
      </c>
      <c r="B295" s="116">
        <v>200.45</v>
      </c>
      <c r="C295" s="116">
        <v>199.9</v>
      </c>
      <c r="D295" s="116">
        <v>195.8</v>
      </c>
      <c r="E295" s="116">
        <v>197.9</v>
      </c>
      <c r="F295" s="116">
        <v>199.9</v>
      </c>
      <c r="G295">
        <v>98397</v>
      </c>
      <c r="H295" s="116"/>
      <c r="I295" s="116"/>
      <c r="L295" s="170">
        <v>42432</v>
      </c>
      <c r="M295" s="116">
        <v>199.65</v>
      </c>
      <c r="N295" s="116">
        <v>200.7</v>
      </c>
      <c r="O295" s="116">
        <v>195.8</v>
      </c>
      <c r="P295" s="116">
        <v>197.9</v>
      </c>
      <c r="Q295" s="116">
        <v>199.65</v>
      </c>
      <c r="R295">
        <v>2223554</v>
      </c>
    </row>
    <row r="296" spans="1:18" x14ac:dyDescent="0.25">
      <c r="A296" s="170">
        <v>42433</v>
      </c>
      <c r="B296" s="116">
        <v>202.9</v>
      </c>
      <c r="C296" s="116">
        <v>201.85</v>
      </c>
      <c r="D296" s="116">
        <v>199.7</v>
      </c>
      <c r="E296" s="116">
        <v>202</v>
      </c>
      <c r="F296" s="116">
        <v>201.85</v>
      </c>
      <c r="G296">
        <v>119107</v>
      </c>
      <c r="H296" s="116"/>
      <c r="I296" s="116"/>
      <c r="L296" s="170">
        <v>42433</v>
      </c>
      <c r="M296" s="116">
        <v>202.4</v>
      </c>
      <c r="N296" s="116">
        <v>203.2</v>
      </c>
      <c r="O296" s="116">
        <v>199.55</v>
      </c>
      <c r="P296" s="116">
        <v>201.8</v>
      </c>
      <c r="Q296" s="116">
        <v>202.4</v>
      </c>
      <c r="R296">
        <v>1767133</v>
      </c>
    </row>
    <row r="297" spans="1:18" x14ac:dyDescent="0.25">
      <c r="A297" s="170">
        <v>42437</v>
      </c>
      <c r="B297" s="116">
        <v>204.25</v>
      </c>
      <c r="C297" s="116">
        <v>201.15</v>
      </c>
      <c r="D297" s="116">
        <v>200.05</v>
      </c>
      <c r="E297" s="116">
        <v>201.85</v>
      </c>
      <c r="F297" s="116">
        <v>201.15</v>
      </c>
      <c r="G297">
        <v>517929</v>
      </c>
      <c r="H297" s="116"/>
      <c r="I297" s="116"/>
      <c r="L297" s="170">
        <v>42437</v>
      </c>
      <c r="M297" s="116">
        <v>201.65</v>
      </c>
      <c r="N297" s="116">
        <v>204.45</v>
      </c>
      <c r="O297" s="116">
        <v>199.75</v>
      </c>
      <c r="P297" s="116">
        <v>202</v>
      </c>
      <c r="Q297" s="116">
        <v>201.65</v>
      </c>
      <c r="R297">
        <v>3088272</v>
      </c>
    </row>
    <row r="298" spans="1:18" x14ac:dyDescent="0.25">
      <c r="A298" s="170">
        <v>42438</v>
      </c>
      <c r="B298" s="116">
        <v>205.45</v>
      </c>
      <c r="C298" s="116">
        <v>204.3</v>
      </c>
      <c r="D298" s="116">
        <v>201.6</v>
      </c>
      <c r="E298" s="116">
        <v>202.25</v>
      </c>
      <c r="F298" s="116">
        <v>204.3</v>
      </c>
      <c r="G298">
        <v>124884</v>
      </c>
      <c r="H298" s="116"/>
      <c r="I298" s="116"/>
      <c r="L298" s="170">
        <v>42438</v>
      </c>
      <c r="M298" s="116">
        <v>204.35</v>
      </c>
      <c r="N298" s="116">
        <v>205.35</v>
      </c>
      <c r="O298" s="116">
        <v>201.5</v>
      </c>
      <c r="P298" s="116">
        <v>201.8</v>
      </c>
      <c r="Q298" s="116">
        <v>204.35</v>
      </c>
      <c r="R298">
        <v>4723889</v>
      </c>
    </row>
    <row r="299" spans="1:18" x14ac:dyDescent="0.25">
      <c r="A299" s="170">
        <v>42439</v>
      </c>
      <c r="B299" s="116">
        <v>204.7</v>
      </c>
      <c r="C299" s="116">
        <v>201.4</v>
      </c>
      <c r="D299" s="116">
        <v>200.8</v>
      </c>
      <c r="E299" s="116">
        <v>204.7</v>
      </c>
      <c r="F299" s="116">
        <v>201.4</v>
      </c>
      <c r="G299">
        <v>58324</v>
      </c>
      <c r="H299" s="116"/>
      <c r="I299" s="116"/>
      <c r="L299" s="170">
        <v>42439</v>
      </c>
      <c r="M299" s="116">
        <v>201.5</v>
      </c>
      <c r="N299" s="116">
        <v>204.6</v>
      </c>
      <c r="O299" s="116">
        <v>200.75</v>
      </c>
      <c r="P299" s="116">
        <v>204.4</v>
      </c>
      <c r="Q299" s="116">
        <v>201.5</v>
      </c>
      <c r="R299">
        <v>5056909</v>
      </c>
    </row>
    <row r="300" spans="1:18" x14ac:dyDescent="0.25">
      <c r="A300" s="170">
        <v>42440</v>
      </c>
      <c r="B300" s="116">
        <v>202.5</v>
      </c>
      <c r="C300" s="116">
        <v>200.75</v>
      </c>
      <c r="D300" s="116">
        <v>199.8</v>
      </c>
      <c r="E300" s="116">
        <v>202</v>
      </c>
      <c r="F300" s="116">
        <v>200.75</v>
      </c>
      <c r="G300">
        <v>40835</v>
      </c>
      <c r="H300" s="116"/>
      <c r="I300" s="116"/>
      <c r="L300" s="170">
        <v>42440</v>
      </c>
      <c r="M300" s="116">
        <v>200.7</v>
      </c>
      <c r="N300" s="116">
        <v>202.65</v>
      </c>
      <c r="O300" s="116">
        <v>199.65</v>
      </c>
      <c r="P300" s="116">
        <v>200</v>
      </c>
      <c r="Q300" s="116">
        <v>200.7</v>
      </c>
      <c r="R300">
        <v>3751968</v>
      </c>
    </row>
    <row r="301" spans="1:18" x14ac:dyDescent="0.25">
      <c r="A301" s="170">
        <v>42443</v>
      </c>
      <c r="B301" s="116">
        <v>206.05</v>
      </c>
      <c r="C301" s="116">
        <v>203.7</v>
      </c>
      <c r="D301" s="116">
        <v>202.5</v>
      </c>
      <c r="E301" s="116">
        <v>202.85</v>
      </c>
      <c r="F301" s="116">
        <v>203.7</v>
      </c>
      <c r="G301">
        <v>100855</v>
      </c>
      <c r="H301" s="116"/>
      <c r="I301" s="116"/>
      <c r="L301" s="170">
        <v>42443</v>
      </c>
      <c r="M301" s="116">
        <v>203.7</v>
      </c>
      <c r="N301" s="116">
        <v>206</v>
      </c>
      <c r="O301" s="116">
        <v>201.9</v>
      </c>
      <c r="P301" s="116">
        <v>201.9</v>
      </c>
      <c r="Q301" s="116">
        <v>203.7</v>
      </c>
      <c r="R301">
        <v>2540418</v>
      </c>
    </row>
    <row r="302" spans="1:18" x14ac:dyDescent="0.25">
      <c r="A302" s="170">
        <v>42444</v>
      </c>
      <c r="B302" s="116">
        <v>206.2</v>
      </c>
      <c r="C302" s="116">
        <v>204.95</v>
      </c>
      <c r="D302" s="116">
        <v>202.6</v>
      </c>
      <c r="E302" s="116">
        <v>203.35</v>
      </c>
      <c r="F302" s="116">
        <v>204.95</v>
      </c>
      <c r="G302">
        <v>61458</v>
      </c>
      <c r="H302" s="116"/>
      <c r="I302" s="116"/>
      <c r="L302" s="170">
        <v>42444</v>
      </c>
      <c r="M302" s="116">
        <v>204.9</v>
      </c>
      <c r="N302" s="116">
        <v>206.4</v>
      </c>
      <c r="O302" s="116">
        <v>202.55</v>
      </c>
      <c r="P302" s="116">
        <v>204.05</v>
      </c>
      <c r="Q302" s="116">
        <v>204.9</v>
      </c>
      <c r="R302">
        <v>2283229</v>
      </c>
    </row>
    <row r="303" spans="1:18" x14ac:dyDescent="0.25">
      <c r="A303" s="170">
        <v>42445</v>
      </c>
      <c r="B303" s="116">
        <v>207.5</v>
      </c>
      <c r="C303" s="116">
        <v>205.8</v>
      </c>
      <c r="D303" s="116">
        <v>203.4</v>
      </c>
      <c r="E303" s="116">
        <v>204.5</v>
      </c>
      <c r="F303" s="116">
        <v>205.8</v>
      </c>
      <c r="G303">
        <v>99242</v>
      </c>
      <c r="H303" s="116"/>
      <c r="I303" s="116"/>
      <c r="L303" s="170">
        <v>42445</v>
      </c>
      <c r="M303" s="116">
        <v>206.2</v>
      </c>
      <c r="N303" s="116">
        <v>207.7</v>
      </c>
      <c r="O303" s="116">
        <v>203.15</v>
      </c>
      <c r="P303" s="116">
        <v>205</v>
      </c>
      <c r="Q303" s="116">
        <v>206.2</v>
      </c>
      <c r="R303">
        <v>2060089</v>
      </c>
    </row>
    <row r="304" spans="1:18" x14ac:dyDescent="0.25">
      <c r="A304" s="170">
        <v>42446</v>
      </c>
      <c r="B304" s="116">
        <v>219.75</v>
      </c>
      <c r="C304" s="116">
        <v>218.1</v>
      </c>
      <c r="D304" s="116">
        <v>207.5</v>
      </c>
      <c r="E304" s="116">
        <v>207.5</v>
      </c>
      <c r="F304" s="116">
        <v>218.1</v>
      </c>
      <c r="G304">
        <v>279745</v>
      </c>
      <c r="H304" s="116"/>
      <c r="I304" s="116"/>
      <c r="L304" s="170">
        <v>42446</v>
      </c>
      <c r="M304" s="116">
        <v>218.15</v>
      </c>
      <c r="N304" s="116">
        <v>219.9</v>
      </c>
      <c r="O304" s="116">
        <v>207.5</v>
      </c>
      <c r="P304" s="116">
        <v>207.5</v>
      </c>
      <c r="Q304" s="116">
        <v>218.15</v>
      </c>
      <c r="R304">
        <v>4253989</v>
      </c>
    </row>
    <row r="305" spans="1:18" x14ac:dyDescent="0.25">
      <c r="A305" s="170">
        <v>42447</v>
      </c>
      <c r="B305" s="116">
        <v>223.1</v>
      </c>
      <c r="C305" s="116">
        <v>221.95</v>
      </c>
      <c r="D305" s="116">
        <v>216.75</v>
      </c>
      <c r="E305" s="116">
        <v>219.5</v>
      </c>
      <c r="F305" s="116">
        <v>221.95</v>
      </c>
      <c r="G305">
        <v>175922</v>
      </c>
      <c r="H305" s="116"/>
      <c r="I305" s="116"/>
      <c r="L305" s="170">
        <v>42447</v>
      </c>
      <c r="M305" s="116">
        <v>222.05</v>
      </c>
      <c r="N305" s="116">
        <v>223.15</v>
      </c>
      <c r="O305" s="116">
        <v>216.65</v>
      </c>
      <c r="P305" s="116">
        <v>219</v>
      </c>
      <c r="Q305" s="116">
        <v>222.05</v>
      </c>
      <c r="R305">
        <v>2980833</v>
      </c>
    </row>
    <row r="306" spans="1:18" x14ac:dyDescent="0.25">
      <c r="A306" s="170">
        <v>42450</v>
      </c>
      <c r="B306" s="116">
        <v>234</v>
      </c>
      <c r="C306" s="116">
        <v>232.05</v>
      </c>
      <c r="D306" s="116">
        <v>222.5</v>
      </c>
      <c r="E306" s="116">
        <v>223</v>
      </c>
      <c r="F306" s="116">
        <v>232.05</v>
      </c>
      <c r="G306">
        <v>217488</v>
      </c>
      <c r="H306" s="116"/>
      <c r="I306" s="116"/>
      <c r="L306" s="170">
        <v>42450</v>
      </c>
      <c r="M306" s="116">
        <v>231.95</v>
      </c>
      <c r="N306" s="116">
        <v>233.95</v>
      </c>
      <c r="O306" s="116">
        <v>221.5</v>
      </c>
      <c r="P306" s="116">
        <v>222.3</v>
      </c>
      <c r="Q306" s="116">
        <v>231.95</v>
      </c>
      <c r="R306">
        <v>5598530</v>
      </c>
    </row>
    <row r="307" spans="1:18" x14ac:dyDescent="0.25">
      <c r="A307" s="170">
        <v>42451</v>
      </c>
      <c r="B307" s="116">
        <v>231.5</v>
      </c>
      <c r="C307" s="116">
        <v>229.8</v>
      </c>
      <c r="D307" s="116">
        <v>224.45</v>
      </c>
      <c r="E307" s="116">
        <v>230.15</v>
      </c>
      <c r="F307" s="116">
        <v>229.8</v>
      </c>
      <c r="G307">
        <v>216017</v>
      </c>
      <c r="H307" s="116"/>
      <c r="I307" s="116"/>
      <c r="L307" s="170">
        <v>42451</v>
      </c>
      <c r="M307" s="116">
        <v>229.85</v>
      </c>
      <c r="N307" s="116">
        <v>231.9</v>
      </c>
      <c r="O307" s="116">
        <v>224.4</v>
      </c>
      <c r="P307" s="116">
        <v>231.25</v>
      </c>
      <c r="Q307" s="116">
        <v>229.85</v>
      </c>
      <c r="R307">
        <v>4129162</v>
      </c>
    </row>
    <row r="308" spans="1:18" x14ac:dyDescent="0.25">
      <c r="A308" s="170">
        <v>42452</v>
      </c>
      <c r="B308" s="116">
        <v>232.95</v>
      </c>
      <c r="C308" s="116">
        <v>228.2</v>
      </c>
      <c r="D308" s="116">
        <v>226.65</v>
      </c>
      <c r="E308" s="116">
        <v>229.5</v>
      </c>
      <c r="F308" s="116">
        <v>228.2</v>
      </c>
      <c r="G308">
        <v>172675</v>
      </c>
      <c r="H308" s="116"/>
      <c r="I308" s="116"/>
      <c r="L308" s="170">
        <v>42452</v>
      </c>
      <c r="M308" s="116">
        <v>228.25</v>
      </c>
      <c r="N308" s="116">
        <v>232.9</v>
      </c>
      <c r="O308" s="116">
        <v>226.25</v>
      </c>
      <c r="P308" s="116">
        <v>229.8</v>
      </c>
      <c r="Q308" s="116">
        <v>228.25</v>
      </c>
      <c r="R308">
        <v>2525210</v>
      </c>
    </row>
    <row r="309" spans="1:18" x14ac:dyDescent="0.25">
      <c r="A309" s="170">
        <v>42457</v>
      </c>
      <c r="B309" s="116">
        <v>235.5</v>
      </c>
      <c r="C309" s="116">
        <v>229.55</v>
      </c>
      <c r="D309" s="116">
        <v>225.2</v>
      </c>
      <c r="E309" s="116">
        <v>227.4</v>
      </c>
      <c r="F309" s="116">
        <v>229.55</v>
      </c>
      <c r="G309">
        <v>1054088</v>
      </c>
      <c r="H309" s="116"/>
      <c r="I309" s="116"/>
      <c r="L309" s="170">
        <v>42457</v>
      </c>
      <c r="M309" s="116">
        <v>229.7</v>
      </c>
      <c r="N309" s="116">
        <v>235.65</v>
      </c>
      <c r="O309" s="116">
        <v>225.15</v>
      </c>
      <c r="P309" s="116">
        <v>228</v>
      </c>
      <c r="Q309" s="116">
        <v>229.7</v>
      </c>
      <c r="R309">
        <v>4176299</v>
      </c>
    </row>
    <row r="310" spans="1:18" x14ac:dyDescent="0.25">
      <c r="A310" s="170">
        <v>42458</v>
      </c>
      <c r="B310" s="116">
        <v>232.9</v>
      </c>
      <c r="C310" s="116">
        <v>230.35</v>
      </c>
      <c r="D310" s="116">
        <v>226.3</v>
      </c>
      <c r="E310" s="116">
        <v>228.5</v>
      </c>
      <c r="F310" s="116">
        <v>230.35</v>
      </c>
      <c r="G310">
        <v>200231</v>
      </c>
      <c r="H310" s="116"/>
      <c r="I310" s="116"/>
      <c r="L310" s="170">
        <v>42458</v>
      </c>
      <c r="M310" s="116">
        <v>230.9</v>
      </c>
      <c r="N310" s="116">
        <v>233.5</v>
      </c>
      <c r="O310" s="116">
        <v>226.3</v>
      </c>
      <c r="P310" s="116">
        <v>231</v>
      </c>
      <c r="Q310" s="116">
        <v>230.9</v>
      </c>
      <c r="R310">
        <v>2206647</v>
      </c>
    </row>
    <row r="311" spans="1:18" x14ac:dyDescent="0.25">
      <c r="A311" s="170">
        <v>42459</v>
      </c>
      <c r="B311" s="116">
        <v>234.45</v>
      </c>
      <c r="C311" s="116">
        <v>231.4</v>
      </c>
      <c r="D311" s="116">
        <v>230.1</v>
      </c>
      <c r="E311" s="116">
        <v>233</v>
      </c>
      <c r="F311" s="116">
        <v>231.4</v>
      </c>
      <c r="G311">
        <v>80822</v>
      </c>
      <c r="H311" s="116"/>
      <c r="I311" s="116"/>
      <c r="L311" s="170">
        <v>42459</v>
      </c>
      <c r="M311" s="116">
        <v>231.4</v>
      </c>
      <c r="N311" s="116">
        <v>234.6</v>
      </c>
      <c r="O311" s="116">
        <v>230.1</v>
      </c>
      <c r="P311" s="116">
        <v>231.75</v>
      </c>
      <c r="Q311" s="116">
        <v>231.4</v>
      </c>
      <c r="R311">
        <v>2195098</v>
      </c>
    </row>
    <row r="312" spans="1:18" x14ac:dyDescent="0.25">
      <c r="A312" s="170">
        <v>42460</v>
      </c>
      <c r="B312" s="116">
        <v>233.4</v>
      </c>
      <c r="C312" s="116">
        <v>232.15</v>
      </c>
      <c r="D312" s="116">
        <v>229.8</v>
      </c>
      <c r="E312" s="116">
        <v>231.25</v>
      </c>
      <c r="F312" s="116">
        <v>232.15</v>
      </c>
      <c r="G312">
        <v>80634</v>
      </c>
      <c r="H312" s="116"/>
      <c r="I312" s="116"/>
      <c r="L312" s="170">
        <v>42460</v>
      </c>
      <c r="M312" s="116">
        <v>232.55</v>
      </c>
      <c r="N312" s="116">
        <v>234</v>
      </c>
      <c r="O312" s="116">
        <v>229.7</v>
      </c>
      <c r="P312" s="116">
        <v>231.7</v>
      </c>
      <c r="Q312" s="116">
        <v>232.55</v>
      </c>
      <c r="R312">
        <v>3951966</v>
      </c>
    </row>
    <row r="313" spans="1:18" x14ac:dyDescent="0.25">
      <c r="A313" s="170">
        <v>42461</v>
      </c>
      <c r="B313" s="116">
        <v>236.1</v>
      </c>
      <c r="C313" s="116">
        <v>235.05</v>
      </c>
      <c r="D313" s="116">
        <v>229.5</v>
      </c>
      <c r="E313" s="116">
        <v>233</v>
      </c>
      <c r="F313" s="116">
        <v>235.05</v>
      </c>
      <c r="G313">
        <v>84664</v>
      </c>
      <c r="H313" s="116"/>
      <c r="I313" s="116"/>
      <c r="L313" s="170">
        <v>42461</v>
      </c>
      <c r="M313" s="116">
        <v>235.35</v>
      </c>
      <c r="N313" s="116">
        <v>236.4</v>
      </c>
      <c r="O313" s="116">
        <v>229.15</v>
      </c>
      <c r="P313" s="116">
        <v>231.9</v>
      </c>
      <c r="Q313" s="116">
        <v>235.35</v>
      </c>
      <c r="R313">
        <v>1438907</v>
      </c>
    </row>
    <row r="314" spans="1:18" x14ac:dyDescent="0.25">
      <c r="A314" s="170">
        <v>42464</v>
      </c>
      <c r="B314" s="116">
        <v>237.1</v>
      </c>
      <c r="C314" s="116">
        <v>231.2</v>
      </c>
      <c r="D314" s="116">
        <v>230.55</v>
      </c>
      <c r="E314" s="116">
        <v>237</v>
      </c>
      <c r="F314" s="116">
        <v>231.2</v>
      </c>
      <c r="G314">
        <v>76282</v>
      </c>
      <c r="H314" s="116"/>
      <c r="I314" s="116"/>
      <c r="L314" s="170">
        <v>42464</v>
      </c>
      <c r="M314" s="116">
        <v>231.2</v>
      </c>
      <c r="N314" s="116">
        <v>236.9</v>
      </c>
      <c r="O314" s="116">
        <v>230.55</v>
      </c>
      <c r="P314" s="116">
        <v>236.35</v>
      </c>
      <c r="Q314" s="116">
        <v>231.2</v>
      </c>
      <c r="R314">
        <v>1587549</v>
      </c>
    </row>
    <row r="315" spans="1:18" x14ac:dyDescent="0.25">
      <c r="A315" s="170">
        <v>42465</v>
      </c>
      <c r="B315" s="116">
        <v>231.35</v>
      </c>
      <c r="C315" s="116">
        <v>226.15</v>
      </c>
      <c r="D315" s="116">
        <v>225.5</v>
      </c>
      <c r="E315" s="116">
        <v>231.2</v>
      </c>
      <c r="F315" s="116">
        <v>226.15</v>
      </c>
      <c r="G315">
        <v>72901</v>
      </c>
      <c r="H315" s="116"/>
      <c r="I315" s="116"/>
      <c r="L315" s="170">
        <v>42465</v>
      </c>
      <c r="M315" s="116">
        <v>226.1</v>
      </c>
      <c r="N315" s="116">
        <v>231.1</v>
      </c>
      <c r="O315" s="116">
        <v>225.25</v>
      </c>
      <c r="P315" s="116">
        <v>230</v>
      </c>
      <c r="Q315" s="116">
        <v>226.1</v>
      </c>
      <c r="R315">
        <v>2201058</v>
      </c>
    </row>
    <row r="316" spans="1:18" x14ac:dyDescent="0.25">
      <c r="A316" s="170">
        <v>42466</v>
      </c>
      <c r="B316" s="116">
        <v>230.95</v>
      </c>
      <c r="C316" s="116">
        <v>228.85</v>
      </c>
      <c r="D316" s="116">
        <v>225.75</v>
      </c>
      <c r="E316" s="116">
        <v>226.55</v>
      </c>
      <c r="F316" s="116">
        <v>228.85</v>
      </c>
      <c r="G316">
        <v>62423</v>
      </c>
      <c r="H316" s="116"/>
      <c r="I316" s="116"/>
      <c r="L316" s="170">
        <v>42466</v>
      </c>
      <c r="M316" s="116">
        <v>229.05</v>
      </c>
      <c r="N316" s="116">
        <v>231</v>
      </c>
      <c r="O316" s="116">
        <v>225.75</v>
      </c>
      <c r="P316" s="116">
        <v>226.85</v>
      </c>
      <c r="Q316" s="116">
        <v>229.05</v>
      </c>
      <c r="R316">
        <v>1630990</v>
      </c>
    </row>
    <row r="317" spans="1:18" x14ac:dyDescent="0.25">
      <c r="A317" s="170">
        <v>42467</v>
      </c>
      <c r="B317" s="116">
        <v>229.75</v>
      </c>
      <c r="C317" s="116">
        <v>226.15</v>
      </c>
      <c r="D317" s="116">
        <v>225.2</v>
      </c>
      <c r="E317" s="116">
        <v>229.35</v>
      </c>
      <c r="F317" s="116">
        <v>226.15</v>
      </c>
      <c r="G317">
        <v>48205</v>
      </c>
      <c r="H317" s="116"/>
      <c r="I317" s="116"/>
      <c r="L317" s="170">
        <v>42467</v>
      </c>
      <c r="M317" s="116">
        <v>226.45</v>
      </c>
      <c r="N317" s="116">
        <v>230.3</v>
      </c>
      <c r="O317" s="116">
        <v>225.1</v>
      </c>
      <c r="P317" s="116">
        <v>229.05</v>
      </c>
      <c r="Q317" s="116">
        <v>226.45</v>
      </c>
      <c r="R317">
        <v>1036460</v>
      </c>
    </row>
    <row r="318" spans="1:18" x14ac:dyDescent="0.25">
      <c r="A318" s="170">
        <v>42468</v>
      </c>
      <c r="B318" s="116">
        <v>231.15</v>
      </c>
      <c r="C318" s="116">
        <v>225.1</v>
      </c>
      <c r="D318" s="116">
        <v>223.2</v>
      </c>
      <c r="E318" s="116">
        <v>225.5</v>
      </c>
      <c r="F318" s="116">
        <v>225.1</v>
      </c>
      <c r="G318">
        <v>491968</v>
      </c>
      <c r="H318" s="116"/>
      <c r="I318" s="116"/>
      <c r="L318" s="170">
        <v>42468</v>
      </c>
      <c r="M318" s="116">
        <v>225.75</v>
      </c>
      <c r="N318" s="116">
        <v>231.35</v>
      </c>
      <c r="O318" s="116">
        <v>223.05</v>
      </c>
      <c r="P318" s="116">
        <v>225.7</v>
      </c>
      <c r="Q318" s="116">
        <v>225.75</v>
      </c>
      <c r="R318">
        <v>2292188</v>
      </c>
    </row>
    <row r="319" spans="1:18" x14ac:dyDescent="0.25">
      <c r="A319" s="170">
        <v>42471</v>
      </c>
      <c r="B319" s="116">
        <v>227.8</v>
      </c>
      <c r="C319" s="116">
        <v>224</v>
      </c>
      <c r="D319" s="116">
        <v>221.65</v>
      </c>
      <c r="E319" s="116">
        <v>227.8</v>
      </c>
      <c r="F319" s="116">
        <v>224</v>
      </c>
      <c r="G319">
        <v>840945</v>
      </c>
      <c r="H319" s="116"/>
      <c r="I319" s="116"/>
      <c r="L319" s="170">
        <v>42471</v>
      </c>
      <c r="M319" s="116">
        <v>224.55</v>
      </c>
      <c r="N319" s="116">
        <v>227.65</v>
      </c>
      <c r="O319" s="116">
        <v>221.5</v>
      </c>
      <c r="P319" s="116">
        <v>226.95</v>
      </c>
      <c r="Q319" s="116">
        <v>224.55</v>
      </c>
      <c r="R319">
        <v>1953589</v>
      </c>
    </row>
    <row r="320" spans="1:18" x14ac:dyDescent="0.25">
      <c r="A320" s="170">
        <v>42472</v>
      </c>
      <c r="B320" s="116">
        <v>226.3</v>
      </c>
      <c r="C320" s="116">
        <v>223.65</v>
      </c>
      <c r="D320" s="116">
        <v>221.45</v>
      </c>
      <c r="E320" s="116">
        <v>225.15</v>
      </c>
      <c r="F320" s="116">
        <v>223.65</v>
      </c>
      <c r="G320">
        <v>139531</v>
      </c>
      <c r="H320" s="116"/>
      <c r="I320" s="116"/>
      <c r="L320" s="170">
        <v>42472</v>
      </c>
      <c r="M320" s="116">
        <v>223.75</v>
      </c>
      <c r="N320" s="116">
        <v>226.35</v>
      </c>
      <c r="O320" s="116">
        <v>221.5</v>
      </c>
      <c r="P320" s="116">
        <v>224.55</v>
      </c>
      <c r="Q320" s="116">
        <v>223.75</v>
      </c>
      <c r="R320">
        <v>1992521</v>
      </c>
    </row>
    <row r="321" spans="1:18" x14ac:dyDescent="0.25">
      <c r="A321" s="170">
        <v>42473</v>
      </c>
      <c r="B321" s="116">
        <v>232.25</v>
      </c>
      <c r="C321" s="116">
        <v>230.6</v>
      </c>
      <c r="D321" s="116">
        <v>225</v>
      </c>
      <c r="E321" s="116">
        <v>225</v>
      </c>
      <c r="F321" s="116">
        <v>230.6</v>
      </c>
      <c r="G321">
        <v>288578</v>
      </c>
      <c r="H321" s="116"/>
      <c r="I321" s="116"/>
      <c r="L321" s="170">
        <v>42473</v>
      </c>
      <c r="M321" s="116">
        <v>231.1</v>
      </c>
      <c r="N321" s="116">
        <v>232.5</v>
      </c>
      <c r="O321" s="116">
        <v>226.05</v>
      </c>
      <c r="P321" s="116">
        <v>227</v>
      </c>
      <c r="Q321" s="116">
        <v>231.1</v>
      </c>
      <c r="R321">
        <v>4045604</v>
      </c>
    </row>
    <row r="322" spans="1:18" x14ac:dyDescent="0.25">
      <c r="A322" s="170">
        <v>42478</v>
      </c>
      <c r="B322" s="116">
        <v>234</v>
      </c>
      <c r="C322" s="116">
        <v>228.8</v>
      </c>
      <c r="D322" s="116">
        <v>228.1</v>
      </c>
      <c r="E322" s="116">
        <v>234</v>
      </c>
      <c r="F322" s="116">
        <v>228.8</v>
      </c>
      <c r="G322">
        <v>127825</v>
      </c>
      <c r="H322" s="116"/>
      <c r="I322" s="116"/>
      <c r="L322" s="170">
        <v>42478</v>
      </c>
      <c r="M322" s="116">
        <v>228.6</v>
      </c>
      <c r="N322" s="116">
        <v>234.65</v>
      </c>
      <c r="O322" s="116">
        <v>227.9</v>
      </c>
      <c r="P322" s="116">
        <v>234.65</v>
      </c>
      <c r="Q322" s="116">
        <v>228.6</v>
      </c>
      <c r="R322">
        <v>2161949</v>
      </c>
    </row>
    <row r="323" spans="1:18" x14ac:dyDescent="0.25">
      <c r="A323" s="170">
        <v>42480</v>
      </c>
      <c r="B323" s="116">
        <v>231.5</v>
      </c>
      <c r="C323" s="116">
        <v>226.25</v>
      </c>
      <c r="D323" s="116">
        <v>225.75</v>
      </c>
      <c r="E323" s="116">
        <v>229</v>
      </c>
      <c r="F323" s="116">
        <v>226.25</v>
      </c>
      <c r="G323">
        <v>94979</v>
      </c>
      <c r="H323" s="116"/>
      <c r="I323" s="116"/>
      <c r="L323" s="170">
        <v>42480</v>
      </c>
      <c r="M323" s="116">
        <v>226.25</v>
      </c>
      <c r="N323" s="116">
        <v>231.45</v>
      </c>
      <c r="O323" s="116">
        <v>225.55</v>
      </c>
      <c r="P323" s="116">
        <v>228.7</v>
      </c>
      <c r="Q323" s="116">
        <v>226.25</v>
      </c>
      <c r="R323">
        <v>2229815</v>
      </c>
    </row>
    <row r="324" spans="1:18" x14ac:dyDescent="0.25">
      <c r="A324" s="170">
        <v>42481</v>
      </c>
      <c r="B324" s="116">
        <v>228</v>
      </c>
      <c r="C324" s="116">
        <v>220.95</v>
      </c>
      <c r="D324" s="116">
        <v>220</v>
      </c>
      <c r="E324" s="116">
        <v>228</v>
      </c>
      <c r="F324" s="116">
        <v>220.95</v>
      </c>
      <c r="G324">
        <v>138485</v>
      </c>
      <c r="H324" s="116"/>
      <c r="I324" s="116"/>
      <c r="L324" s="170">
        <v>42481</v>
      </c>
      <c r="M324" s="116">
        <v>221.15</v>
      </c>
      <c r="N324" s="116">
        <v>228.4</v>
      </c>
      <c r="O324" s="116">
        <v>220.1</v>
      </c>
      <c r="P324" s="116">
        <v>228.1</v>
      </c>
      <c r="Q324" s="116">
        <v>221.15</v>
      </c>
      <c r="R324">
        <v>1539176</v>
      </c>
    </row>
    <row r="325" spans="1:18" x14ac:dyDescent="0.25">
      <c r="A325" s="170">
        <v>42482</v>
      </c>
      <c r="B325" s="116">
        <v>222.15</v>
      </c>
      <c r="C325" s="116">
        <v>220.85</v>
      </c>
      <c r="D325" s="116">
        <v>216.5</v>
      </c>
      <c r="E325" s="116">
        <v>219</v>
      </c>
      <c r="F325" s="116">
        <v>220.85</v>
      </c>
      <c r="G325">
        <v>134457</v>
      </c>
      <c r="H325" s="116"/>
      <c r="I325" s="116"/>
      <c r="L325" s="170">
        <v>42482</v>
      </c>
      <c r="M325" s="116">
        <v>220.9</v>
      </c>
      <c r="N325" s="116">
        <v>222.25</v>
      </c>
      <c r="O325" s="116">
        <v>216.5</v>
      </c>
      <c r="P325" s="116">
        <v>219.75</v>
      </c>
      <c r="Q325" s="116">
        <v>220.9</v>
      </c>
      <c r="R325">
        <v>2644190</v>
      </c>
    </row>
    <row r="326" spans="1:18" x14ac:dyDescent="0.25">
      <c r="A326" s="170">
        <v>42485</v>
      </c>
      <c r="B326" s="116">
        <v>225</v>
      </c>
      <c r="C326" s="116">
        <v>223.9</v>
      </c>
      <c r="D326" s="116">
        <v>221.35</v>
      </c>
      <c r="E326" s="116">
        <v>225</v>
      </c>
      <c r="F326" s="116">
        <v>223.9</v>
      </c>
      <c r="G326">
        <v>98557</v>
      </c>
      <c r="H326" s="116"/>
      <c r="I326" s="116"/>
      <c r="L326" s="170">
        <v>42485</v>
      </c>
      <c r="M326" s="116">
        <v>223.35</v>
      </c>
      <c r="N326" s="116">
        <v>224.4</v>
      </c>
      <c r="O326" s="116">
        <v>221.35</v>
      </c>
      <c r="P326" s="116">
        <v>223</v>
      </c>
      <c r="Q326" s="116">
        <v>223.35</v>
      </c>
      <c r="R326">
        <v>1167120</v>
      </c>
    </row>
    <row r="327" spans="1:18" x14ac:dyDescent="0.25">
      <c r="A327" s="170">
        <v>42486</v>
      </c>
      <c r="B327" s="116">
        <v>226.5</v>
      </c>
      <c r="C327" s="116">
        <v>224.4</v>
      </c>
      <c r="D327" s="116">
        <v>222.25</v>
      </c>
      <c r="E327" s="116">
        <v>225.05</v>
      </c>
      <c r="F327" s="116">
        <v>224.4</v>
      </c>
      <c r="G327">
        <v>159959</v>
      </c>
      <c r="H327" s="116"/>
      <c r="I327" s="116"/>
      <c r="L327" s="170">
        <v>42486</v>
      </c>
      <c r="M327" s="116">
        <v>224.45</v>
      </c>
      <c r="N327" s="116">
        <v>226.5</v>
      </c>
      <c r="O327" s="116">
        <v>222.25</v>
      </c>
      <c r="P327" s="116">
        <v>224.9</v>
      </c>
      <c r="Q327" s="116">
        <v>224.45</v>
      </c>
      <c r="R327">
        <v>1853159</v>
      </c>
    </row>
    <row r="328" spans="1:18" x14ac:dyDescent="0.25">
      <c r="A328" s="170">
        <v>42487</v>
      </c>
      <c r="B328" s="116">
        <v>227.8</v>
      </c>
      <c r="C328" s="116">
        <v>225.4</v>
      </c>
      <c r="D328" s="116">
        <v>224.45</v>
      </c>
      <c r="E328" s="116">
        <v>225.45</v>
      </c>
      <c r="F328" s="116">
        <v>225.4</v>
      </c>
      <c r="G328">
        <v>102310</v>
      </c>
      <c r="H328" s="116"/>
      <c r="I328" s="116"/>
      <c r="L328" s="170">
        <v>42487</v>
      </c>
      <c r="M328" s="116">
        <v>225.3</v>
      </c>
      <c r="N328" s="116">
        <v>227.7</v>
      </c>
      <c r="O328" s="116">
        <v>224.05</v>
      </c>
      <c r="P328" s="116">
        <v>225.6</v>
      </c>
      <c r="Q328" s="116">
        <v>225.3</v>
      </c>
      <c r="R328">
        <v>1052496</v>
      </c>
    </row>
    <row r="329" spans="1:18" x14ac:dyDescent="0.25">
      <c r="A329" s="170">
        <v>42488</v>
      </c>
      <c r="B329" s="116">
        <v>227</v>
      </c>
      <c r="C329" s="116">
        <v>220.25</v>
      </c>
      <c r="D329" s="116">
        <v>219.35</v>
      </c>
      <c r="E329" s="116">
        <v>225.5</v>
      </c>
      <c r="F329" s="116">
        <v>220.25</v>
      </c>
      <c r="G329">
        <v>547446</v>
      </c>
      <c r="H329" s="116"/>
      <c r="I329" s="116"/>
      <c r="L329" s="170">
        <v>42488</v>
      </c>
      <c r="M329" s="116">
        <v>219.85</v>
      </c>
      <c r="N329" s="116">
        <v>228.7</v>
      </c>
      <c r="O329" s="116">
        <v>219.1</v>
      </c>
      <c r="P329" s="116">
        <v>225.8</v>
      </c>
      <c r="Q329" s="116">
        <v>219.85</v>
      </c>
      <c r="R329">
        <v>2041651</v>
      </c>
    </row>
    <row r="330" spans="1:18" x14ac:dyDescent="0.25">
      <c r="A330" s="170">
        <v>42489</v>
      </c>
      <c r="B330" s="116">
        <v>224.4</v>
      </c>
      <c r="C330" s="116">
        <v>220.9</v>
      </c>
      <c r="D330" s="116">
        <v>219.6</v>
      </c>
      <c r="E330" s="116">
        <v>222.25</v>
      </c>
      <c r="F330" s="116">
        <v>220.9</v>
      </c>
      <c r="G330">
        <v>422099</v>
      </c>
      <c r="H330" s="116"/>
      <c r="I330" s="116"/>
      <c r="L330" s="170">
        <v>42489</v>
      </c>
      <c r="M330" s="116">
        <v>221</v>
      </c>
      <c r="N330" s="116">
        <v>224.4</v>
      </c>
      <c r="O330" s="116">
        <v>219.55</v>
      </c>
      <c r="P330" s="116">
        <v>223</v>
      </c>
      <c r="Q330" s="116">
        <v>221</v>
      </c>
      <c r="R330">
        <v>2815037</v>
      </c>
    </row>
    <row r="331" spans="1:18" x14ac:dyDescent="0.25">
      <c r="A331" s="170">
        <v>42492</v>
      </c>
      <c r="B331" s="116">
        <v>224.2</v>
      </c>
      <c r="C331" s="116">
        <v>223.55</v>
      </c>
      <c r="D331" s="116">
        <v>219.05</v>
      </c>
      <c r="E331" s="116">
        <v>221.75</v>
      </c>
      <c r="F331" s="116">
        <v>223.55</v>
      </c>
      <c r="G331">
        <v>65554</v>
      </c>
      <c r="H331" s="116"/>
      <c r="I331" s="116"/>
      <c r="L331" s="170">
        <v>42492</v>
      </c>
      <c r="M331" s="116">
        <v>223.8</v>
      </c>
      <c r="N331" s="116">
        <v>224.35</v>
      </c>
      <c r="O331" s="116">
        <v>218.95</v>
      </c>
      <c r="P331" s="116">
        <v>221.05</v>
      </c>
      <c r="Q331" s="116">
        <v>223.8</v>
      </c>
      <c r="R331">
        <v>1083922</v>
      </c>
    </row>
    <row r="332" spans="1:18" x14ac:dyDescent="0.25">
      <c r="A332" s="170">
        <v>42493</v>
      </c>
      <c r="B332" s="116">
        <v>225.8</v>
      </c>
      <c r="C332" s="116">
        <v>218.75</v>
      </c>
      <c r="D332" s="116">
        <v>217.85</v>
      </c>
      <c r="E332" s="116">
        <v>224.65</v>
      </c>
      <c r="F332" s="116">
        <v>218.75</v>
      </c>
      <c r="G332">
        <v>127395</v>
      </c>
      <c r="H332" s="116"/>
      <c r="I332" s="116"/>
      <c r="L332" s="170">
        <v>42493</v>
      </c>
      <c r="M332" s="116">
        <v>218.6</v>
      </c>
      <c r="N332" s="116">
        <v>225.95</v>
      </c>
      <c r="O332" s="116">
        <v>217.8</v>
      </c>
      <c r="P332" s="116">
        <v>224.35</v>
      </c>
      <c r="Q332" s="116">
        <v>218.6</v>
      </c>
      <c r="R332">
        <v>2144066</v>
      </c>
    </row>
    <row r="333" spans="1:18" x14ac:dyDescent="0.25">
      <c r="A333" s="170">
        <v>42494</v>
      </c>
      <c r="B333" s="116">
        <v>218.5</v>
      </c>
      <c r="C333" s="116">
        <v>215.05</v>
      </c>
      <c r="D333" s="116">
        <v>214.2</v>
      </c>
      <c r="E333" s="116">
        <v>218.5</v>
      </c>
      <c r="F333" s="116">
        <v>215.05</v>
      </c>
      <c r="G333">
        <v>72790</v>
      </c>
      <c r="H333" s="116"/>
      <c r="I333" s="116"/>
      <c r="L333" s="170">
        <v>42494</v>
      </c>
      <c r="M333" s="116">
        <v>214.9</v>
      </c>
      <c r="N333" s="116">
        <v>218.45</v>
      </c>
      <c r="O333" s="116">
        <v>214.05</v>
      </c>
      <c r="P333" s="116">
        <v>217.9</v>
      </c>
      <c r="Q333" s="116">
        <v>214.9</v>
      </c>
      <c r="R333">
        <v>1684800</v>
      </c>
    </row>
    <row r="334" spans="1:18" x14ac:dyDescent="0.25">
      <c r="A334" s="170">
        <v>42495</v>
      </c>
      <c r="B334" s="116">
        <v>217.4</v>
      </c>
      <c r="C334" s="116">
        <v>216.15</v>
      </c>
      <c r="D334" s="116">
        <v>212.9</v>
      </c>
      <c r="E334" s="116">
        <v>215.1</v>
      </c>
      <c r="F334" s="116">
        <v>216.15</v>
      </c>
      <c r="G334">
        <v>116151</v>
      </c>
      <c r="H334" s="116"/>
      <c r="I334" s="116"/>
      <c r="L334" s="170">
        <v>42495</v>
      </c>
      <c r="M334" s="116">
        <v>215.85</v>
      </c>
      <c r="N334" s="116">
        <v>217.4</v>
      </c>
      <c r="O334" s="116">
        <v>212.75</v>
      </c>
      <c r="P334" s="116">
        <v>214.75</v>
      </c>
      <c r="Q334" s="116">
        <v>215.85</v>
      </c>
      <c r="R334">
        <v>1192764</v>
      </c>
    </row>
    <row r="335" spans="1:18" x14ac:dyDescent="0.25">
      <c r="A335" s="170">
        <v>42496</v>
      </c>
      <c r="B335" s="116">
        <v>221</v>
      </c>
      <c r="C335" s="116">
        <v>220</v>
      </c>
      <c r="D335" s="116">
        <v>215.6</v>
      </c>
      <c r="E335" s="116">
        <v>216.15</v>
      </c>
      <c r="F335" s="116">
        <v>220</v>
      </c>
      <c r="G335">
        <v>107739</v>
      </c>
      <c r="H335" s="116"/>
      <c r="I335" s="116"/>
      <c r="L335" s="170">
        <v>42496</v>
      </c>
      <c r="M335" s="116">
        <v>219.95</v>
      </c>
      <c r="N335" s="116">
        <v>221.05</v>
      </c>
      <c r="O335" s="116">
        <v>215.5</v>
      </c>
      <c r="P335" s="116">
        <v>216.95</v>
      </c>
      <c r="Q335" s="116">
        <v>219.95</v>
      </c>
      <c r="R335">
        <v>2109197</v>
      </c>
    </row>
    <row r="336" spans="1:18" x14ac:dyDescent="0.25">
      <c r="A336" s="170">
        <v>42499</v>
      </c>
      <c r="B336" s="116">
        <v>222.2</v>
      </c>
      <c r="C336" s="116">
        <v>220.25</v>
      </c>
      <c r="D336" s="116">
        <v>219.65</v>
      </c>
      <c r="E336" s="116">
        <v>221</v>
      </c>
      <c r="F336" s="116">
        <v>220.25</v>
      </c>
      <c r="G336">
        <v>94070</v>
      </c>
      <c r="H336" s="116"/>
      <c r="I336" s="116"/>
      <c r="L336" s="170">
        <v>42499</v>
      </c>
      <c r="M336" s="116">
        <v>220.3</v>
      </c>
      <c r="N336" s="116">
        <v>222.5</v>
      </c>
      <c r="O336" s="116">
        <v>219.6</v>
      </c>
      <c r="P336" s="116">
        <v>221.25</v>
      </c>
      <c r="Q336" s="116">
        <v>220.3</v>
      </c>
      <c r="R336">
        <v>2535941</v>
      </c>
    </row>
    <row r="337" spans="1:18" x14ac:dyDescent="0.25">
      <c r="A337" s="170">
        <v>42500</v>
      </c>
      <c r="B337" s="116">
        <v>222.6</v>
      </c>
      <c r="C337" s="116">
        <v>220.65</v>
      </c>
      <c r="D337" s="116">
        <v>217.7</v>
      </c>
      <c r="E337" s="116">
        <v>220.25</v>
      </c>
      <c r="F337" s="116">
        <v>220.65</v>
      </c>
      <c r="G337">
        <v>186438</v>
      </c>
      <c r="H337" s="116"/>
      <c r="I337" s="116"/>
      <c r="L337" s="170">
        <v>42500</v>
      </c>
      <c r="M337" s="116">
        <v>220.4</v>
      </c>
      <c r="N337" s="116">
        <v>222.75</v>
      </c>
      <c r="O337" s="116">
        <v>217.5</v>
      </c>
      <c r="P337" s="116">
        <v>219.25</v>
      </c>
      <c r="Q337" s="116">
        <v>220.4</v>
      </c>
      <c r="R337">
        <v>2697582</v>
      </c>
    </row>
    <row r="338" spans="1:18" x14ac:dyDescent="0.25">
      <c r="A338" s="170">
        <v>42501</v>
      </c>
      <c r="B338" s="116">
        <v>221.7</v>
      </c>
      <c r="C338" s="116">
        <v>220.5</v>
      </c>
      <c r="D338" s="116">
        <v>217.35</v>
      </c>
      <c r="E338" s="116">
        <v>220</v>
      </c>
      <c r="F338" s="116">
        <v>220.5</v>
      </c>
      <c r="G338">
        <v>67156</v>
      </c>
      <c r="H338" s="116"/>
      <c r="I338" s="116"/>
      <c r="L338" s="170">
        <v>42501</v>
      </c>
      <c r="M338" s="116">
        <v>220.55</v>
      </c>
      <c r="N338" s="116">
        <v>221.85</v>
      </c>
      <c r="O338" s="116">
        <v>217</v>
      </c>
      <c r="P338" s="116">
        <v>218.25</v>
      </c>
      <c r="Q338" s="116">
        <v>220.55</v>
      </c>
      <c r="R338">
        <v>1385627</v>
      </c>
    </row>
    <row r="339" spans="1:18" x14ac:dyDescent="0.25">
      <c r="A339" s="170">
        <v>42502</v>
      </c>
      <c r="B339" s="116">
        <v>222.5</v>
      </c>
      <c r="C339" s="116">
        <v>220.65</v>
      </c>
      <c r="D339" s="116">
        <v>219.25</v>
      </c>
      <c r="E339" s="116">
        <v>220.5</v>
      </c>
      <c r="F339" s="116">
        <v>220.65</v>
      </c>
      <c r="G339">
        <v>76793</v>
      </c>
      <c r="H339" s="116"/>
      <c r="I339" s="116"/>
      <c r="L339" s="170">
        <v>42502</v>
      </c>
      <c r="M339" s="116">
        <v>221</v>
      </c>
      <c r="N339" s="116">
        <v>222.6</v>
      </c>
      <c r="O339" s="116">
        <v>219.15</v>
      </c>
      <c r="P339" s="116">
        <v>220.3</v>
      </c>
      <c r="Q339" s="116">
        <v>221</v>
      </c>
      <c r="R339">
        <v>702627</v>
      </c>
    </row>
    <row r="340" spans="1:18" x14ac:dyDescent="0.25">
      <c r="A340" s="170">
        <v>42503</v>
      </c>
      <c r="B340" s="116">
        <v>221.3</v>
      </c>
      <c r="C340" s="116">
        <v>216.95</v>
      </c>
      <c r="D340" s="116">
        <v>216.1</v>
      </c>
      <c r="E340" s="116">
        <v>220.15</v>
      </c>
      <c r="F340" s="116">
        <v>216.95</v>
      </c>
      <c r="G340">
        <v>115799</v>
      </c>
      <c r="H340" s="116"/>
      <c r="I340" s="116"/>
      <c r="L340" s="170">
        <v>42503</v>
      </c>
      <c r="M340" s="116">
        <v>217.25</v>
      </c>
      <c r="N340" s="116">
        <v>221.7</v>
      </c>
      <c r="O340" s="116">
        <v>216.9</v>
      </c>
      <c r="P340" s="116">
        <v>220</v>
      </c>
      <c r="Q340" s="116">
        <v>217.25</v>
      </c>
      <c r="R340">
        <v>1070227</v>
      </c>
    </row>
    <row r="341" spans="1:18" x14ac:dyDescent="0.25">
      <c r="A341" s="170">
        <v>42506</v>
      </c>
      <c r="B341" s="116">
        <v>220</v>
      </c>
      <c r="C341" s="116">
        <v>216.8</v>
      </c>
      <c r="D341" s="116">
        <v>215.6</v>
      </c>
      <c r="E341" s="116">
        <v>220</v>
      </c>
      <c r="F341" s="116">
        <v>216.8</v>
      </c>
      <c r="G341">
        <v>60070</v>
      </c>
      <c r="H341" s="116"/>
      <c r="I341" s="116"/>
      <c r="L341" s="170">
        <v>42506</v>
      </c>
      <c r="M341" s="116">
        <v>217.25</v>
      </c>
      <c r="N341" s="116">
        <v>219</v>
      </c>
      <c r="O341" s="116">
        <v>215.2</v>
      </c>
      <c r="P341" s="116">
        <v>217.75</v>
      </c>
      <c r="Q341" s="116">
        <v>217.25</v>
      </c>
      <c r="R341">
        <v>965999</v>
      </c>
    </row>
    <row r="342" spans="1:18" x14ac:dyDescent="0.25">
      <c r="A342" s="170">
        <v>42507</v>
      </c>
      <c r="B342" s="116">
        <v>218.55</v>
      </c>
      <c r="C342" s="116">
        <v>216.9</v>
      </c>
      <c r="D342" s="116">
        <v>215.3</v>
      </c>
      <c r="E342" s="116">
        <v>217.95</v>
      </c>
      <c r="F342" s="116">
        <v>216.9</v>
      </c>
      <c r="G342">
        <v>59103</v>
      </c>
      <c r="H342" s="116"/>
      <c r="I342" s="116"/>
      <c r="L342" s="170">
        <v>42507</v>
      </c>
      <c r="M342" s="116">
        <v>216.9</v>
      </c>
      <c r="N342" s="116">
        <v>218.85</v>
      </c>
      <c r="O342" s="116">
        <v>215</v>
      </c>
      <c r="P342" s="116">
        <v>218</v>
      </c>
      <c r="Q342" s="116">
        <v>216.9</v>
      </c>
      <c r="R342">
        <v>2549385</v>
      </c>
    </row>
    <row r="343" spans="1:18" x14ac:dyDescent="0.25">
      <c r="A343" s="170">
        <v>42508</v>
      </c>
      <c r="B343" s="116">
        <v>217.1</v>
      </c>
      <c r="C343" s="116">
        <v>216.4</v>
      </c>
      <c r="D343" s="116">
        <v>214.4</v>
      </c>
      <c r="E343" s="116">
        <v>215.5</v>
      </c>
      <c r="F343" s="116">
        <v>216.4</v>
      </c>
      <c r="G343">
        <v>63905</v>
      </c>
      <c r="H343" s="116"/>
      <c r="I343" s="116"/>
      <c r="L343" s="170">
        <v>42508</v>
      </c>
      <c r="M343" s="116">
        <v>216.65</v>
      </c>
      <c r="N343" s="116">
        <v>217.25</v>
      </c>
      <c r="O343" s="116">
        <v>214.35</v>
      </c>
      <c r="P343" s="116">
        <v>216.2</v>
      </c>
      <c r="Q343" s="116">
        <v>216.65</v>
      </c>
      <c r="R343">
        <v>816161</v>
      </c>
    </row>
    <row r="344" spans="1:18" x14ac:dyDescent="0.25">
      <c r="A344" s="170">
        <v>42509</v>
      </c>
      <c r="B344" s="116">
        <v>217</v>
      </c>
      <c r="C344" s="116">
        <v>213.65</v>
      </c>
      <c r="D344" s="116">
        <v>212.05</v>
      </c>
      <c r="E344" s="116">
        <v>217</v>
      </c>
      <c r="F344" s="116">
        <v>213.65</v>
      </c>
      <c r="G344">
        <v>57081</v>
      </c>
      <c r="H344" s="116"/>
      <c r="I344" s="116"/>
      <c r="L344" s="170">
        <v>42509</v>
      </c>
      <c r="M344" s="116">
        <v>213.65</v>
      </c>
      <c r="N344" s="116">
        <v>217</v>
      </c>
      <c r="O344" s="116">
        <v>212.15</v>
      </c>
      <c r="P344" s="116">
        <v>217</v>
      </c>
      <c r="Q344" s="116">
        <v>213.65</v>
      </c>
      <c r="R344">
        <v>1695453</v>
      </c>
    </row>
    <row r="345" spans="1:18" x14ac:dyDescent="0.25">
      <c r="A345" s="170">
        <v>42510</v>
      </c>
      <c r="B345" s="116">
        <v>214.95</v>
      </c>
      <c r="C345" s="116">
        <v>209.15</v>
      </c>
      <c r="D345" s="116">
        <v>207.4</v>
      </c>
      <c r="E345" s="116">
        <v>214.95</v>
      </c>
      <c r="F345" s="116">
        <v>209.15</v>
      </c>
      <c r="G345">
        <v>69333</v>
      </c>
      <c r="H345" s="116"/>
      <c r="I345" s="116"/>
      <c r="L345" s="170">
        <v>42510</v>
      </c>
      <c r="M345" s="116">
        <v>208.85</v>
      </c>
      <c r="N345" s="116">
        <v>214.9</v>
      </c>
      <c r="O345" s="116">
        <v>207.55</v>
      </c>
      <c r="P345" s="116">
        <v>213.85</v>
      </c>
      <c r="Q345" s="116">
        <v>208.85</v>
      </c>
      <c r="R345">
        <v>1384674</v>
      </c>
    </row>
    <row r="346" spans="1:18" x14ac:dyDescent="0.25">
      <c r="A346" s="170">
        <v>42513</v>
      </c>
      <c r="B346" s="116">
        <v>213.7</v>
      </c>
      <c r="C346" s="116">
        <v>212.7</v>
      </c>
      <c r="D346" s="116">
        <v>208.95</v>
      </c>
      <c r="E346" s="116">
        <v>211</v>
      </c>
      <c r="F346" s="116">
        <v>212.7</v>
      </c>
      <c r="G346">
        <v>103468</v>
      </c>
      <c r="H346" s="116"/>
      <c r="I346" s="116"/>
      <c r="L346" s="170">
        <v>42513</v>
      </c>
      <c r="M346" s="116">
        <v>212.6</v>
      </c>
      <c r="N346" s="116">
        <v>213.45</v>
      </c>
      <c r="O346" s="116">
        <v>208.85</v>
      </c>
      <c r="P346" s="116">
        <v>210.3</v>
      </c>
      <c r="Q346" s="116">
        <v>212.6</v>
      </c>
      <c r="R346">
        <v>1347184</v>
      </c>
    </row>
    <row r="347" spans="1:18" x14ac:dyDescent="0.25">
      <c r="A347" s="170">
        <v>42514</v>
      </c>
      <c r="B347" s="116">
        <v>216.8</v>
      </c>
      <c r="C347" s="116">
        <v>215.45</v>
      </c>
      <c r="D347" s="116">
        <v>212</v>
      </c>
      <c r="E347" s="116">
        <v>212</v>
      </c>
      <c r="F347" s="116">
        <v>215.45</v>
      </c>
      <c r="G347">
        <v>1205059</v>
      </c>
      <c r="H347" s="116"/>
      <c r="I347" s="116"/>
      <c r="L347" s="170">
        <v>42514</v>
      </c>
      <c r="M347" s="116">
        <v>215.45</v>
      </c>
      <c r="N347" s="116">
        <v>216.8</v>
      </c>
      <c r="O347" s="116">
        <v>212</v>
      </c>
      <c r="P347" s="116">
        <v>213.6</v>
      </c>
      <c r="Q347" s="116">
        <v>215.45</v>
      </c>
      <c r="R347">
        <v>2405753</v>
      </c>
    </row>
    <row r="348" spans="1:18" x14ac:dyDescent="0.25">
      <c r="A348" s="170">
        <v>42515</v>
      </c>
      <c r="B348" s="116">
        <v>223.9</v>
      </c>
      <c r="C348" s="116">
        <v>222.5</v>
      </c>
      <c r="D348" s="116">
        <v>217</v>
      </c>
      <c r="E348" s="116">
        <v>217</v>
      </c>
      <c r="F348" s="116">
        <v>222.5</v>
      </c>
      <c r="G348">
        <v>310439</v>
      </c>
      <c r="H348" s="116"/>
      <c r="I348" s="116"/>
      <c r="L348" s="170">
        <v>42515</v>
      </c>
      <c r="M348" s="116">
        <v>222.4</v>
      </c>
      <c r="N348" s="116">
        <v>223.25</v>
      </c>
      <c r="O348" s="116">
        <v>216.2</v>
      </c>
      <c r="P348" s="116">
        <v>217.25</v>
      </c>
      <c r="Q348" s="116">
        <v>222.4</v>
      </c>
      <c r="R348">
        <v>2306509</v>
      </c>
    </row>
    <row r="349" spans="1:18" x14ac:dyDescent="0.25">
      <c r="A349" s="170">
        <v>42516</v>
      </c>
      <c r="B349" s="116">
        <v>229</v>
      </c>
      <c r="C349" s="116">
        <v>224.7</v>
      </c>
      <c r="D349" s="116">
        <v>223.75</v>
      </c>
      <c r="E349" s="116">
        <v>224</v>
      </c>
      <c r="F349" s="116">
        <v>224.7</v>
      </c>
      <c r="G349">
        <v>1149862</v>
      </c>
      <c r="H349" s="116"/>
      <c r="I349" s="116"/>
      <c r="L349" s="170">
        <v>42516</v>
      </c>
      <c r="M349" s="116">
        <v>224.6</v>
      </c>
      <c r="N349" s="116">
        <v>229.5</v>
      </c>
      <c r="O349" s="116">
        <v>223</v>
      </c>
      <c r="P349" s="116">
        <v>223</v>
      </c>
      <c r="Q349" s="116">
        <v>224.6</v>
      </c>
      <c r="R349">
        <v>8149868</v>
      </c>
    </row>
    <row r="350" spans="1:18" x14ac:dyDescent="0.25">
      <c r="A350" s="170">
        <v>42517</v>
      </c>
      <c r="B350" s="116">
        <v>231.5</v>
      </c>
      <c r="C350" s="116">
        <v>229.4</v>
      </c>
      <c r="D350" s="116">
        <v>226</v>
      </c>
      <c r="E350" s="116">
        <v>226.1</v>
      </c>
      <c r="F350" s="116">
        <v>229.4</v>
      </c>
      <c r="G350">
        <v>2037791</v>
      </c>
      <c r="H350" s="116"/>
      <c r="I350" s="116"/>
      <c r="L350" s="170">
        <v>42517</v>
      </c>
      <c r="M350" s="116">
        <v>230.25</v>
      </c>
      <c r="N350" s="116">
        <v>232</v>
      </c>
      <c r="O350" s="116">
        <v>226</v>
      </c>
      <c r="P350" s="116">
        <v>226</v>
      </c>
      <c r="Q350" s="116">
        <v>230.25</v>
      </c>
      <c r="R350">
        <v>5155370</v>
      </c>
    </row>
    <row r="351" spans="1:18" x14ac:dyDescent="0.25">
      <c r="A351" s="170">
        <v>42520</v>
      </c>
      <c r="B351" s="116">
        <v>232.9</v>
      </c>
      <c r="C351" s="116">
        <v>228.75</v>
      </c>
      <c r="D351" s="116">
        <v>228.2</v>
      </c>
      <c r="E351" s="116">
        <v>232</v>
      </c>
      <c r="F351" s="116">
        <v>228.75</v>
      </c>
      <c r="G351">
        <v>190242</v>
      </c>
      <c r="H351" s="116"/>
      <c r="I351" s="116"/>
      <c r="L351" s="170">
        <v>42520</v>
      </c>
      <c r="M351" s="116">
        <v>229.15</v>
      </c>
      <c r="N351" s="116">
        <v>232.6</v>
      </c>
      <c r="O351" s="116">
        <v>228.1</v>
      </c>
      <c r="P351" s="116">
        <v>232</v>
      </c>
      <c r="Q351" s="116">
        <v>229.15</v>
      </c>
      <c r="R351">
        <v>1338209</v>
      </c>
    </row>
    <row r="352" spans="1:18" x14ac:dyDescent="0.25">
      <c r="A352" s="170">
        <v>42521</v>
      </c>
      <c r="B352" s="116">
        <v>232.2</v>
      </c>
      <c r="C352" s="116">
        <v>228.7</v>
      </c>
      <c r="D352" s="116">
        <v>227.55</v>
      </c>
      <c r="E352" s="116">
        <v>228.75</v>
      </c>
      <c r="F352" s="116">
        <v>228.7</v>
      </c>
      <c r="G352">
        <v>93755</v>
      </c>
      <c r="H352" s="116"/>
      <c r="I352" s="116"/>
      <c r="L352" s="170">
        <v>42521</v>
      </c>
      <c r="M352" s="116">
        <v>228.4</v>
      </c>
      <c r="N352" s="116">
        <v>232.85</v>
      </c>
      <c r="O352" s="116">
        <v>227.25</v>
      </c>
      <c r="P352" s="116">
        <v>228.5</v>
      </c>
      <c r="Q352" s="116">
        <v>228.4</v>
      </c>
      <c r="R352">
        <v>4144610</v>
      </c>
    </row>
    <row r="353" spans="1:18" x14ac:dyDescent="0.25">
      <c r="A353" s="170">
        <v>42522</v>
      </c>
      <c r="B353" s="116">
        <v>232.05</v>
      </c>
      <c r="C353" s="116">
        <v>230.9</v>
      </c>
      <c r="D353" s="116">
        <v>227</v>
      </c>
      <c r="E353" s="116">
        <v>227</v>
      </c>
      <c r="F353" s="116">
        <v>230.9</v>
      </c>
      <c r="G353">
        <v>85527</v>
      </c>
      <c r="H353" s="116"/>
      <c r="I353" s="116"/>
      <c r="L353" s="170">
        <v>42522</v>
      </c>
      <c r="M353" s="116">
        <v>231.35</v>
      </c>
      <c r="N353" s="116">
        <v>232.8</v>
      </c>
      <c r="O353" s="116">
        <v>228.55</v>
      </c>
      <c r="P353" s="116">
        <v>229</v>
      </c>
      <c r="Q353" s="116">
        <v>231.35</v>
      </c>
      <c r="R353">
        <v>5666522</v>
      </c>
    </row>
    <row r="354" spans="1:18" x14ac:dyDescent="0.25">
      <c r="A354" s="170">
        <v>42523</v>
      </c>
      <c r="B354" s="116">
        <v>231.45</v>
      </c>
      <c r="C354" s="116">
        <v>229.5</v>
      </c>
      <c r="D354" s="116">
        <v>228.45</v>
      </c>
      <c r="E354" s="116">
        <v>230.95</v>
      </c>
      <c r="F354" s="116">
        <v>229.5</v>
      </c>
      <c r="G354">
        <v>71356</v>
      </c>
      <c r="H354" s="116"/>
      <c r="I354" s="116"/>
      <c r="L354" s="170">
        <v>42523</v>
      </c>
      <c r="M354" s="116">
        <v>229.75</v>
      </c>
      <c r="N354" s="116">
        <v>231.35</v>
      </c>
      <c r="O354" s="116">
        <v>229</v>
      </c>
      <c r="P354" s="116">
        <v>231.35</v>
      </c>
      <c r="Q354" s="116">
        <v>229.75</v>
      </c>
      <c r="R354">
        <v>1578557</v>
      </c>
    </row>
    <row r="355" spans="1:18" x14ac:dyDescent="0.25">
      <c r="A355" s="170">
        <v>42524</v>
      </c>
      <c r="B355" s="116">
        <v>233.6</v>
      </c>
      <c r="C355" s="116">
        <v>228.2</v>
      </c>
      <c r="D355" s="116">
        <v>227.75</v>
      </c>
      <c r="E355" s="116">
        <v>230.05</v>
      </c>
      <c r="F355" s="116">
        <v>228.2</v>
      </c>
      <c r="G355">
        <v>73070</v>
      </c>
      <c r="H355" s="116"/>
      <c r="I355" s="116"/>
      <c r="L355" s="170">
        <v>42524</v>
      </c>
      <c r="M355" s="116">
        <v>228.65</v>
      </c>
      <c r="N355" s="116">
        <v>233.75</v>
      </c>
      <c r="O355" s="116">
        <v>228.1</v>
      </c>
      <c r="P355" s="116">
        <v>230.15</v>
      </c>
      <c r="Q355" s="116">
        <v>228.65</v>
      </c>
      <c r="R355">
        <v>2388282</v>
      </c>
    </row>
    <row r="356" spans="1:18" x14ac:dyDescent="0.25">
      <c r="A356" s="170">
        <v>42527</v>
      </c>
      <c r="B356" s="116">
        <v>231.8</v>
      </c>
      <c r="C356" s="116">
        <v>229.2</v>
      </c>
      <c r="D356" s="116">
        <v>228.1</v>
      </c>
      <c r="E356" s="116">
        <v>229.5</v>
      </c>
      <c r="F356" s="116">
        <v>229.2</v>
      </c>
      <c r="G356">
        <v>64437</v>
      </c>
      <c r="H356" s="116"/>
      <c r="I356" s="116"/>
      <c r="L356" s="170">
        <v>42527</v>
      </c>
      <c r="M356" s="116">
        <v>228.9</v>
      </c>
      <c r="N356" s="116">
        <v>231.75</v>
      </c>
      <c r="O356" s="116">
        <v>228.05</v>
      </c>
      <c r="P356" s="116">
        <v>228.7</v>
      </c>
      <c r="Q356" s="116">
        <v>228.9</v>
      </c>
      <c r="R356">
        <v>1874667</v>
      </c>
    </row>
    <row r="357" spans="1:18" x14ac:dyDescent="0.25">
      <c r="A357" s="170">
        <v>42528</v>
      </c>
      <c r="B357" s="116">
        <v>235.5</v>
      </c>
      <c r="C357" s="116">
        <v>234.35</v>
      </c>
      <c r="D357" s="116">
        <v>228.55</v>
      </c>
      <c r="E357" s="116">
        <v>230</v>
      </c>
      <c r="F357" s="116">
        <v>234.35</v>
      </c>
      <c r="G357">
        <v>260837</v>
      </c>
      <c r="H357" s="116"/>
      <c r="I357" s="116"/>
      <c r="L357" s="170">
        <v>42528</v>
      </c>
      <c r="M357" s="116">
        <v>234.25</v>
      </c>
      <c r="N357" s="116">
        <v>235</v>
      </c>
      <c r="O357" s="116">
        <v>228.65</v>
      </c>
      <c r="P357" s="116">
        <v>230</v>
      </c>
      <c r="Q357" s="116">
        <v>234.25</v>
      </c>
      <c r="R357">
        <v>2061597</v>
      </c>
    </row>
    <row r="358" spans="1:18" x14ac:dyDescent="0.25">
      <c r="A358" s="170">
        <v>42529</v>
      </c>
      <c r="B358" s="116">
        <v>239</v>
      </c>
      <c r="C358" s="116">
        <v>237.95</v>
      </c>
      <c r="D358" s="116">
        <v>233.25</v>
      </c>
      <c r="E358" s="116">
        <v>236</v>
      </c>
      <c r="F358" s="116">
        <v>237.95</v>
      </c>
      <c r="G358">
        <v>232488</v>
      </c>
      <c r="H358" s="116"/>
      <c r="I358" s="116"/>
      <c r="L358" s="170">
        <v>42529</v>
      </c>
      <c r="M358" s="116">
        <v>238.2</v>
      </c>
      <c r="N358" s="116">
        <v>239</v>
      </c>
      <c r="O358" s="116">
        <v>233.2</v>
      </c>
      <c r="P358" s="116">
        <v>235.35</v>
      </c>
      <c r="Q358" s="116">
        <v>238.2</v>
      </c>
      <c r="R358">
        <v>2491761</v>
      </c>
    </row>
    <row r="359" spans="1:18" x14ac:dyDescent="0.25">
      <c r="A359" s="170">
        <v>42530</v>
      </c>
      <c r="B359" s="116">
        <v>240</v>
      </c>
      <c r="C359" s="116">
        <v>232.5</v>
      </c>
      <c r="D359" s="116">
        <v>232</v>
      </c>
      <c r="E359" s="116">
        <v>239.8</v>
      </c>
      <c r="F359" s="116">
        <v>232.5</v>
      </c>
      <c r="G359">
        <v>87489</v>
      </c>
      <c r="H359" s="116"/>
      <c r="I359" s="116"/>
      <c r="L359" s="170">
        <v>42530</v>
      </c>
      <c r="M359" s="116">
        <v>231.9</v>
      </c>
      <c r="N359" s="116">
        <v>239.9</v>
      </c>
      <c r="O359" s="116">
        <v>231.55</v>
      </c>
      <c r="P359" s="116">
        <v>239.05</v>
      </c>
      <c r="Q359" s="116">
        <v>231.9</v>
      </c>
      <c r="R359">
        <v>1986233</v>
      </c>
    </row>
    <row r="360" spans="1:18" x14ac:dyDescent="0.25">
      <c r="A360" s="170">
        <v>42531</v>
      </c>
      <c r="B360" s="116">
        <v>235.8</v>
      </c>
      <c r="C360" s="116">
        <v>234.75</v>
      </c>
      <c r="D360" s="116">
        <v>231</v>
      </c>
      <c r="E360" s="116">
        <v>231</v>
      </c>
      <c r="F360" s="116">
        <v>234.75</v>
      </c>
      <c r="G360">
        <v>68137</v>
      </c>
      <c r="H360" s="116"/>
      <c r="I360" s="116"/>
      <c r="L360" s="170">
        <v>42531</v>
      </c>
      <c r="M360" s="116">
        <v>235.3</v>
      </c>
      <c r="N360" s="116">
        <v>235.9</v>
      </c>
      <c r="O360" s="116">
        <v>230.9</v>
      </c>
      <c r="P360" s="116">
        <v>231</v>
      </c>
      <c r="Q360" s="116">
        <v>235.3</v>
      </c>
      <c r="R360">
        <v>4770107</v>
      </c>
    </row>
    <row r="361" spans="1:18" x14ac:dyDescent="0.25">
      <c r="A361" s="170">
        <v>42534</v>
      </c>
      <c r="B361" s="116">
        <v>237.5</v>
      </c>
      <c r="C361" s="116">
        <v>235.7</v>
      </c>
      <c r="D361" s="116">
        <v>231.8</v>
      </c>
      <c r="E361" s="116">
        <v>233.9</v>
      </c>
      <c r="F361" s="116">
        <v>235.7</v>
      </c>
      <c r="G361">
        <v>1528168</v>
      </c>
      <c r="H361" s="116"/>
      <c r="I361" s="116"/>
      <c r="L361" s="170">
        <v>42534</v>
      </c>
      <c r="M361" s="116">
        <v>237.35</v>
      </c>
      <c r="N361" s="116">
        <v>238.8</v>
      </c>
      <c r="O361" s="116">
        <v>231.5</v>
      </c>
      <c r="P361" s="116">
        <v>232</v>
      </c>
      <c r="Q361" s="116">
        <v>237.35</v>
      </c>
      <c r="R361">
        <v>7155871</v>
      </c>
    </row>
    <row r="362" spans="1:18" x14ac:dyDescent="0.25">
      <c r="A362" s="170">
        <v>42535</v>
      </c>
      <c r="B362" s="116">
        <v>237.95</v>
      </c>
      <c r="C362" s="116">
        <v>233.8</v>
      </c>
      <c r="D362" s="116">
        <v>233.05</v>
      </c>
      <c r="E362" s="116">
        <v>237.95</v>
      </c>
      <c r="F362" s="116">
        <v>233.8</v>
      </c>
      <c r="G362">
        <v>197964</v>
      </c>
      <c r="H362" s="116"/>
      <c r="I362" s="116"/>
      <c r="L362" s="170">
        <v>42535</v>
      </c>
      <c r="M362" s="116">
        <v>233.9</v>
      </c>
      <c r="N362" s="116">
        <v>238.1</v>
      </c>
      <c r="O362" s="116">
        <v>233.45</v>
      </c>
      <c r="P362" s="116">
        <v>237.3</v>
      </c>
      <c r="Q362" s="116">
        <v>233.9</v>
      </c>
      <c r="R362">
        <v>2441739</v>
      </c>
    </row>
    <row r="363" spans="1:18" x14ac:dyDescent="0.25">
      <c r="A363" s="170">
        <v>42536</v>
      </c>
      <c r="B363" s="116">
        <v>239</v>
      </c>
      <c r="C363" s="116">
        <v>237.85</v>
      </c>
      <c r="D363" s="116">
        <v>234.2</v>
      </c>
      <c r="E363" s="116">
        <v>234.2</v>
      </c>
      <c r="F363" s="116">
        <v>237.85</v>
      </c>
      <c r="G363">
        <v>161639</v>
      </c>
      <c r="H363" s="116"/>
      <c r="I363" s="116"/>
      <c r="L363" s="170">
        <v>42536</v>
      </c>
      <c r="M363" s="116">
        <v>238.6</v>
      </c>
      <c r="N363" s="116">
        <v>239.45</v>
      </c>
      <c r="O363" s="116">
        <v>233.9</v>
      </c>
      <c r="P363" s="116">
        <v>234.6</v>
      </c>
      <c r="Q363" s="116">
        <v>238.6</v>
      </c>
      <c r="R363">
        <v>2439469</v>
      </c>
    </row>
    <row r="364" spans="1:18" x14ac:dyDescent="0.25">
      <c r="A364" s="170">
        <v>42537</v>
      </c>
      <c r="B364" s="116">
        <v>239.25</v>
      </c>
      <c r="C364" s="116">
        <v>234.5</v>
      </c>
      <c r="D364" s="116">
        <v>234</v>
      </c>
      <c r="E364" s="116">
        <v>238.8</v>
      </c>
      <c r="F364" s="116">
        <v>234.5</v>
      </c>
      <c r="G364">
        <v>108035</v>
      </c>
      <c r="H364" s="116"/>
      <c r="I364" s="116"/>
      <c r="L364" s="170">
        <v>42537</v>
      </c>
      <c r="M364" s="116">
        <v>234.5</v>
      </c>
      <c r="N364" s="116">
        <v>239.35</v>
      </c>
      <c r="O364" s="116">
        <v>233.9</v>
      </c>
      <c r="P364" s="116">
        <v>238.4</v>
      </c>
      <c r="Q364" s="116">
        <v>234.5</v>
      </c>
      <c r="R364">
        <v>1589162</v>
      </c>
    </row>
    <row r="365" spans="1:18" x14ac:dyDescent="0.25">
      <c r="A365" s="170">
        <v>42538</v>
      </c>
      <c r="B365" s="116">
        <v>237.1</v>
      </c>
      <c r="C365" s="116">
        <v>235.4</v>
      </c>
      <c r="D365" s="116">
        <v>233.5</v>
      </c>
      <c r="E365" s="116">
        <v>235.8</v>
      </c>
      <c r="F365" s="116">
        <v>235.4</v>
      </c>
      <c r="G365">
        <v>190929</v>
      </c>
      <c r="H365" s="116"/>
      <c r="I365" s="116"/>
      <c r="L365" s="170">
        <v>42538</v>
      </c>
      <c r="M365" s="116">
        <v>235.9</v>
      </c>
      <c r="N365" s="116">
        <v>237.2</v>
      </c>
      <c r="O365" s="116">
        <v>234</v>
      </c>
      <c r="P365" s="116">
        <v>235.1</v>
      </c>
      <c r="Q365" s="116">
        <v>235.9</v>
      </c>
      <c r="R365">
        <v>978870</v>
      </c>
    </row>
    <row r="366" spans="1:18" x14ac:dyDescent="0.25">
      <c r="A366" s="170">
        <v>42541</v>
      </c>
      <c r="B366" s="116">
        <v>242</v>
      </c>
      <c r="C366" s="116">
        <v>241.35</v>
      </c>
      <c r="D366" s="116">
        <v>231.5</v>
      </c>
      <c r="E366" s="116">
        <v>231.5</v>
      </c>
      <c r="F366" s="116">
        <v>241.35</v>
      </c>
      <c r="G366">
        <v>240038</v>
      </c>
      <c r="H366" s="116"/>
      <c r="I366" s="116"/>
      <c r="L366" s="170">
        <v>42541</v>
      </c>
      <c r="M366" s="116">
        <v>242</v>
      </c>
      <c r="N366" s="116">
        <v>242.7</v>
      </c>
      <c r="O366" s="116">
        <v>234.4</v>
      </c>
      <c r="P366" s="116">
        <v>234.75</v>
      </c>
      <c r="Q366" s="116">
        <v>242</v>
      </c>
      <c r="R366">
        <v>3103000</v>
      </c>
    </row>
    <row r="367" spans="1:18" x14ac:dyDescent="0.25">
      <c r="A367" s="170">
        <v>42542</v>
      </c>
      <c r="B367" s="116">
        <v>242.6</v>
      </c>
      <c r="C367" s="116">
        <v>240.25</v>
      </c>
      <c r="D367" s="116">
        <v>238.05</v>
      </c>
      <c r="E367" s="116">
        <v>242.6</v>
      </c>
      <c r="F367" s="116">
        <v>240.25</v>
      </c>
      <c r="G367">
        <v>151229</v>
      </c>
      <c r="H367" s="116"/>
      <c r="I367" s="116"/>
      <c r="L367" s="170">
        <v>42542</v>
      </c>
      <c r="M367" s="116">
        <v>240.2</v>
      </c>
      <c r="N367" s="116">
        <v>242.85</v>
      </c>
      <c r="O367" s="116">
        <v>238.1</v>
      </c>
      <c r="P367" s="116">
        <v>242.35</v>
      </c>
      <c r="Q367" s="116">
        <v>240.2</v>
      </c>
      <c r="R367">
        <v>2247740</v>
      </c>
    </row>
    <row r="368" spans="1:18" x14ac:dyDescent="0.25">
      <c r="A368" s="170">
        <v>42543</v>
      </c>
      <c r="B368" s="116">
        <v>243.55</v>
      </c>
      <c r="C368" s="116">
        <v>242</v>
      </c>
      <c r="D368" s="116">
        <v>239.2</v>
      </c>
      <c r="E368" s="116">
        <v>239.95</v>
      </c>
      <c r="F368" s="116">
        <v>242</v>
      </c>
      <c r="G368">
        <v>383128</v>
      </c>
      <c r="H368" s="116"/>
      <c r="I368" s="116"/>
      <c r="L368" s="170">
        <v>42543</v>
      </c>
      <c r="M368" s="116">
        <v>242.85</v>
      </c>
      <c r="N368" s="116">
        <v>243.8</v>
      </c>
      <c r="O368" s="116">
        <v>239.5</v>
      </c>
      <c r="P368" s="116">
        <v>240.45</v>
      </c>
      <c r="Q368" s="116">
        <v>242.85</v>
      </c>
      <c r="R368">
        <v>5593979</v>
      </c>
    </row>
    <row r="369" spans="1:18" x14ac:dyDescent="0.25">
      <c r="A369" s="170">
        <v>42544</v>
      </c>
      <c r="B369" s="116">
        <v>250.2</v>
      </c>
      <c r="C369" s="116">
        <v>248.85</v>
      </c>
      <c r="D369" s="116">
        <v>242.5</v>
      </c>
      <c r="E369" s="116">
        <v>242.5</v>
      </c>
      <c r="F369" s="116">
        <v>248.85</v>
      </c>
      <c r="G369">
        <v>277471</v>
      </c>
      <c r="H369" s="116"/>
      <c r="I369" s="116"/>
      <c r="L369" s="170">
        <v>42544</v>
      </c>
      <c r="M369" s="116">
        <v>249.9</v>
      </c>
      <c r="N369" s="116">
        <v>250.9</v>
      </c>
      <c r="O369" s="116">
        <v>242.75</v>
      </c>
      <c r="P369" s="116">
        <v>242.8</v>
      </c>
      <c r="Q369" s="116">
        <v>249.9</v>
      </c>
      <c r="R369">
        <v>10068647</v>
      </c>
    </row>
    <row r="370" spans="1:18" x14ac:dyDescent="0.25">
      <c r="A370" s="170">
        <v>42545</v>
      </c>
      <c r="B370" s="116">
        <v>249.45</v>
      </c>
      <c r="C370" s="116">
        <v>248.3</v>
      </c>
      <c r="D370" s="116">
        <v>238</v>
      </c>
      <c r="E370" s="116">
        <v>244</v>
      </c>
      <c r="F370" s="116">
        <v>248.3</v>
      </c>
      <c r="G370">
        <v>136820</v>
      </c>
      <c r="H370" s="116"/>
      <c r="I370" s="116"/>
      <c r="L370" s="170">
        <v>42545</v>
      </c>
      <c r="M370" s="116">
        <v>248.1</v>
      </c>
      <c r="N370" s="116">
        <v>249.25</v>
      </c>
      <c r="O370" s="116">
        <v>237.8</v>
      </c>
      <c r="P370" s="116">
        <v>244.5</v>
      </c>
      <c r="Q370" s="116">
        <v>248.1</v>
      </c>
      <c r="R370">
        <v>2400680</v>
      </c>
    </row>
    <row r="371" spans="1:18" x14ac:dyDescent="0.25">
      <c r="A371" s="170">
        <v>42548</v>
      </c>
      <c r="B371" s="116">
        <v>254.8</v>
      </c>
      <c r="C371" s="116">
        <v>254</v>
      </c>
      <c r="D371" s="116">
        <v>248.15</v>
      </c>
      <c r="E371" s="116">
        <v>248.15</v>
      </c>
      <c r="F371" s="116">
        <v>254</v>
      </c>
      <c r="G371">
        <v>152953</v>
      </c>
      <c r="H371" s="116"/>
      <c r="I371" s="116"/>
      <c r="L371" s="170">
        <v>42548</v>
      </c>
      <c r="M371" s="116">
        <v>254.4</v>
      </c>
      <c r="N371" s="116">
        <v>255.45</v>
      </c>
      <c r="O371" s="116">
        <v>247.85</v>
      </c>
      <c r="P371" s="116">
        <v>247.9</v>
      </c>
      <c r="Q371" s="116">
        <v>254.4</v>
      </c>
      <c r="R371">
        <v>3601057</v>
      </c>
    </row>
    <row r="372" spans="1:18" x14ac:dyDescent="0.25">
      <c r="A372" s="170">
        <v>42549</v>
      </c>
      <c r="B372" s="116">
        <v>255.3</v>
      </c>
      <c r="C372" s="116">
        <v>251.9</v>
      </c>
      <c r="D372" s="116">
        <v>250</v>
      </c>
      <c r="E372" s="116">
        <v>250</v>
      </c>
      <c r="F372" s="116">
        <v>251.9</v>
      </c>
      <c r="G372">
        <v>134511</v>
      </c>
      <c r="H372" s="116"/>
      <c r="I372" s="116"/>
      <c r="L372" s="170">
        <v>42549</v>
      </c>
      <c r="M372" s="116">
        <v>251.9</v>
      </c>
      <c r="N372" s="116">
        <v>255.35</v>
      </c>
      <c r="O372" s="116">
        <v>250.95</v>
      </c>
      <c r="P372" s="116">
        <v>253</v>
      </c>
      <c r="Q372" s="116">
        <v>251.9</v>
      </c>
      <c r="R372">
        <v>2876613</v>
      </c>
    </row>
    <row r="373" spans="1:18" x14ac:dyDescent="0.25">
      <c r="A373" s="170">
        <v>42550</v>
      </c>
      <c r="B373" s="116">
        <v>258.39999999999998</v>
      </c>
      <c r="C373" s="116">
        <v>255.65</v>
      </c>
      <c r="D373" s="116">
        <v>250.2</v>
      </c>
      <c r="E373" s="116">
        <v>250.2</v>
      </c>
      <c r="F373" s="116">
        <v>255.65</v>
      </c>
      <c r="G373">
        <v>202614</v>
      </c>
      <c r="H373" s="116"/>
      <c r="I373" s="116"/>
      <c r="L373" s="170">
        <v>42550</v>
      </c>
      <c r="M373" s="116">
        <v>255.9</v>
      </c>
      <c r="N373" s="116">
        <v>258.5</v>
      </c>
      <c r="O373" s="116">
        <v>251.75</v>
      </c>
      <c r="P373" s="116">
        <v>252.8</v>
      </c>
      <c r="Q373" s="116">
        <v>255.9</v>
      </c>
      <c r="R373">
        <v>3730629</v>
      </c>
    </row>
    <row r="374" spans="1:18" x14ac:dyDescent="0.25">
      <c r="A374" s="170">
        <v>42551</v>
      </c>
      <c r="B374" s="116">
        <v>257.3</v>
      </c>
      <c r="C374" s="116">
        <v>254.35</v>
      </c>
      <c r="D374" s="116">
        <v>252.65</v>
      </c>
      <c r="E374" s="116">
        <v>256.39999999999998</v>
      </c>
      <c r="F374" s="116">
        <v>254.35</v>
      </c>
      <c r="G374">
        <v>182656</v>
      </c>
      <c r="H374" s="116"/>
      <c r="I374" s="116"/>
      <c r="L374" s="170">
        <v>42551</v>
      </c>
      <c r="M374" s="116">
        <v>254.8</v>
      </c>
      <c r="N374" s="116">
        <v>257.39999999999998</v>
      </c>
      <c r="O374" s="116">
        <v>252.4</v>
      </c>
      <c r="P374" s="116">
        <v>255.1</v>
      </c>
      <c r="Q374" s="116">
        <v>254.8</v>
      </c>
      <c r="R374">
        <v>2354039</v>
      </c>
    </row>
    <row r="375" spans="1:18" x14ac:dyDescent="0.25">
      <c r="A375" s="170">
        <v>42552</v>
      </c>
      <c r="B375" s="116">
        <v>257.3</v>
      </c>
      <c r="C375" s="116">
        <v>252.9</v>
      </c>
      <c r="D375" s="116">
        <v>252.1</v>
      </c>
      <c r="E375" s="116">
        <v>254</v>
      </c>
      <c r="F375" s="116">
        <v>252.9</v>
      </c>
      <c r="G375">
        <v>93204</v>
      </c>
      <c r="H375" s="116"/>
      <c r="I375" s="116"/>
      <c r="L375" s="170">
        <v>42552</v>
      </c>
      <c r="M375" s="116">
        <v>252.95</v>
      </c>
      <c r="N375" s="116">
        <v>257.39999999999998</v>
      </c>
      <c r="O375" s="116">
        <v>252.15</v>
      </c>
      <c r="P375" s="116">
        <v>255.7</v>
      </c>
      <c r="Q375" s="116">
        <v>252.95</v>
      </c>
      <c r="R375">
        <v>1201416</v>
      </c>
    </row>
    <row r="376" spans="1:18" x14ac:dyDescent="0.25">
      <c r="A376" s="170">
        <v>42555</v>
      </c>
      <c r="B376" s="116">
        <v>255.65</v>
      </c>
      <c r="C376" s="116">
        <v>252.9</v>
      </c>
      <c r="D376" s="116">
        <v>252.2</v>
      </c>
      <c r="E376" s="116">
        <v>254.1</v>
      </c>
      <c r="F376" s="116">
        <v>252.9</v>
      </c>
      <c r="G376">
        <v>90517</v>
      </c>
      <c r="H376" s="116"/>
      <c r="I376" s="116"/>
      <c r="L376" s="170">
        <v>42555</v>
      </c>
      <c r="M376" s="116">
        <v>253.15</v>
      </c>
      <c r="N376" s="116">
        <v>255.7</v>
      </c>
      <c r="O376" s="116">
        <v>252.3</v>
      </c>
      <c r="P376" s="116">
        <v>253</v>
      </c>
      <c r="Q376" s="116">
        <v>253.15</v>
      </c>
      <c r="R376">
        <v>1619285</v>
      </c>
    </row>
    <row r="377" spans="1:18" x14ac:dyDescent="0.25">
      <c r="A377" s="170">
        <v>42556</v>
      </c>
      <c r="B377" s="116">
        <v>255.7</v>
      </c>
      <c r="C377" s="116">
        <v>253.2</v>
      </c>
      <c r="D377" s="116">
        <v>250.1</v>
      </c>
      <c r="E377" s="116">
        <v>250.1</v>
      </c>
      <c r="F377" s="116">
        <v>253.2</v>
      </c>
      <c r="G377">
        <v>128493</v>
      </c>
      <c r="H377" s="116"/>
      <c r="I377" s="116"/>
      <c r="L377" s="170">
        <v>42556</v>
      </c>
      <c r="M377" s="116">
        <v>253.55</v>
      </c>
      <c r="N377" s="116">
        <v>255.95</v>
      </c>
      <c r="O377" s="116">
        <v>251.75</v>
      </c>
      <c r="P377" s="116">
        <v>252.6</v>
      </c>
      <c r="Q377" s="116">
        <v>253.55</v>
      </c>
      <c r="R377">
        <v>2790794</v>
      </c>
    </row>
    <row r="378" spans="1:18" x14ac:dyDescent="0.25">
      <c r="A378" s="170">
        <v>42558</v>
      </c>
      <c r="B378" s="116">
        <v>258.7</v>
      </c>
      <c r="C378" s="116">
        <v>257</v>
      </c>
      <c r="D378" s="116">
        <v>253.05</v>
      </c>
      <c r="E378" s="116">
        <v>255</v>
      </c>
      <c r="F378" s="116">
        <v>257</v>
      </c>
      <c r="G378">
        <v>530529</v>
      </c>
      <c r="H378" s="116"/>
      <c r="I378" s="116"/>
      <c r="L378" s="170">
        <v>42558</v>
      </c>
      <c r="M378" s="116">
        <v>256.95</v>
      </c>
      <c r="N378" s="116">
        <v>259</v>
      </c>
      <c r="O378" s="116">
        <v>253</v>
      </c>
      <c r="P378" s="116">
        <v>255</v>
      </c>
      <c r="Q378" s="116">
        <v>256.95</v>
      </c>
      <c r="R378">
        <v>2048744</v>
      </c>
    </row>
    <row r="379" spans="1:18" x14ac:dyDescent="0.25">
      <c r="A379" s="170">
        <v>42559</v>
      </c>
      <c r="B379" s="116">
        <v>260.95</v>
      </c>
      <c r="C379" s="116">
        <v>257.64999999999998</v>
      </c>
      <c r="D379" s="116">
        <v>256.5</v>
      </c>
      <c r="E379" s="116">
        <v>257.7</v>
      </c>
      <c r="F379" s="116">
        <v>257.64999999999998</v>
      </c>
      <c r="G379">
        <v>178401</v>
      </c>
      <c r="H379" s="116"/>
      <c r="I379" s="116"/>
      <c r="L379" s="170">
        <v>42559</v>
      </c>
      <c r="M379" s="116">
        <v>258.10000000000002</v>
      </c>
      <c r="N379" s="116">
        <v>261</v>
      </c>
      <c r="O379" s="116">
        <v>256.85000000000002</v>
      </c>
      <c r="P379" s="116">
        <v>257.10000000000002</v>
      </c>
      <c r="Q379" s="116">
        <v>258.10000000000002</v>
      </c>
      <c r="R379">
        <v>1621615</v>
      </c>
    </row>
    <row r="380" spans="1:18" x14ac:dyDescent="0.25">
      <c r="A380" s="170">
        <v>42562</v>
      </c>
      <c r="B380" s="116">
        <v>261.35000000000002</v>
      </c>
      <c r="C380" s="116">
        <v>260.2</v>
      </c>
      <c r="D380" s="116">
        <v>259.05</v>
      </c>
      <c r="E380" s="116">
        <v>259.05</v>
      </c>
      <c r="F380" s="116">
        <v>260.2</v>
      </c>
      <c r="G380">
        <v>128056</v>
      </c>
      <c r="H380" s="116"/>
      <c r="I380" s="116"/>
      <c r="L380" s="170">
        <v>42562</v>
      </c>
      <c r="M380" s="116">
        <v>260.64999999999998</v>
      </c>
      <c r="N380" s="116">
        <v>261.75</v>
      </c>
      <c r="O380" s="116">
        <v>259.55</v>
      </c>
      <c r="P380" s="116">
        <v>261.7</v>
      </c>
      <c r="Q380" s="116">
        <v>260.64999999999998</v>
      </c>
      <c r="R380">
        <v>1927776</v>
      </c>
    </row>
    <row r="381" spans="1:18" x14ac:dyDescent="0.25">
      <c r="A381" s="170">
        <v>42563</v>
      </c>
      <c r="B381" s="116">
        <v>263.85000000000002</v>
      </c>
      <c r="C381" s="116">
        <v>260.64999999999998</v>
      </c>
      <c r="D381" s="116">
        <v>259.25</v>
      </c>
      <c r="E381" s="116">
        <v>259.8</v>
      </c>
      <c r="F381" s="116">
        <v>260.64999999999998</v>
      </c>
      <c r="G381">
        <v>169350</v>
      </c>
      <c r="H381" s="116"/>
      <c r="I381" s="116"/>
      <c r="L381" s="170">
        <v>42563</v>
      </c>
      <c r="M381" s="116">
        <v>260.8</v>
      </c>
      <c r="N381" s="116">
        <v>263.85000000000002</v>
      </c>
      <c r="O381" s="116">
        <v>259.2</v>
      </c>
      <c r="P381" s="116">
        <v>260.10000000000002</v>
      </c>
      <c r="Q381" s="116">
        <v>260.8</v>
      </c>
      <c r="R381">
        <v>1576218</v>
      </c>
    </row>
    <row r="382" spans="1:18" x14ac:dyDescent="0.25">
      <c r="A382" s="170">
        <v>42564</v>
      </c>
      <c r="B382" s="116">
        <v>261.3</v>
      </c>
      <c r="C382" s="116">
        <v>260.55</v>
      </c>
      <c r="D382" s="116">
        <v>259</v>
      </c>
      <c r="E382" s="116">
        <v>260.5</v>
      </c>
      <c r="F382" s="116">
        <v>260.55</v>
      </c>
      <c r="G382">
        <v>64349</v>
      </c>
      <c r="H382" s="116"/>
      <c r="I382" s="116"/>
      <c r="L382" s="170">
        <v>42564</v>
      </c>
      <c r="M382" s="116">
        <v>260.60000000000002</v>
      </c>
      <c r="N382" s="116">
        <v>262.95</v>
      </c>
      <c r="O382" s="116">
        <v>258.8</v>
      </c>
      <c r="P382" s="116">
        <v>260.8</v>
      </c>
      <c r="Q382" s="116">
        <v>260.60000000000002</v>
      </c>
      <c r="R382">
        <v>1366007</v>
      </c>
    </row>
    <row r="383" spans="1:18" x14ac:dyDescent="0.25">
      <c r="A383" s="170">
        <v>42565</v>
      </c>
      <c r="B383" s="116">
        <v>263.5</v>
      </c>
      <c r="C383" s="116">
        <v>262.5</v>
      </c>
      <c r="D383" s="116">
        <v>258.8</v>
      </c>
      <c r="E383" s="116">
        <v>259.95</v>
      </c>
      <c r="F383" s="116">
        <v>262.5</v>
      </c>
      <c r="G383">
        <v>107726</v>
      </c>
      <c r="H383" s="116"/>
      <c r="I383" s="116"/>
      <c r="L383" s="170">
        <v>42565</v>
      </c>
      <c r="M383" s="116">
        <v>262.64999999999998</v>
      </c>
      <c r="N383" s="116">
        <v>263.5</v>
      </c>
      <c r="O383" s="116">
        <v>258.64999999999998</v>
      </c>
      <c r="P383" s="116">
        <v>260.05</v>
      </c>
      <c r="Q383" s="116">
        <v>262.64999999999998</v>
      </c>
      <c r="R383">
        <v>790661</v>
      </c>
    </row>
    <row r="384" spans="1:18" x14ac:dyDescent="0.25">
      <c r="A384" s="170">
        <v>42566</v>
      </c>
      <c r="B384" s="116">
        <v>264.7</v>
      </c>
      <c r="C384" s="116">
        <v>260.89999999999998</v>
      </c>
      <c r="D384" s="116">
        <v>259.7</v>
      </c>
      <c r="E384" s="116">
        <v>263</v>
      </c>
      <c r="F384" s="116">
        <v>260.89999999999998</v>
      </c>
      <c r="G384">
        <v>173927</v>
      </c>
      <c r="H384" s="116"/>
      <c r="I384" s="116"/>
      <c r="L384" s="170">
        <v>42566</v>
      </c>
      <c r="M384" s="116">
        <v>260.85000000000002</v>
      </c>
      <c r="N384" s="116">
        <v>265</v>
      </c>
      <c r="O384" s="116">
        <v>259.8</v>
      </c>
      <c r="P384" s="116">
        <v>263.95</v>
      </c>
      <c r="Q384" s="116">
        <v>260.85000000000002</v>
      </c>
      <c r="R384">
        <v>1179457</v>
      </c>
    </row>
    <row r="385" spans="1:18" x14ac:dyDescent="0.25">
      <c r="A385" s="170">
        <v>42569</v>
      </c>
      <c r="B385" s="116">
        <v>262.75</v>
      </c>
      <c r="C385" s="116">
        <v>259.7</v>
      </c>
      <c r="D385" s="116">
        <v>258.55</v>
      </c>
      <c r="E385" s="116">
        <v>260.89999999999998</v>
      </c>
      <c r="F385" s="116">
        <v>259.7</v>
      </c>
      <c r="G385">
        <v>263729</v>
      </c>
      <c r="H385" s="116"/>
      <c r="I385" s="116"/>
      <c r="L385" s="170">
        <v>42569</v>
      </c>
      <c r="M385" s="116">
        <v>259.95</v>
      </c>
      <c r="N385" s="116">
        <v>262.75</v>
      </c>
      <c r="O385" s="116">
        <v>258.89999999999998</v>
      </c>
      <c r="P385" s="116">
        <v>261.5</v>
      </c>
      <c r="Q385" s="116">
        <v>259.95</v>
      </c>
      <c r="R385">
        <v>1575126</v>
      </c>
    </row>
    <row r="386" spans="1:18" x14ac:dyDescent="0.25">
      <c r="A386" s="170">
        <v>42570</v>
      </c>
      <c r="B386" s="116">
        <v>263.39999999999998</v>
      </c>
      <c r="C386" s="116">
        <v>262.5</v>
      </c>
      <c r="D386" s="116">
        <v>258.8</v>
      </c>
      <c r="E386" s="116">
        <v>259</v>
      </c>
      <c r="F386" s="116">
        <v>262.5</v>
      </c>
      <c r="G386">
        <v>62573</v>
      </c>
      <c r="H386" s="116"/>
      <c r="I386" s="116"/>
      <c r="L386" s="170">
        <v>42570</v>
      </c>
      <c r="M386" s="116">
        <v>262.7</v>
      </c>
      <c r="N386" s="116">
        <v>264</v>
      </c>
      <c r="O386" s="116">
        <v>258.64999999999998</v>
      </c>
      <c r="P386" s="116">
        <v>260.25</v>
      </c>
      <c r="Q386" s="116">
        <v>262.7</v>
      </c>
      <c r="R386">
        <v>1137771</v>
      </c>
    </row>
    <row r="387" spans="1:18" x14ac:dyDescent="0.25">
      <c r="A387" s="170">
        <v>42571</v>
      </c>
      <c r="B387" s="116">
        <v>266.8</v>
      </c>
      <c r="C387" s="116">
        <v>262.2</v>
      </c>
      <c r="D387" s="116">
        <v>259.8</v>
      </c>
      <c r="E387" s="116">
        <v>263</v>
      </c>
      <c r="F387" s="116">
        <v>262.2</v>
      </c>
      <c r="G387">
        <v>79348</v>
      </c>
      <c r="H387" s="116"/>
      <c r="I387" s="116"/>
      <c r="L387" s="170">
        <v>42571</v>
      </c>
      <c r="M387" s="116">
        <v>262</v>
      </c>
      <c r="N387" s="116">
        <v>267.14999999999998</v>
      </c>
      <c r="O387" s="116">
        <v>259.64999999999998</v>
      </c>
      <c r="P387" s="116">
        <v>263.2</v>
      </c>
      <c r="Q387" s="116">
        <v>262</v>
      </c>
      <c r="R387">
        <v>2450710</v>
      </c>
    </row>
    <row r="388" spans="1:18" x14ac:dyDescent="0.25">
      <c r="A388" s="170">
        <v>42572</v>
      </c>
      <c r="B388" s="116">
        <v>267.7</v>
      </c>
      <c r="C388" s="116">
        <v>266.05</v>
      </c>
      <c r="D388" s="116">
        <v>263.10000000000002</v>
      </c>
      <c r="E388" s="116">
        <v>264</v>
      </c>
      <c r="F388" s="116">
        <v>266.05</v>
      </c>
      <c r="G388">
        <v>169567</v>
      </c>
      <c r="H388" s="116"/>
      <c r="I388" s="116"/>
      <c r="L388" s="170">
        <v>42572</v>
      </c>
      <c r="M388" s="116">
        <v>265.89999999999998</v>
      </c>
      <c r="N388" s="116">
        <v>267.7</v>
      </c>
      <c r="O388" s="116">
        <v>262.8</v>
      </c>
      <c r="P388" s="116">
        <v>263</v>
      </c>
      <c r="Q388" s="116">
        <v>265.89999999999998</v>
      </c>
      <c r="R388">
        <v>2164365</v>
      </c>
    </row>
    <row r="389" spans="1:18" x14ac:dyDescent="0.25">
      <c r="A389" s="170">
        <v>42573</v>
      </c>
      <c r="B389" s="116">
        <v>267.5</v>
      </c>
      <c r="C389" s="116">
        <v>264.89999999999998</v>
      </c>
      <c r="D389" s="116">
        <v>262.35000000000002</v>
      </c>
      <c r="E389" s="116">
        <v>267.5</v>
      </c>
      <c r="F389" s="116">
        <v>264.89999999999998</v>
      </c>
      <c r="G389">
        <v>47860</v>
      </c>
      <c r="H389" s="116"/>
      <c r="I389" s="116"/>
      <c r="L389" s="170">
        <v>42573</v>
      </c>
      <c r="M389" s="116">
        <v>265.05</v>
      </c>
      <c r="N389" s="116">
        <v>267.05</v>
      </c>
      <c r="O389" s="116">
        <v>262.3</v>
      </c>
      <c r="P389" s="116">
        <v>267</v>
      </c>
      <c r="Q389" s="116">
        <v>265.05</v>
      </c>
      <c r="R389">
        <v>628541</v>
      </c>
    </row>
    <row r="390" spans="1:18" x14ac:dyDescent="0.25">
      <c r="A390" s="170">
        <v>42576</v>
      </c>
      <c r="B390" s="116">
        <v>269.10000000000002</v>
      </c>
      <c r="C390" s="116">
        <v>268.60000000000002</v>
      </c>
      <c r="D390" s="116">
        <v>264.10000000000002</v>
      </c>
      <c r="E390" s="116">
        <v>265.60000000000002</v>
      </c>
      <c r="F390" s="116">
        <v>268.60000000000002</v>
      </c>
      <c r="G390">
        <v>164942</v>
      </c>
      <c r="H390" s="116"/>
      <c r="I390" s="116"/>
      <c r="L390" s="170">
        <v>42576</v>
      </c>
      <c r="M390" s="116">
        <v>269</v>
      </c>
      <c r="N390" s="116">
        <v>269.39999999999998</v>
      </c>
      <c r="O390" s="116">
        <v>264.3</v>
      </c>
      <c r="P390" s="116">
        <v>265.45</v>
      </c>
      <c r="Q390" s="116">
        <v>269</v>
      </c>
      <c r="R390">
        <v>983068</v>
      </c>
    </row>
    <row r="391" spans="1:18" x14ac:dyDescent="0.25">
      <c r="A391" s="170">
        <v>42577</v>
      </c>
      <c r="B391" s="116">
        <v>274.05</v>
      </c>
      <c r="C391" s="116">
        <v>269.95</v>
      </c>
      <c r="D391" s="116">
        <v>268.5</v>
      </c>
      <c r="E391" s="116">
        <v>272</v>
      </c>
      <c r="F391" s="116">
        <v>269.95</v>
      </c>
      <c r="G391">
        <v>288641</v>
      </c>
      <c r="H391" s="116"/>
      <c r="I391" s="116"/>
      <c r="L391" s="170">
        <v>42577</v>
      </c>
      <c r="M391" s="116">
        <v>269.8</v>
      </c>
      <c r="N391" s="116">
        <v>274</v>
      </c>
      <c r="O391" s="116">
        <v>268.2</v>
      </c>
      <c r="P391" s="116">
        <v>271.2</v>
      </c>
      <c r="Q391" s="116">
        <v>269.8</v>
      </c>
      <c r="R391">
        <v>2261427</v>
      </c>
    </row>
    <row r="392" spans="1:18" x14ac:dyDescent="0.25">
      <c r="A392" s="170">
        <v>42578</v>
      </c>
      <c r="B392" s="116">
        <v>278.35000000000002</v>
      </c>
      <c r="C392" s="116">
        <v>267.75</v>
      </c>
      <c r="D392" s="116">
        <v>266.25</v>
      </c>
      <c r="E392" s="116">
        <v>277.55</v>
      </c>
      <c r="F392" s="116">
        <v>267.75</v>
      </c>
      <c r="G392">
        <v>541348</v>
      </c>
      <c r="H392" s="116"/>
      <c r="I392" s="116"/>
      <c r="L392" s="170">
        <v>42578</v>
      </c>
      <c r="M392" s="116">
        <v>268</v>
      </c>
      <c r="N392" s="116">
        <v>278</v>
      </c>
      <c r="O392" s="116">
        <v>266.39999999999998</v>
      </c>
      <c r="P392" s="116">
        <v>278</v>
      </c>
      <c r="Q392" s="116">
        <v>268</v>
      </c>
      <c r="R392">
        <v>5029755</v>
      </c>
    </row>
    <row r="393" spans="1:18" x14ac:dyDescent="0.25">
      <c r="A393" s="170">
        <v>42579</v>
      </c>
      <c r="B393" s="116">
        <v>274</v>
      </c>
      <c r="C393" s="116">
        <v>271.39999999999998</v>
      </c>
      <c r="D393" s="116">
        <v>266.14999999999998</v>
      </c>
      <c r="E393" s="116">
        <v>271.3</v>
      </c>
      <c r="F393" s="116">
        <v>271.39999999999998</v>
      </c>
      <c r="G393">
        <v>235619</v>
      </c>
      <c r="H393" s="116"/>
      <c r="I393" s="116"/>
      <c r="L393" s="170">
        <v>42579</v>
      </c>
      <c r="M393" s="116">
        <v>271.55</v>
      </c>
      <c r="N393" s="116">
        <v>273.85000000000002</v>
      </c>
      <c r="O393" s="116">
        <v>266.2</v>
      </c>
      <c r="P393" s="116">
        <v>269</v>
      </c>
      <c r="Q393" s="116">
        <v>271.55</v>
      </c>
      <c r="R393">
        <v>2946512</v>
      </c>
    </row>
    <row r="394" spans="1:18" x14ac:dyDescent="0.25">
      <c r="A394" s="170">
        <v>42580</v>
      </c>
      <c r="B394" s="116">
        <v>274.64999999999998</v>
      </c>
      <c r="C394" s="116">
        <v>271.14999999999998</v>
      </c>
      <c r="D394" s="116">
        <v>269.45</v>
      </c>
      <c r="E394" s="116">
        <v>272.60000000000002</v>
      </c>
      <c r="F394" s="116">
        <v>271.14999999999998</v>
      </c>
      <c r="G394">
        <v>162300</v>
      </c>
      <c r="H394" s="116"/>
      <c r="I394" s="116"/>
      <c r="L394" s="170">
        <v>42580</v>
      </c>
      <c r="M394" s="116">
        <v>271.25</v>
      </c>
      <c r="N394" s="116">
        <v>274.89999999999998</v>
      </c>
      <c r="O394" s="116">
        <v>269.14999999999998</v>
      </c>
      <c r="P394" s="116">
        <v>272.39999999999998</v>
      </c>
      <c r="Q394" s="116">
        <v>271.25</v>
      </c>
      <c r="R394">
        <v>1313996</v>
      </c>
    </row>
    <row r="395" spans="1:18" x14ac:dyDescent="0.25">
      <c r="A395" s="170">
        <v>42583</v>
      </c>
      <c r="B395" s="116">
        <v>273.14999999999998</v>
      </c>
      <c r="C395" s="116">
        <v>270.95</v>
      </c>
      <c r="D395" s="116">
        <v>269.45</v>
      </c>
      <c r="E395" s="116">
        <v>271.14999999999998</v>
      </c>
      <c r="F395" s="116">
        <v>270.95</v>
      </c>
      <c r="G395">
        <v>142069</v>
      </c>
      <c r="H395" s="116"/>
      <c r="I395" s="116"/>
      <c r="L395" s="170">
        <v>42583</v>
      </c>
      <c r="M395" s="116">
        <v>271</v>
      </c>
      <c r="N395" s="116">
        <v>272.95</v>
      </c>
      <c r="O395" s="116">
        <v>269.35000000000002</v>
      </c>
      <c r="P395" s="116">
        <v>271.64999999999998</v>
      </c>
      <c r="Q395" s="116">
        <v>271</v>
      </c>
      <c r="R395">
        <v>1126254</v>
      </c>
    </row>
    <row r="396" spans="1:18" x14ac:dyDescent="0.25">
      <c r="A396" s="170">
        <v>42584</v>
      </c>
      <c r="B396" s="116">
        <v>270.39999999999998</v>
      </c>
      <c r="C396" s="116">
        <v>263.95</v>
      </c>
      <c r="D396" s="116">
        <v>263.10000000000002</v>
      </c>
      <c r="E396" s="116">
        <v>269.85000000000002</v>
      </c>
      <c r="F396" s="116">
        <v>263.95</v>
      </c>
      <c r="G396">
        <v>82390</v>
      </c>
      <c r="H396" s="116"/>
      <c r="I396" s="116"/>
      <c r="L396" s="170">
        <v>42584</v>
      </c>
      <c r="M396" s="116">
        <v>263.85000000000002</v>
      </c>
      <c r="N396" s="116">
        <v>270.60000000000002</v>
      </c>
      <c r="O396" s="116">
        <v>262.95</v>
      </c>
      <c r="P396" s="116">
        <v>269.8</v>
      </c>
      <c r="Q396" s="116">
        <v>263.85000000000002</v>
      </c>
      <c r="R396">
        <v>1581110</v>
      </c>
    </row>
    <row r="397" spans="1:18" x14ac:dyDescent="0.25">
      <c r="A397" s="170">
        <v>42585</v>
      </c>
      <c r="B397" s="116">
        <v>266.89999999999998</v>
      </c>
      <c r="C397" s="116">
        <v>262.75</v>
      </c>
      <c r="D397" s="116">
        <v>260.35000000000002</v>
      </c>
      <c r="E397" s="116">
        <v>266.10000000000002</v>
      </c>
      <c r="F397" s="116">
        <v>262.75</v>
      </c>
      <c r="G397">
        <v>173912</v>
      </c>
      <c r="H397" s="116"/>
      <c r="I397" s="116"/>
      <c r="L397" s="170">
        <v>42585</v>
      </c>
      <c r="M397" s="116">
        <v>262.5</v>
      </c>
      <c r="N397" s="116">
        <v>266.95</v>
      </c>
      <c r="O397" s="116">
        <v>259.85000000000002</v>
      </c>
      <c r="P397" s="116">
        <v>265.2</v>
      </c>
      <c r="Q397" s="116">
        <v>262.5</v>
      </c>
      <c r="R397">
        <v>2730261</v>
      </c>
    </row>
    <row r="398" spans="1:18" x14ac:dyDescent="0.25">
      <c r="A398" s="170">
        <v>42586</v>
      </c>
      <c r="B398" s="116">
        <v>270</v>
      </c>
      <c r="C398" s="116">
        <v>264.35000000000002</v>
      </c>
      <c r="D398" s="116">
        <v>262</v>
      </c>
      <c r="E398" s="116">
        <v>270</v>
      </c>
      <c r="F398" s="116">
        <v>264.35000000000002</v>
      </c>
      <c r="G398">
        <v>232497</v>
      </c>
      <c r="H398" s="116"/>
      <c r="I398" s="116"/>
      <c r="L398" s="170">
        <v>42586</v>
      </c>
      <c r="M398" s="116">
        <v>264.39999999999998</v>
      </c>
      <c r="N398" s="116">
        <v>265.89999999999998</v>
      </c>
      <c r="O398" s="116">
        <v>261.89999999999998</v>
      </c>
      <c r="P398" s="116">
        <v>265.89999999999998</v>
      </c>
      <c r="Q398" s="116">
        <v>264.39999999999998</v>
      </c>
      <c r="R398">
        <v>1128677</v>
      </c>
    </row>
    <row r="399" spans="1:18" x14ac:dyDescent="0.25">
      <c r="A399" s="170">
        <v>42587</v>
      </c>
      <c r="B399" s="116">
        <v>276.45</v>
      </c>
      <c r="C399" s="116">
        <v>275.7</v>
      </c>
      <c r="D399" s="116">
        <v>265.3</v>
      </c>
      <c r="E399" s="116">
        <v>267.89999999999998</v>
      </c>
      <c r="F399" s="116">
        <v>275.7</v>
      </c>
      <c r="G399">
        <v>283078</v>
      </c>
      <c r="H399" s="116"/>
      <c r="I399" s="116"/>
      <c r="L399" s="170">
        <v>42587</v>
      </c>
      <c r="M399" s="116">
        <v>275.89999999999998</v>
      </c>
      <c r="N399" s="116">
        <v>276.64999999999998</v>
      </c>
      <c r="O399" s="116">
        <v>265.10000000000002</v>
      </c>
      <c r="P399" s="116">
        <v>265.10000000000002</v>
      </c>
      <c r="Q399" s="116">
        <v>275.89999999999998</v>
      </c>
      <c r="R399">
        <v>2703051</v>
      </c>
    </row>
    <row r="400" spans="1:18" x14ac:dyDescent="0.25">
      <c r="A400" s="170">
        <v>42590</v>
      </c>
      <c r="B400" s="116">
        <v>277.35000000000002</v>
      </c>
      <c r="C400" s="116">
        <v>276.2</v>
      </c>
      <c r="D400" s="116">
        <v>272</v>
      </c>
      <c r="E400" s="116">
        <v>275.7</v>
      </c>
      <c r="F400" s="116">
        <v>276.2</v>
      </c>
      <c r="G400">
        <v>214768</v>
      </c>
      <c r="H400" s="116"/>
      <c r="I400" s="116"/>
      <c r="L400" s="170">
        <v>42590</v>
      </c>
      <c r="M400" s="116">
        <v>276.5</v>
      </c>
      <c r="N400" s="116">
        <v>277.75</v>
      </c>
      <c r="O400" s="116">
        <v>271.89999999999998</v>
      </c>
      <c r="P400" s="116">
        <v>275.39999999999998</v>
      </c>
      <c r="Q400" s="116">
        <v>276.5</v>
      </c>
      <c r="R400">
        <v>2391360</v>
      </c>
    </row>
    <row r="401" spans="1:18" x14ac:dyDescent="0.25">
      <c r="A401" s="170">
        <v>42591</v>
      </c>
      <c r="B401" s="116">
        <v>276.85000000000002</v>
      </c>
      <c r="C401" s="116">
        <v>270.55</v>
      </c>
      <c r="D401" s="116">
        <v>267.7</v>
      </c>
      <c r="E401" s="116">
        <v>276.85000000000002</v>
      </c>
      <c r="F401" s="116">
        <v>270.55</v>
      </c>
      <c r="G401">
        <v>972936</v>
      </c>
      <c r="H401" s="116"/>
      <c r="I401" s="116"/>
      <c r="L401" s="170">
        <v>42591</v>
      </c>
      <c r="M401" s="116">
        <v>270.5</v>
      </c>
      <c r="N401" s="116">
        <v>277</v>
      </c>
      <c r="O401" s="116">
        <v>267.7</v>
      </c>
      <c r="P401" s="116">
        <v>277</v>
      </c>
      <c r="Q401" s="116">
        <v>270.5</v>
      </c>
      <c r="R401">
        <v>2564563</v>
      </c>
    </row>
    <row r="402" spans="1:18" x14ac:dyDescent="0.25">
      <c r="A402" s="170">
        <v>42592</v>
      </c>
      <c r="B402" s="116">
        <v>271</v>
      </c>
      <c r="C402" s="116">
        <v>260.39999999999998</v>
      </c>
      <c r="D402" s="116">
        <v>259.14999999999998</v>
      </c>
      <c r="E402" s="116">
        <v>271</v>
      </c>
      <c r="F402" s="116">
        <v>260.39999999999998</v>
      </c>
      <c r="G402">
        <v>282692</v>
      </c>
      <c r="H402" s="116"/>
      <c r="I402" s="116"/>
      <c r="L402" s="170">
        <v>42592</v>
      </c>
      <c r="M402" s="116">
        <v>260.45</v>
      </c>
      <c r="N402" s="116">
        <v>271.2</v>
      </c>
      <c r="O402" s="116">
        <v>259</v>
      </c>
      <c r="P402" s="116">
        <v>271.2</v>
      </c>
      <c r="Q402" s="116">
        <v>260.45</v>
      </c>
      <c r="R402">
        <v>3625493</v>
      </c>
    </row>
    <row r="403" spans="1:18" x14ac:dyDescent="0.25">
      <c r="A403" s="170">
        <v>42593</v>
      </c>
      <c r="B403" s="116">
        <v>263.95</v>
      </c>
      <c r="C403" s="116">
        <v>259.95</v>
      </c>
      <c r="D403" s="116">
        <v>256.05</v>
      </c>
      <c r="E403" s="116">
        <v>262.5</v>
      </c>
      <c r="F403" s="116">
        <v>259.95</v>
      </c>
      <c r="G403">
        <v>289833</v>
      </c>
      <c r="H403" s="116"/>
      <c r="I403" s="116"/>
      <c r="L403" s="170">
        <v>42593</v>
      </c>
      <c r="M403" s="116">
        <v>259.7</v>
      </c>
      <c r="N403" s="116">
        <v>264</v>
      </c>
      <c r="O403" s="116">
        <v>256.25</v>
      </c>
      <c r="P403" s="116">
        <v>263</v>
      </c>
      <c r="Q403" s="116">
        <v>259.7</v>
      </c>
      <c r="R403">
        <v>3841083</v>
      </c>
    </row>
    <row r="404" spans="1:18" x14ac:dyDescent="0.25">
      <c r="A404" s="170">
        <v>42594</v>
      </c>
      <c r="B404" s="116">
        <v>265</v>
      </c>
      <c r="C404" s="116">
        <v>263.8</v>
      </c>
      <c r="D404" s="116">
        <v>257</v>
      </c>
      <c r="E404" s="116">
        <v>257</v>
      </c>
      <c r="F404" s="116">
        <v>263.8</v>
      </c>
      <c r="G404">
        <v>110325</v>
      </c>
      <c r="H404" s="116"/>
      <c r="I404" s="116"/>
      <c r="L404" s="170">
        <v>42594</v>
      </c>
      <c r="M404" s="116">
        <v>264.5</v>
      </c>
      <c r="N404" s="116">
        <v>265.5</v>
      </c>
      <c r="O404" s="116">
        <v>260.45</v>
      </c>
      <c r="P404" s="116">
        <v>260.45</v>
      </c>
      <c r="Q404" s="116">
        <v>264.5</v>
      </c>
      <c r="R404">
        <v>1527202</v>
      </c>
    </row>
    <row r="405" spans="1:18" x14ac:dyDescent="0.25">
      <c r="A405" s="170">
        <v>42598</v>
      </c>
      <c r="B405" s="116">
        <v>270.5</v>
      </c>
      <c r="C405" s="116">
        <v>269.60000000000002</v>
      </c>
      <c r="D405" s="116">
        <v>263.45</v>
      </c>
      <c r="E405" s="116">
        <v>267</v>
      </c>
      <c r="F405" s="116">
        <v>269.60000000000002</v>
      </c>
      <c r="G405">
        <v>158992</v>
      </c>
      <c r="H405" s="116"/>
      <c r="I405" s="116"/>
      <c r="L405" s="170">
        <v>42598</v>
      </c>
      <c r="M405" s="116">
        <v>269.64999999999998</v>
      </c>
      <c r="N405" s="116">
        <v>270.45</v>
      </c>
      <c r="O405" s="116">
        <v>263.2</v>
      </c>
      <c r="P405" s="116">
        <v>265.25</v>
      </c>
      <c r="Q405" s="116">
        <v>269.64999999999998</v>
      </c>
      <c r="R405">
        <v>7699939</v>
      </c>
    </row>
    <row r="406" spans="1:18" x14ac:dyDescent="0.25">
      <c r="A406" s="170">
        <v>42599</v>
      </c>
      <c r="B406" s="116">
        <v>271.5</v>
      </c>
      <c r="C406" s="116">
        <v>269.39999999999998</v>
      </c>
      <c r="D406" s="116">
        <v>264.89999999999998</v>
      </c>
      <c r="E406" s="116">
        <v>270</v>
      </c>
      <c r="F406" s="116">
        <v>269.39999999999998</v>
      </c>
      <c r="G406">
        <v>108757</v>
      </c>
      <c r="H406" s="116"/>
      <c r="I406" s="116"/>
      <c r="L406" s="170">
        <v>42599</v>
      </c>
      <c r="M406" s="116">
        <v>269.75</v>
      </c>
      <c r="N406" s="116">
        <v>271.95</v>
      </c>
      <c r="O406" s="116">
        <v>264.89999999999998</v>
      </c>
      <c r="P406" s="116">
        <v>268</v>
      </c>
      <c r="Q406" s="116">
        <v>269.75</v>
      </c>
      <c r="R406">
        <v>1319046</v>
      </c>
    </row>
    <row r="407" spans="1:18" x14ac:dyDescent="0.25">
      <c r="A407" s="170">
        <v>42600</v>
      </c>
      <c r="B407" s="116">
        <v>274.55</v>
      </c>
      <c r="C407" s="116">
        <v>272.05</v>
      </c>
      <c r="D407" s="116">
        <v>269.75</v>
      </c>
      <c r="E407" s="116">
        <v>269.75</v>
      </c>
      <c r="F407" s="116">
        <v>272.05</v>
      </c>
      <c r="G407">
        <v>162740</v>
      </c>
      <c r="H407" s="116"/>
      <c r="I407" s="116"/>
      <c r="L407" s="170">
        <v>42600</v>
      </c>
      <c r="M407" s="116">
        <v>272.10000000000002</v>
      </c>
      <c r="N407" s="116">
        <v>274.85000000000002</v>
      </c>
      <c r="O407" s="116">
        <v>269.64999999999998</v>
      </c>
      <c r="P407" s="116">
        <v>272.25</v>
      </c>
      <c r="Q407" s="116">
        <v>272.10000000000002</v>
      </c>
      <c r="R407">
        <v>1825211</v>
      </c>
    </row>
    <row r="408" spans="1:18" x14ac:dyDescent="0.25">
      <c r="A408" s="170">
        <v>42601</v>
      </c>
      <c r="B408" s="116">
        <v>277.5</v>
      </c>
      <c r="C408" s="116">
        <v>276.3</v>
      </c>
      <c r="D408" s="116">
        <v>271.3</v>
      </c>
      <c r="E408" s="116">
        <v>272.7</v>
      </c>
      <c r="F408" s="116">
        <v>276.3</v>
      </c>
      <c r="G408">
        <v>197776</v>
      </c>
      <c r="H408" s="116"/>
      <c r="I408" s="116"/>
      <c r="L408" s="170">
        <v>42601</v>
      </c>
      <c r="M408" s="116">
        <v>276.45</v>
      </c>
      <c r="N408" s="116">
        <v>277.60000000000002</v>
      </c>
      <c r="O408" s="116">
        <v>272</v>
      </c>
      <c r="P408" s="116">
        <v>272.75</v>
      </c>
      <c r="Q408" s="116">
        <v>276.45</v>
      </c>
      <c r="R408">
        <v>2054831</v>
      </c>
    </row>
    <row r="409" spans="1:18" x14ac:dyDescent="0.25">
      <c r="A409" s="170">
        <v>42604</v>
      </c>
      <c r="B409" s="116">
        <v>277.2</v>
      </c>
      <c r="C409" s="116">
        <v>270.55</v>
      </c>
      <c r="D409" s="116">
        <v>269.05</v>
      </c>
      <c r="E409" s="116">
        <v>276.14999999999998</v>
      </c>
      <c r="F409" s="116">
        <v>270.55</v>
      </c>
      <c r="G409">
        <v>168346</v>
      </c>
      <c r="H409" s="116"/>
      <c r="I409" s="116"/>
      <c r="L409" s="170">
        <v>42604</v>
      </c>
      <c r="M409" s="116">
        <v>271.3</v>
      </c>
      <c r="N409" s="116">
        <v>277.35000000000002</v>
      </c>
      <c r="O409" s="116">
        <v>270</v>
      </c>
      <c r="P409" s="116">
        <v>275.35000000000002</v>
      </c>
      <c r="Q409" s="116">
        <v>271.3</v>
      </c>
      <c r="R409">
        <v>1097012</v>
      </c>
    </row>
    <row r="410" spans="1:18" x14ac:dyDescent="0.25">
      <c r="A410" s="170">
        <v>42605</v>
      </c>
      <c r="B410" s="116">
        <v>273.95</v>
      </c>
      <c r="C410" s="116">
        <v>270.64999999999998</v>
      </c>
      <c r="D410" s="116">
        <v>265.64999999999998</v>
      </c>
      <c r="E410" s="116">
        <v>266.60000000000002</v>
      </c>
      <c r="F410" s="116">
        <v>270.64999999999998</v>
      </c>
      <c r="G410">
        <v>356497</v>
      </c>
      <c r="H410" s="116"/>
      <c r="I410" s="116"/>
      <c r="L410" s="170">
        <v>42605</v>
      </c>
      <c r="M410" s="116">
        <v>271</v>
      </c>
      <c r="N410" s="116">
        <v>273.95</v>
      </c>
      <c r="O410" s="116">
        <v>265.39999999999998</v>
      </c>
      <c r="P410" s="116">
        <v>269.8</v>
      </c>
      <c r="Q410" s="116">
        <v>271</v>
      </c>
      <c r="R410">
        <v>1487494</v>
      </c>
    </row>
    <row r="411" spans="1:18" x14ac:dyDescent="0.25">
      <c r="A411" s="170">
        <v>42606</v>
      </c>
      <c r="B411" s="116">
        <v>270.60000000000002</v>
      </c>
      <c r="C411" s="116">
        <v>267.10000000000002</v>
      </c>
      <c r="D411" s="116">
        <v>265</v>
      </c>
      <c r="E411" s="116">
        <v>270.2</v>
      </c>
      <c r="F411" s="116">
        <v>267.10000000000002</v>
      </c>
      <c r="G411">
        <v>133087</v>
      </c>
      <c r="H411" s="116"/>
      <c r="I411" s="116"/>
      <c r="L411" s="170">
        <v>42606</v>
      </c>
      <c r="M411" s="116">
        <v>267.10000000000002</v>
      </c>
      <c r="N411" s="116">
        <v>270.95</v>
      </c>
      <c r="O411" s="116">
        <v>265</v>
      </c>
      <c r="P411" s="116">
        <v>270.8</v>
      </c>
      <c r="Q411" s="116">
        <v>267.10000000000002</v>
      </c>
      <c r="R411">
        <v>1248576</v>
      </c>
    </row>
    <row r="412" spans="1:18" x14ac:dyDescent="0.25">
      <c r="A412" s="170">
        <v>42607</v>
      </c>
      <c r="B412" s="116">
        <v>270.55</v>
      </c>
      <c r="C412" s="116">
        <v>264.89999999999998</v>
      </c>
      <c r="D412" s="116">
        <v>262.75</v>
      </c>
      <c r="E412" s="116">
        <v>268.35000000000002</v>
      </c>
      <c r="F412" s="116">
        <v>264.89999999999998</v>
      </c>
      <c r="G412">
        <v>101084</v>
      </c>
      <c r="H412" s="116"/>
      <c r="I412" s="116"/>
      <c r="L412" s="170">
        <v>42607</v>
      </c>
      <c r="M412" s="116">
        <v>265</v>
      </c>
      <c r="N412" s="116">
        <v>270.5</v>
      </c>
      <c r="O412" s="116">
        <v>262.55</v>
      </c>
      <c r="P412" s="116">
        <v>267.60000000000002</v>
      </c>
      <c r="Q412" s="116">
        <v>265</v>
      </c>
      <c r="R412">
        <v>5272138</v>
      </c>
    </row>
    <row r="413" spans="1:18" x14ac:dyDescent="0.25">
      <c r="A413" s="170">
        <v>42608</v>
      </c>
      <c r="B413" s="116">
        <v>268.8</v>
      </c>
      <c r="C413" s="116">
        <v>265.64999999999998</v>
      </c>
      <c r="D413" s="116">
        <v>262.2</v>
      </c>
      <c r="E413" s="116">
        <v>265.8</v>
      </c>
      <c r="F413" s="116">
        <v>265.64999999999998</v>
      </c>
      <c r="G413">
        <v>181540</v>
      </c>
      <c r="H413" s="116"/>
      <c r="I413" s="116"/>
      <c r="L413" s="170">
        <v>42608</v>
      </c>
      <c r="M413" s="116">
        <v>266.14999999999998</v>
      </c>
      <c r="N413" s="116">
        <v>268.89999999999998</v>
      </c>
      <c r="O413" s="116">
        <v>262.2</v>
      </c>
      <c r="P413" s="116">
        <v>265</v>
      </c>
      <c r="Q413" s="116">
        <v>266.14999999999998</v>
      </c>
      <c r="R413">
        <v>1427315</v>
      </c>
    </row>
    <row r="414" spans="1:18" x14ac:dyDescent="0.25">
      <c r="A414" s="170">
        <v>42611</v>
      </c>
      <c r="B414" s="116">
        <v>266</v>
      </c>
      <c r="C414" s="116">
        <v>264.14999999999998</v>
      </c>
      <c r="D414" s="116">
        <v>262.60000000000002</v>
      </c>
      <c r="E414" s="116">
        <v>266</v>
      </c>
      <c r="F414" s="116">
        <v>264.14999999999998</v>
      </c>
      <c r="G414">
        <v>109883</v>
      </c>
      <c r="H414" s="116"/>
      <c r="I414" s="116"/>
      <c r="L414" s="170">
        <v>42611</v>
      </c>
      <c r="M414" s="116">
        <v>264.2</v>
      </c>
      <c r="N414" s="116">
        <v>265.89999999999998</v>
      </c>
      <c r="O414" s="116">
        <v>262.45</v>
      </c>
      <c r="P414" s="116">
        <v>265</v>
      </c>
      <c r="Q414" s="116">
        <v>264.2</v>
      </c>
      <c r="R414">
        <v>804577</v>
      </c>
    </row>
    <row r="415" spans="1:18" x14ac:dyDescent="0.25">
      <c r="A415" s="170">
        <v>42612</v>
      </c>
      <c r="B415" s="116">
        <v>277.5</v>
      </c>
      <c r="C415" s="116">
        <v>274.3</v>
      </c>
      <c r="D415" s="116">
        <v>265.35000000000002</v>
      </c>
      <c r="E415" s="116">
        <v>270.39999999999998</v>
      </c>
      <c r="F415" s="116">
        <v>274.3</v>
      </c>
      <c r="G415">
        <v>241319</v>
      </c>
      <c r="H415" s="116"/>
      <c r="I415" s="116"/>
      <c r="L415" s="170">
        <v>42612</v>
      </c>
      <c r="M415" s="116">
        <v>275.05</v>
      </c>
      <c r="N415" s="116">
        <v>278.39999999999998</v>
      </c>
      <c r="O415" s="116">
        <v>264.8</v>
      </c>
      <c r="P415" s="116">
        <v>265.8</v>
      </c>
      <c r="Q415" s="116">
        <v>275.05</v>
      </c>
      <c r="R415">
        <v>3635226</v>
      </c>
    </row>
    <row r="416" spans="1:18" x14ac:dyDescent="0.25">
      <c r="A416" s="170">
        <v>42613</v>
      </c>
      <c r="B416" s="116">
        <v>282</v>
      </c>
      <c r="C416" s="116">
        <v>279</v>
      </c>
      <c r="D416" s="116">
        <v>275.05</v>
      </c>
      <c r="E416" s="116">
        <v>277</v>
      </c>
      <c r="F416" s="116">
        <v>279</v>
      </c>
      <c r="G416">
        <v>259666</v>
      </c>
      <c r="H416" s="116"/>
      <c r="I416" s="116"/>
      <c r="L416" s="170">
        <v>42613</v>
      </c>
      <c r="M416" s="116">
        <v>277.95</v>
      </c>
      <c r="N416" s="116">
        <v>281.7</v>
      </c>
      <c r="O416" s="116">
        <v>275</v>
      </c>
      <c r="P416" s="116">
        <v>275.05</v>
      </c>
      <c r="Q416" s="116">
        <v>277.95</v>
      </c>
      <c r="R416">
        <v>8488820</v>
      </c>
    </row>
    <row r="417" spans="1:18" x14ac:dyDescent="0.25">
      <c r="A417" s="170">
        <v>42614</v>
      </c>
      <c r="B417" s="116">
        <v>279</v>
      </c>
      <c r="C417" s="116">
        <v>277.5</v>
      </c>
      <c r="D417" s="116">
        <v>272.39999999999998</v>
      </c>
      <c r="E417" s="116">
        <v>273</v>
      </c>
      <c r="F417" s="116">
        <v>277.5</v>
      </c>
      <c r="G417">
        <v>214816</v>
      </c>
      <c r="H417" s="116"/>
      <c r="I417" s="116"/>
      <c r="L417" s="170">
        <v>42614</v>
      </c>
      <c r="M417" s="116">
        <v>277</v>
      </c>
      <c r="N417" s="116">
        <v>278.85000000000002</v>
      </c>
      <c r="O417" s="116">
        <v>272.39999999999998</v>
      </c>
      <c r="P417" s="116">
        <v>273.7</v>
      </c>
      <c r="Q417" s="116">
        <v>277</v>
      </c>
      <c r="R417">
        <v>3369272</v>
      </c>
    </row>
    <row r="418" spans="1:18" x14ac:dyDescent="0.25">
      <c r="A418" s="170">
        <v>42615</v>
      </c>
      <c r="B418" s="116">
        <v>278</v>
      </c>
      <c r="C418" s="116">
        <v>276.3</v>
      </c>
      <c r="D418" s="116">
        <v>273.5</v>
      </c>
      <c r="E418" s="116">
        <v>278</v>
      </c>
      <c r="F418" s="116">
        <v>276.3</v>
      </c>
      <c r="G418">
        <v>239172</v>
      </c>
      <c r="H418" s="116"/>
      <c r="I418" s="116"/>
      <c r="L418" s="170">
        <v>42615</v>
      </c>
      <c r="M418" s="116">
        <v>276.35000000000002</v>
      </c>
      <c r="N418" s="116">
        <v>278.75</v>
      </c>
      <c r="O418" s="116">
        <v>273.35000000000002</v>
      </c>
      <c r="P418" s="116">
        <v>275.10000000000002</v>
      </c>
      <c r="Q418" s="116">
        <v>276.35000000000002</v>
      </c>
      <c r="R418">
        <v>1481785</v>
      </c>
    </row>
    <row r="419" spans="1:18" x14ac:dyDescent="0.25">
      <c r="A419" s="170">
        <v>42619</v>
      </c>
      <c r="B419" s="116">
        <v>279.7</v>
      </c>
      <c r="C419" s="116">
        <v>277.05</v>
      </c>
      <c r="D419" s="116">
        <v>275.64999999999998</v>
      </c>
      <c r="E419" s="116">
        <v>278</v>
      </c>
      <c r="F419" s="116">
        <v>277.05</v>
      </c>
      <c r="G419">
        <v>125329</v>
      </c>
      <c r="H419" s="116"/>
      <c r="I419" s="116"/>
      <c r="L419" s="170">
        <v>42619</v>
      </c>
      <c r="M419" s="116">
        <v>277.39999999999998</v>
      </c>
      <c r="N419" s="116">
        <v>279.35000000000002</v>
      </c>
      <c r="O419" s="116">
        <v>275.7</v>
      </c>
      <c r="P419" s="116">
        <v>279</v>
      </c>
      <c r="Q419" s="116">
        <v>277.39999999999998</v>
      </c>
      <c r="R419">
        <v>1601423</v>
      </c>
    </row>
    <row r="420" spans="1:18" x14ac:dyDescent="0.25">
      <c r="A420" s="170">
        <v>42620</v>
      </c>
      <c r="B420" s="116">
        <v>280.95</v>
      </c>
      <c r="C420" s="116">
        <v>273.95</v>
      </c>
      <c r="D420" s="116">
        <v>273.10000000000002</v>
      </c>
      <c r="E420" s="116">
        <v>280.95</v>
      </c>
      <c r="F420" s="116">
        <v>273.95</v>
      </c>
      <c r="G420">
        <v>132704</v>
      </c>
      <c r="H420" s="116"/>
      <c r="I420" s="116"/>
      <c r="L420" s="170">
        <v>42620</v>
      </c>
      <c r="M420" s="116">
        <v>274</v>
      </c>
      <c r="N420" s="116">
        <v>278.85000000000002</v>
      </c>
      <c r="O420" s="116">
        <v>273.2</v>
      </c>
      <c r="P420" s="116">
        <v>277.5</v>
      </c>
      <c r="Q420" s="116">
        <v>274</v>
      </c>
      <c r="R420">
        <v>3232463</v>
      </c>
    </row>
    <row r="421" spans="1:18" x14ac:dyDescent="0.25">
      <c r="A421" s="170">
        <v>42621</v>
      </c>
      <c r="B421" s="116">
        <v>277.85000000000002</v>
      </c>
      <c r="C421" s="116">
        <v>275.89999999999998</v>
      </c>
      <c r="D421" s="116">
        <v>273</v>
      </c>
      <c r="E421" s="116">
        <v>275</v>
      </c>
      <c r="F421" s="116">
        <v>275.89999999999998</v>
      </c>
      <c r="G421">
        <v>452306</v>
      </c>
      <c r="H421" s="116"/>
      <c r="I421" s="116"/>
      <c r="L421" s="170">
        <v>42621</v>
      </c>
      <c r="M421" s="116">
        <v>275.95</v>
      </c>
      <c r="N421" s="116">
        <v>278</v>
      </c>
      <c r="O421" s="116">
        <v>273.64999999999998</v>
      </c>
      <c r="P421" s="116">
        <v>274.05</v>
      </c>
      <c r="Q421" s="116">
        <v>275.95</v>
      </c>
      <c r="R421">
        <v>2096981</v>
      </c>
    </row>
    <row r="422" spans="1:18" x14ac:dyDescent="0.25">
      <c r="A422" s="170">
        <v>42622</v>
      </c>
      <c r="B422" s="116">
        <v>276.05</v>
      </c>
      <c r="C422" s="116">
        <v>272.60000000000002</v>
      </c>
      <c r="D422" s="116">
        <v>271.7</v>
      </c>
      <c r="E422" s="116">
        <v>275.39999999999998</v>
      </c>
      <c r="F422" s="116">
        <v>272.60000000000002</v>
      </c>
      <c r="G422">
        <v>366474</v>
      </c>
      <c r="H422" s="116"/>
      <c r="I422" s="116"/>
      <c r="L422" s="170">
        <v>42622</v>
      </c>
      <c r="M422" s="116">
        <v>272.64999999999998</v>
      </c>
      <c r="N422" s="116">
        <v>276.10000000000002</v>
      </c>
      <c r="O422" s="116">
        <v>271.5</v>
      </c>
      <c r="P422" s="116">
        <v>275.5</v>
      </c>
      <c r="Q422" s="116">
        <v>272.64999999999998</v>
      </c>
      <c r="R422">
        <v>1727563</v>
      </c>
    </row>
    <row r="423" spans="1:18" x14ac:dyDescent="0.25">
      <c r="A423" s="170">
        <v>42625</v>
      </c>
      <c r="B423" s="116">
        <v>271.10000000000002</v>
      </c>
      <c r="C423" s="116">
        <v>260.7</v>
      </c>
      <c r="D423" s="116">
        <v>259.05</v>
      </c>
      <c r="E423" s="116">
        <v>271.10000000000002</v>
      </c>
      <c r="F423" s="116">
        <v>260.7</v>
      </c>
      <c r="G423">
        <v>105317</v>
      </c>
      <c r="H423" s="116"/>
      <c r="I423" s="116"/>
      <c r="L423" s="170">
        <v>42625</v>
      </c>
      <c r="M423" s="116">
        <v>259.85000000000002</v>
      </c>
      <c r="N423" s="116">
        <v>269.85000000000002</v>
      </c>
      <c r="O423" s="116">
        <v>259</v>
      </c>
      <c r="P423" s="116">
        <v>269.10000000000002</v>
      </c>
      <c r="Q423" s="116">
        <v>259.85000000000002</v>
      </c>
      <c r="R423">
        <v>1068330</v>
      </c>
    </row>
    <row r="424" spans="1:18" x14ac:dyDescent="0.25">
      <c r="A424" s="170">
        <v>42627</v>
      </c>
      <c r="B424" s="116">
        <v>265.25</v>
      </c>
      <c r="C424" s="116">
        <v>264.2</v>
      </c>
      <c r="D424" s="116">
        <v>260.05</v>
      </c>
      <c r="E424" s="116">
        <v>261</v>
      </c>
      <c r="F424" s="116">
        <v>264.2</v>
      </c>
      <c r="G424">
        <v>274601</v>
      </c>
      <c r="H424" s="116"/>
      <c r="I424" s="116"/>
      <c r="L424" s="170">
        <v>42627</v>
      </c>
      <c r="M424" s="116">
        <v>264.05</v>
      </c>
      <c r="N424" s="116">
        <v>266</v>
      </c>
      <c r="O424" s="116">
        <v>260</v>
      </c>
      <c r="P424" s="116">
        <v>260</v>
      </c>
      <c r="Q424" s="116">
        <v>264.05</v>
      </c>
      <c r="R424">
        <v>2426881</v>
      </c>
    </row>
    <row r="425" spans="1:18" x14ac:dyDescent="0.25">
      <c r="A425" s="170">
        <v>42628</v>
      </c>
      <c r="B425" s="116">
        <v>265</v>
      </c>
      <c r="C425" s="116">
        <v>261.10000000000002</v>
      </c>
      <c r="D425" s="116">
        <v>258.14999999999998</v>
      </c>
      <c r="E425" s="116">
        <v>264</v>
      </c>
      <c r="F425" s="116">
        <v>261.10000000000002</v>
      </c>
      <c r="G425">
        <v>71021</v>
      </c>
      <c r="H425" s="116"/>
      <c r="I425" s="116"/>
      <c r="L425" s="170">
        <v>42628</v>
      </c>
      <c r="M425" s="116">
        <v>260.64999999999998</v>
      </c>
      <c r="N425" s="116">
        <v>264.8</v>
      </c>
      <c r="O425" s="116">
        <v>257.60000000000002</v>
      </c>
      <c r="P425" s="116">
        <v>263.2</v>
      </c>
      <c r="Q425" s="116">
        <v>260.64999999999998</v>
      </c>
      <c r="R425">
        <v>1956420</v>
      </c>
    </row>
    <row r="426" spans="1:18" x14ac:dyDescent="0.25">
      <c r="A426" s="170">
        <v>42629</v>
      </c>
      <c r="B426" s="116">
        <v>267</v>
      </c>
      <c r="C426" s="116">
        <v>262.5</v>
      </c>
      <c r="D426" s="116">
        <v>261.60000000000002</v>
      </c>
      <c r="E426" s="116">
        <v>262</v>
      </c>
      <c r="F426" s="116">
        <v>262.5</v>
      </c>
      <c r="G426">
        <v>59890</v>
      </c>
      <c r="H426" s="116"/>
      <c r="I426" s="116"/>
      <c r="L426" s="170">
        <v>42629</v>
      </c>
      <c r="M426" s="116">
        <v>262.39999999999998</v>
      </c>
      <c r="N426" s="116">
        <v>266.95</v>
      </c>
      <c r="O426" s="116">
        <v>261.55</v>
      </c>
      <c r="P426" s="116">
        <v>262.75</v>
      </c>
      <c r="Q426" s="116">
        <v>262.39999999999998</v>
      </c>
      <c r="R426">
        <v>2048885</v>
      </c>
    </row>
    <row r="427" spans="1:18" x14ac:dyDescent="0.25">
      <c r="A427" s="170">
        <v>42632</v>
      </c>
      <c r="B427" s="116">
        <v>268.8</v>
      </c>
      <c r="C427" s="116">
        <v>266.60000000000002</v>
      </c>
      <c r="D427" s="116">
        <v>262.5</v>
      </c>
      <c r="E427" s="116">
        <v>262.5</v>
      </c>
      <c r="F427" s="116">
        <v>266.60000000000002</v>
      </c>
      <c r="G427">
        <v>106186</v>
      </c>
      <c r="H427" s="116"/>
      <c r="I427" s="116"/>
      <c r="L427" s="170">
        <v>42632</v>
      </c>
      <c r="M427" s="116">
        <v>267.10000000000002</v>
      </c>
      <c r="N427" s="116">
        <v>268.60000000000002</v>
      </c>
      <c r="O427" s="116">
        <v>262.75</v>
      </c>
      <c r="P427" s="116">
        <v>263.5</v>
      </c>
      <c r="Q427" s="116">
        <v>267.10000000000002</v>
      </c>
      <c r="R427">
        <v>1626067</v>
      </c>
    </row>
    <row r="428" spans="1:18" x14ac:dyDescent="0.25">
      <c r="A428" s="170">
        <v>42633</v>
      </c>
      <c r="B428" s="116">
        <v>269.2</v>
      </c>
      <c r="C428" s="116">
        <v>266.7</v>
      </c>
      <c r="D428" s="116">
        <v>264.64999999999998</v>
      </c>
      <c r="E428" s="116">
        <v>267</v>
      </c>
      <c r="F428" s="116">
        <v>266.7</v>
      </c>
      <c r="G428">
        <v>39003</v>
      </c>
      <c r="H428" s="116"/>
      <c r="I428" s="116"/>
      <c r="L428" s="170">
        <v>42633</v>
      </c>
      <c r="M428" s="116">
        <v>267.2</v>
      </c>
      <c r="N428" s="116">
        <v>269.3</v>
      </c>
      <c r="O428" s="116">
        <v>264.55</v>
      </c>
      <c r="P428" s="116">
        <v>267.35000000000002</v>
      </c>
      <c r="Q428" s="116">
        <v>267.2</v>
      </c>
      <c r="R428">
        <v>1718370</v>
      </c>
    </row>
    <row r="429" spans="1:18" x14ac:dyDescent="0.25">
      <c r="A429" s="170">
        <v>42634</v>
      </c>
      <c r="B429" s="116">
        <v>269.25</v>
      </c>
      <c r="C429" s="116">
        <v>264.10000000000002</v>
      </c>
      <c r="D429" s="116">
        <v>263.05</v>
      </c>
      <c r="E429" s="116">
        <v>264</v>
      </c>
      <c r="F429" s="116">
        <v>264.10000000000002</v>
      </c>
      <c r="G429">
        <v>41298</v>
      </c>
      <c r="H429" s="116"/>
      <c r="I429" s="116"/>
      <c r="L429" s="170">
        <v>42634</v>
      </c>
      <c r="M429" s="116">
        <v>264.39999999999998</v>
      </c>
      <c r="N429" s="116">
        <v>269.3</v>
      </c>
      <c r="O429" s="116">
        <v>263</v>
      </c>
      <c r="P429" s="116">
        <v>267.10000000000002</v>
      </c>
      <c r="Q429" s="116">
        <v>264.39999999999998</v>
      </c>
      <c r="R429">
        <v>1487530</v>
      </c>
    </row>
    <row r="430" spans="1:18" x14ac:dyDescent="0.25">
      <c r="A430" s="170">
        <v>42635</v>
      </c>
      <c r="B430" s="116">
        <v>268.3</v>
      </c>
      <c r="C430" s="116">
        <v>265.45</v>
      </c>
      <c r="D430" s="116">
        <v>264</v>
      </c>
      <c r="E430" s="116">
        <v>265.10000000000002</v>
      </c>
      <c r="F430" s="116">
        <v>265.45</v>
      </c>
      <c r="G430">
        <v>69179</v>
      </c>
      <c r="H430" s="116"/>
      <c r="I430" s="116"/>
      <c r="L430" s="170">
        <v>42635</v>
      </c>
      <c r="M430" s="116">
        <v>265.55</v>
      </c>
      <c r="N430" s="116">
        <v>268.60000000000002</v>
      </c>
      <c r="O430" s="116">
        <v>263.60000000000002</v>
      </c>
      <c r="P430" s="116">
        <v>266.60000000000002</v>
      </c>
      <c r="Q430" s="116">
        <v>265.55</v>
      </c>
      <c r="R430">
        <v>1727116</v>
      </c>
    </row>
    <row r="431" spans="1:18" x14ac:dyDescent="0.25">
      <c r="A431" s="170">
        <v>42636</v>
      </c>
      <c r="B431" s="116">
        <v>265.95</v>
      </c>
      <c r="C431" s="116">
        <v>258.95</v>
      </c>
      <c r="D431" s="116">
        <v>258.05</v>
      </c>
      <c r="E431" s="116">
        <v>265.95</v>
      </c>
      <c r="F431" s="116">
        <v>258.95</v>
      </c>
      <c r="G431">
        <v>88598</v>
      </c>
      <c r="H431" s="116"/>
      <c r="I431" s="116"/>
      <c r="L431" s="170">
        <v>42636</v>
      </c>
      <c r="M431" s="116">
        <v>259</v>
      </c>
      <c r="N431" s="116">
        <v>266</v>
      </c>
      <c r="O431" s="116">
        <v>258.14999999999998</v>
      </c>
      <c r="P431" s="116">
        <v>266</v>
      </c>
      <c r="Q431" s="116">
        <v>259</v>
      </c>
      <c r="R431">
        <v>2209059</v>
      </c>
    </row>
    <row r="432" spans="1:18" x14ac:dyDescent="0.25">
      <c r="A432" s="170">
        <v>42639</v>
      </c>
      <c r="B432" s="116">
        <v>258.95</v>
      </c>
      <c r="C432" s="116">
        <v>255.3</v>
      </c>
      <c r="D432" s="116">
        <v>253.8</v>
      </c>
      <c r="E432" s="116">
        <v>258.95</v>
      </c>
      <c r="F432" s="116">
        <v>255.3</v>
      </c>
      <c r="G432">
        <v>116587</v>
      </c>
      <c r="H432" s="116"/>
      <c r="I432" s="116"/>
      <c r="L432" s="170">
        <v>42639</v>
      </c>
      <c r="M432" s="116">
        <v>254.85</v>
      </c>
      <c r="N432" s="116">
        <v>257.7</v>
      </c>
      <c r="O432" s="116">
        <v>253.45</v>
      </c>
      <c r="P432" s="116">
        <v>256.39999999999998</v>
      </c>
      <c r="Q432" s="116">
        <v>254.85</v>
      </c>
      <c r="R432">
        <v>2197248</v>
      </c>
    </row>
    <row r="433" spans="1:18" x14ac:dyDescent="0.25">
      <c r="A433" s="170">
        <v>42640</v>
      </c>
      <c r="B433" s="116">
        <v>261</v>
      </c>
      <c r="C433" s="116">
        <v>258</v>
      </c>
      <c r="D433" s="116">
        <v>252.15</v>
      </c>
      <c r="E433" s="116">
        <v>252.15</v>
      </c>
      <c r="F433" s="116">
        <v>258</v>
      </c>
      <c r="G433">
        <v>107203</v>
      </c>
      <c r="H433" s="116"/>
      <c r="I433" s="116"/>
      <c r="L433" s="170">
        <v>42640</v>
      </c>
      <c r="M433" s="116">
        <v>258.14999999999998</v>
      </c>
      <c r="N433" s="116">
        <v>261.39999999999998</v>
      </c>
      <c r="O433" s="116">
        <v>252.3</v>
      </c>
      <c r="P433" s="116">
        <v>254.85</v>
      </c>
      <c r="Q433" s="116">
        <v>258.14999999999998</v>
      </c>
      <c r="R433">
        <v>3217108</v>
      </c>
    </row>
    <row r="434" spans="1:18" x14ac:dyDescent="0.25">
      <c r="A434" s="170">
        <v>42641</v>
      </c>
      <c r="B434" s="116">
        <v>261.64999999999998</v>
      </c>
      <c r="C434" s="116">
        <v>260.5</v>
      </c>
      <c r="D434" s="116">
        <v>256</v>
      </c>
      <c r="E434" s="116">
        <v>256.35000000000002</v>
      </c>
      <c r="F434" s="116">
        <v>260.5</v>
      </c>
      <c r="G434">
        <v>54771</v>
      </c>
      <c r="H434" s="116"/>
      <c r="I434" s="116"/>
      <c r="L434" s="170">
        <v>42641</v>
      </c>
      <c r="M434" s="116">
        <v>260.8</v>
      </c>
      <c r="N434" s="116">
        <v>262</v>
      </c>
      <c r="O434" s="116">
        <v>256.8</v>
      </c>
      <c r="P434" s="116">
        <v>256.8</v>
      </c>
      <c r="Q434" s="116">
        <v>260.8</v>
      </c>
      <c r="R434">
        <v>1300572</v>
      </c>
    </row>
    <row r="435" spans="1:18" x14ac:dyDescent="0.25">
      <c r="A435" s="170">
        <v>42642</v>
      </c>
      <c r="B435" s="116">
        <v>262.5</v>
      </c>
      <c r="C435" s="116">
        <v>254.9</v>
      </c>
      <c r="D435" s="116">
        <v>253</v>
      </c>
      <c r="E435" s="116">
        <v>260.5</v>
      </c>
      <c r="F435" s="116">
        <v>254.9</v>
      </c>
      <c r="G435">
        <v>157721</v>
      </c>
      <c r="H435" s="116"/>
      <c r="I435" s="116"/>
      <c r="L435" s="170">
        <v>42642</v>
      </c>
      <c r="M435" s="116">
        <v>254.5</v>
      </c>
      <c r="N435" s="116">
        <v>263</v>
      </c>
      <c r="O435" s="116">
        <v>253.35</v>
      </c>
      <c r="P435" s="116">
        <v>263</v>
      </c>
      <c r="Q435" s="116">
        <v>254.5</v>
      </c>
      <c r="R435">
        <v>3691665</v>
      </c>
    </row>
    <row r="436" spans="1:18" x14ac:dyDescent="0.25">
      <c r="A436" s="170">
        <v>42643</v>
      </c>
      <c r="B436" s="116">
        <v>255</v>
      </c>
      <c r="C436" s="116">
        <v>252.8</v>
      </c>
      <c r="D436" s="116">
        <v>249.65</v>
      </c>
      <c r="E436" s="116">
        <v>255</v>
      </c>
      <c r="F436" s="116">
        <v>252.8</v>
      </c>
      <c r="G436">
        <v>99041</v>
      </c>
      <c r="H436" s="116"/>
      <c r="I436" s="116"/>
      <c r="L436" s="170">
        <v>42643</v>
      </c>
      <c r="M436" s="116">
        <v>251.75</v>
      </c>
      <c r="N436" s="116">
        <v>255.8</v>
      </c>
      <c r="O436" s="116">
        <v>249.55</v>
      </c>
      <c r="P436" s="116">
        <v>255.8</v>
      </c>
      <c r="Q436" s="116">
        <v>251.75</v>
      </c>
      <c r="R436">
        <v>2507938</v>
      </c>
    </row>
    <row r="437" spans="1:18" x14ac:dyDescent="0.25">
      <c r="A437" s="170">
        <v>42646</v>
      </c>
      <c r="B437" s="116">
        <v>260</v>
      </c>
      <c r="C437" s="116">
        <v>258.95</v>
      </c>
      <c r="D437" s="116">
        <v>252.7</v>
      </c>
      <c r="E437" s="116">
        <v>253.8</v>
      </c>
      <c r="F437" s="116">
        <v>258.95</v>
      </c>
      <c r="G437">
        <v>54712</v>
      </c>
      <c r="H437" s="116"/>
      <c r="I437" s="116"/>
      <c r="L437" s="170">
        <v>42646</v>
      </c>
      <c r="M437" s="116">
        <v>258.89999999999998</v>
      </c>
      <c r="N437" s="116">
        <v>259.5</v>
      </c>
      <c r="O437" s="116">
        <v>253</v>
      </c>
      <c r="P437" s="116">
        <v>253.4</v>
      </c>
      <c r="Q437" s="116">
        <v>258.89999999999998</v>
      </c>
      <c r="R437">
        <v>1887091</v>
      </c>
    </row>
    <row r="438" spans="1:18" x14ac:dyDescent="0.25">
      <c r="A438" s="170">
        <v>42647</v>
      </c>
      <c r="B438" s="116">
        <v>261.3</v>
      </c>
      <c r="C438" s="116">
        <v>256</v>
      </c>
      <c r="D438" s="116">
        <v>254.15</v>
      </c>
      <c r="E438" s="116">
        <v>261</v>
      </c>
      <c r="F438" s="116">
        <v>256</v>
      </c>
      <c r="G438">
        <v>400687</v>
      </c>
      <c r="H438" s="116"/>
      <c r="I438" s="116"/>
      <c r="L438" s="170">
        <v>42647</v>
      </c>
      <c r="M438" s="116">
        <v>256.14999999999998</v>
      </c>
      <c r="N438" s="116">
        <v>261</v>
      </c>
      <c r="O438" s="116">
        <v>254.35</v>
      </c>
      <c r="P438" s="116">
        <v>261</v>
      </c>
      <c r="Q438" s="116">
        <v>256.14999999999998</v>
      </c>
      <c r="R438">
        <v>1959624</v>
      </c>
    </row>
    <row r="439" spans="1:18" x14ac:dyDescent="0.25">
      <c r="A439" s="170">
        <v>42648</v>
      </c>
      <c r="B439" s="116">
        <v>258</v>
      </c>
      <c r="C439" s="116">
        <v>256.7</v>
      </c>
      <c r="D439" s="116">
        <v>253.35</v>
      </c>
      <c r="E439" s="116">
        <v>258</v>
      </c>
      <c r="F439" s="116">
        <v>256.7</v>
      </c>
      <c r="G439">
        <v>95886</v>
      </c>
      <c r="H439" s="116"/>
      <c r="I439" s="116"/>
      <c r="L439" s="170">
        <v>42648</v>
      </c>
      <c r="M439" s="116">
        <v>256.14999999999998</v>
      </c>
      <c r="N439" s="116">
        <v>257.75</v>
      </c>
      <c r="O439" s="116">
        <v>253.05</v>
      </c>
      <c r="P439" s="116">
        <v>257</v>
      </c>
      <c r="Q439" s="116">
        <v>256.14999999999998</v>
      </c>
      <c r="R439">
        <v>2378894</v>
      </c>
    </row>
    <row r="440" spans="1:18" x14ac:dyDescent="0.25">
      <c r="A440" s="170">
        <v>42649</v>
      </c>
      <c r="B440" s="116">
        <v>260</v>
      </c>
      <c r="C440" s="116">
        <v>253</v>
      </c>
      <c r="D440" s="116">
        <v>251</v>
      </c>
      <c r="E440" s="116">
        <v>259.60000000000002</v>
      </c>
      <c r="F440" s="116">
        <v>253</v>
      </c>
      <c r="G440">
        <v>119534</v>
      </c>
      <c r="H440" s="116"/>
      <c r="I440" s="116"/>
      <c r="L440" s="170">
        <v>42649</v>
      </c>
      <c r="M440" s="116">
        <v>252.65</v>
      </c>
      <c r="N440" s="116">
        <v>258.8</v>
      </c>
      <c r="O440" s="116">
        <v>250.25</v>
      </c>
      <c r="P440" s="116">
        <v>258.05</v>
      </c>
      <c r="Q440" s="116">
        <v>252.65</v>
      </c>
      <c r="R440">
        <v>2156677</v>
      </c>
    </row>
    <row r="441" spans="1:18" x14ac:dyDescent="0.25">
      <c r="A441" s="170">
        <v>42650</v>
      </c>
      <c r="B441" s="116">
        <v>254.35</v>
      </c>
      <c r="C441" s="116">
        <v>253.45</v>
      </c>
      <c r="D441" s="116">
        <v>249.45</v>
      </c>
      <c r="E441" s="116">
        <v>253.1</v>
      </c>
      <c r="F441" s="116">
        <v>253.45</v>
      </c>
      <c r="G441">
        <v>76397</v>
      </c>
      <c r="H441" s="116"/>
      <c r="I441" s="116"/>
      <c r="L441" s="170">
        <v>42650</v>
      </c>
      <c r="M441" s="116">
        <v>252.8</v>
      </c>
      <c r="N441" s="116">
        <v>254</v>
      </c>
      <c r="O441" s="116">
        <v>249.25</v>
      </c>
      <c r="P441" s="116">
        <v>252</v>
      </c>
      <c r="Q441" s="116">
        <v>252.8</v>
      </c>
      <c r="R441">
        <v>944786</v>
      </c>
    </row>
    <row r="442" spans="1:18" x14ac:dyDescent="0.25">
      <c r="A442" s="170">
        <v>42653</v>
      </c>
      <c r="B442" s="116">
        <v>258.2</v>
      </c>
      <c r="C442" s="116">
        <v>256.95</v>
      </c>
      <c r="D442" s="116">
        <v>253.4</v>
      </c>
      <c r="E442" s="116">
        <v>253.4</v>
      </c>
      <c r="F442" s="116">
        <v>256.95</v>
      </c>
      <c r="G442">
        <v>88646</v>
      </c>
      <c r="H442" s="116"/>
      <c r="I442" s="116"/>
      <c r="L442" s="170">
        <v>42653</v>
      </c>
      <c r="M442" s="116">
        <v>257</v>
      </c>
      <c r="N442" s="116">
        <v>258.3</v>
      </c>
      <c r="O442" s="116">
        <v>253.55</v>
      </c>
      <c r="P442" s="116">
        <v>254</v>
      </c>
      <c r="Q442" s="116">
        <v>257</v>
      </c>
      <c r="R442">
        <v>2052030</v>
      </c>
    </row>
    <row r="443" spans="1:18" x14ac:dyDescent="0.25">
      <c r="A443" s="170">
        <v>42656</v>
      </c>
      <c r="B443" s="116">
        <v>256</v>
      </c>
      <c r="C443" s="116">
        <v>252.8</v>
      </c>
      <c r="D443" s="116">
        <v>250.1</v>
      </c>
      <c r="E443" s="116">
        <v>256</v>
      </c>
      <c r="F443" s="116">
        <v>252.8</v>
      </c>
      <c r="G443">
        <v>86796</v>
      </c>
      <c r="H443" s="116"/>
      <c r="I443" s="116"/>
      <c r="L443" s="170">
        <v>42656</v>
      </c>
      <c r="M443" s="116">
        <v>252.55</v>
      </c>
      <c r="N443" s="116">
        <v>255.65</v>
      </c>
      <c r="O443" s="116">
        <v>250.3</v>
      </c>
      <c r="P443" s="116">
        <v>255</v>
      </c>
      <c r="Q443" s="116">
        <v>252.55</v>
      </c>
      <c r="R443">
        <v>1326731</v>
      </c>
    </row>
    <row r="444" spans="1:18" x14ac:dyDescent="0.25">
      <c r="A444" s="170">
        <v>42657</v>
      </c>
      <c r="B444" s="116">
        <v>255.85</v>
      </c>
      <c r="C444" s="116">
        <v>253.35</v>
      </c>
      <c r="D444" s="116">
        <v>251.6</v>
      </c>
      <c r="E444" s="116">
        <v>252.8</v>
      </c>
      <c r="F444" s="116">
        <v>253.35</v>
      </c>
      <c r="G444">
        <v>111851</v>
      </c>
      <c r="H444" s="116"/>
      <c r="I444" s="116"/>
      <c r="L444" s="170">
        <v>42657</v>
      </c>
      <c r="M444" s="116">
        <v>252.95</v>
      </c>
      <c r="N444" s="116">
        <v>254.95</v>
      </c>
      <c r="O444" s="116">
        <v>251.75</v>
      </c>
      <c r="P444" s="116">
        <v>252.5</v>
      </c>
      <c r="Q444" s="116">
        <v>252.95</v>
      </c>
      <c r="R444">
        <v>741714</v>
      </c>
    </row>
    <row r="445" spans="1:18" x14ac:dyDescent="0.25">
      <c r="A445" s="170">
        <v>42660</v>
      </c>
      <c r="B445" s="116">
        <v>252.9</v>
      </c>
      <c r="C445" s="116">
        <v>246.45</v>
      </c>
      <c r="D445" s="116">
        <v>245</v>
      </c>
      <c r="E445" s="116">
        <v>252.5</v>
      </c>
      <c r="F445" s="116">
        <v>246.45</v>
      </c>
      <c r="G445">
        <v>133937</v>
      </c>
      <c r="H445" s="116"/>
      <c r="I445" s="116"/>
      <c r="L445" s="170">
        <v>42660</v>
      </c>
      <c r="M445" s="116">
        <v>246.4</v>
      </c>
      <c r="N445" s="116">
        <v>253.75</v>
      </c>
      <c r="O445" s="116">
        <v>245.1</v>
      </c>
      <c r="P445" s="116">
        <v>253.2</v>
      </c>
      <c r="Q445" s="116">
        <v>246.4</v>
      </c>
      <c r="R445">
        <v>1089984</v>
      </c>
    </row>
    <row r="446" spans="1:18" x14ac:dyDescent="0.25">
      <c r="A446" s="170">
        <v>42661</v>
      </c>
      <c r="B446" s="116">
        <v>252.2</v>
      </c>
      <c r="C446" s="116">
        <v>251.45</v>
      </c>
      <c r="D446" s="116">
        <v>244.3</v>
      </c>
      <c r="E446" s="116">
        <v>246</v>
      </c>
      <c r="F446" s="116">
        <v>251.45</v>
      </c>
      <c r="G446">
        <v>192223</v>
      </c>
      <c r="H446" s="116"/>
      <c r="I446" s="116"/>
      <c r="L446" s="170">
        <v>42661</v>
      </c>
      <c r="M446" s="116">
        <v>251.1</v>
      </c>
      <c r="N446" s="116">
        <v>252.3</v>
      </c>
      <c r="O446" s="116">
        <v>244.1</v>
      </c>
      <c r="P446" s="116">
        <v>246.2</v>
      </c>
      <c r="Q446" s="116">
        <v>251.1</v>
      </c>
      <c r="R446">
        <v>2689051</v>
      </c>
    </row>
    <row r="447" spans="1:18" x14ac:dyDescent="0.25">
      <c r="A447" s="170">
        <v>42662</v>
      </c>
      <c r="B447" s="116">
        <v>254</v>
      </c>
      <c r="C447" s="116">
        <v>250.7</v>
      </c>
      <c r="D447" s="116">
        <v>249.25</v>
      </c>
      <c r="E447" s="116">
        <v>251</v>
      </c>
      <c r="F447" s="116">
        <v>250.7</v>
      </c>
      <c r="G447">
        <v>75426</v>
      </c>
      <c r="H447" s="116"/>
      <c r="I447" s="116"/>
      <c r="L447" s="170">
        <v>42662</v>
      </c>
      <c r="M447" s="116">
        <v>251.15</v>
      </c>
      <c r="N447" s="116">
        <v>253.7</v>
      </c>
      <c r="O447" s="116">
        <v>249</v>
      </c>
      <c r="P447" s="116">
        <v>251.5</v>
      </c>
      <c r="Q447" s="116">
        <v>251.15</v>
      </c>
      <c r="R447">
        <v>1045041</v>
      </c>
    </row>
    <row r="448" spans="1:18" x14ac:dyDescent="0.25">
      <c r="A448" s="170">
        <v>42663</v>
      </c>
      <c r="B448" s="116">
        <v>255.55</v>
      </c>
      <c r="C448" s="116">
        <v>252.35</v>
      </c>
      <c r="D448" s="116">
        <v>251.2</v>
      </c>
      <c r="E448" s="116">
        <v>253</v>
      </c>
      <c r="F448" s="116">
        <v>252.35</v>
      </c>
      <c r="G448">
        <v>76390</v>
      </c>
      <c r="H448" s="116"/>
      <c r="I448" s="116"/>
      <c r="L448" s="170">
        <v>42663</v>
      </c>
      <c r="M448" s="116">
        <v>253.05</v>
      </c>
      <c r="N448" s="116">
        <v>255.3</v>
      </c>
      <c r="O448" s="116">
        <v>251.1</v>
      </c>
      <c r="P448" s="116">
        <v>252.4</v>
      </c>
      <c r="Q448" s="116">
        <v>253.05</v>
      </c>
      <c r="R448">
        <v>2187759</v>
      </c>
    </row>
    <row r="449" spans="1:18" x14ac:dyDescent="0.25">
      <c r="A449" s="170">
        <v>42664</v>
      </c>
      <c r="B449" s="116">
        <v>253.15</v>
      </c>
      <c r="C449" s="116">
        <v>247.75</v>
      </c>
      <c r="D449" s="116">
        <v>245.1</v>
      </c>
      <c r="E449" s="116">
        <v>253.15</v>
      </c>
      <c r="F449" s="116">
        <v>247.75</v>
      </c>
      <c r="G449">
        <v>102787</v>
      </c>
      <c r="H449" s="116"/>
      <c r="I449" s="116"/>
      <c r="L449" s="170">
        <v>42664</v>
      </c>
      <c r="M449" s="116">
        <v>247</v>
      </c>
      <c r="N449" s="116">
        <v>253.9</v>
      </c>
      <c r="O449" s="116">
        <v>245.1</v>
      </c>
      <c r="P449" s="116">
        <v>252.05</v>
      </c>
      <c r="Q449" s="116">
        <v>247</v>
      </c>
      <c r="R449">
        <v>1340192</v>
      </c>
    </row>
    <row r="450" spans="1:18" x14ac:dyDescent="0.25">
      <c r="A450" s="170">
        <v>42667</v>
      </c>
      <c r="B450" s="116">
        <v>249.25</v>
      </c>
      <c r="C450" s="116">
        <v>246.5</v>
      </c>
      <c r="D450" s="116">
        <v>245.85</v>
      </c>
      <c r="E450" s="116">
        <v>248</v>
      </c>
      <c r="F450" s="116">
        <v>246.5</v>
      </c>
      <c r="G450">
        <v>73968</v>
      </c>
      <c r="H450" s="116"/>
      <c r="I450" s="116"/>
      <c r="L450" s="170">
        <v>42667</v>
      </c>
      <c r="M450" s="116">
        <v>247.4</v>
      </c>
      <c r="N450" s="116">
        <v>249.3</v>
      </c>
      <c r="O450" s="116">
        <v>245.8</v>
      </c>
      <c r="P450" s="116">
        <v>247.95</v>
      </c>
      <c r="Q450" s="116">
        <v>247.4</v>
      </c>
      <c r="R450">
        <v>764022</v>
      </c>
    </row>
    <row r="451" spans="1:18" x14ac:dyDescent="0.25">
      <c r="A451" s="170">
        <v>42668</v>
      </c>
      <c r="B451" s="116">
        <v>249.6</v>
      </c>
      <c r="C451" s="116">
        <v>247.95</v>
      </c>
      <c r="D451" s="116">
        <v>246.35</v>
      </c>
      <c r="E451" s="116">
        <v>248</v>
      </c>
      <c r="F451" s="116">
        <v>247.95</v>
      </c>
      <c r="G451">
        <v>51737</v>
      </c>
      <c r="H451" s="116"/>
      <c r="I451" s="116"/>
      <c r="L451" s="170">
        <v>42668</v>
      </c>
      <c r="M451" s="116">
        <v>248.35</v>
      </c>
      <c r="N451" s="116">
        <v>249.5</v>
      </c>
      <c r="O451" s="116">
        <v>246.25</v>
      </c>
      <c r="P451" s="116">
        <v>248.25</v>
      </c>
      <c r="Q451" s="116">
        <v>248.35</v>
      </c>
      <c r="R451">
        <v>868665</v>
      </c>
    </row>
    <row r="452" spans="1:18" x14ac:dyDescent="0.25">
      <c r="A452" s="170">
        <v>42669</v>
      </c>
      <c r="B452" s="116">
        <v>249.35</v>
      </c>
      <c r="C452" s="116">
        <v>247.95</v>
      </c>
      <c r="D452" s="116">
        <v>246</v>
      </c>
      <c r="E452" s="116">
        <v>248.45</v>
      </c>
      <c r="F452" s="116">
        <v>247.95</v>
      </c>
      <c r="G452">
        <v>45771</v>
      </c>
      <c r="H452" s="116"/>
      <c r="I452" s="116"/>
      <c r="L452" s="170">
        <v>42669</v>
      </c>
      <c r="M452" s="116">
        <v>248.65</v>
      </c>
      <c r="N452" s="116">
        <v>249.55</v>
      </c>
      <c r="O452" s="116">
        <v>246.3</v>
      </c>
      <c r="P452" s="116">
        <v>248</v>
      </c>
      <c r="Q452" s="116">
        <v>248.65</v>
      </c>
      <c r="R452">
        <v>1378812</v>
      </c>
    </row>
    <row r="453" spans="1:18" x14ac:dyDescent="0.25">
      <c r="A453" s="170">
        <v>42670</v>
      </c>
      <c r="B453" s="116">
        <v>249.9</v>
      </c>
      <c r="C453" s="116">
        <v>244.05</v>
      </c>
      <c r="D453" s="116">
        <v>243.05</v>
      </c>
      <c r="E453" s="116">
        <v>249.9</v>
      </c>
      <c r="F453" s="116">
        <v>244.05</v>
      </c>
      <c r="G453">
        <v>67506</v>
      </c>
      <c r="H453" s="116"/>
      <c r="I453" s="116"/>
      <c r="L453" s="170">
        <v>42670</v>
      </c>
      <c r="M453" s="116">
        <v>243.35</v>
      </c>
      <c r="N453" s="116">
        <v>249.25</v>
      </c>
      <c r="O453" s="116">
        <v>242.55</v>
      </c>
      <c r="P453" s="116">
        <v>249.25</v>
      </c>
      <c r="Q453" s="116">
        <v>243.35</v>
      </c>
      <c r="R453">
        <v>9951930</v>
      </c>
    </row>
    <row r="454" spans="1:18" x14ac:dyDescent="0.25">
      <c r="A454" s="170">
        <v>42671</v>
      </c>
      <c r="B454" s="116">
        <v>244.3</v>
      </c>
      <c r="C454" s="116">
        <v>241.9</v>
      </c>
      <c r="D454" s="116">
        <v>240.5</v>
      </c>
      <c r="E454" s="116">
        <v>244.3</v>
      </c>
      <c r="F454" s="116">
        <v>241.9</v>
      </c>
      <c r="G454">
        <v>65715</v>
      </c>
      <c r="H454" s="116"/>
      <c r="I454" s="116"/>
      <c r="L454" s="170">
        <v>42671</v>
      </c>
      <c r="M454" s="116">
        <v>241.4</v>
      </c>
      <c r="N454" s="116">
        <v>243.2</v>
      </c>
      <c r="O454" s="116">
        <v>240.4</v>
      </c>
      <c r="P454" s="116">
        <v>243.2</v>
      </c>
      <c r="Q454" s="116">
        <v>241.4</v>
      </c>
      <c r="R454">
        <v>8345630</v>
      </c>
    </row>
    <row r="455" spans="1:18" x14ac:dyDescent="0.25">
      <c r="A455" s="170">
        <v>42673</v>
      </c>
      <c r="B455" s="116">
        <v>243.15</v>
      </c>
      <c r="C455" s="116">
        <v>240.7</v>
      </c>
      <c r="D455" s="116">
        <v>239.35</v>
      </c>
      <c r="E455" s="116">
        <v>243</v>
      </c>
      <c r="F455" s="116">
        <v>240.7</v>
      </c>
      <c r="G455">
        <v>16343</v>
      </c>
      <c r="H455" s="116"/>
      <c r="I455" s="116"/>
      <c r="L455" s="170">
        <v>42673</v>
      </c>
      <c r="M455" s="116">
        <v>240.2</v>
      </c>
      <c r="N455" s="116">
        <v>243.05</v>
      </c>
      <c r="O455" s="116">
        <v>238.8</v>
      </c>
      <c r="P455" s="116">
        <v>241.95</v>
      </c>
      <c r="Q455" s="116">
        <v>240.2</v>
      </c>
      <c r="R455">
        <v>256140</v>
      </c>
    </row>
    <row r="456" spans="1:18" x14ac:dyDescent="0.25">
      <c r="A456" s="170">
        <v>42675</v>
      </c>
      <c r="B456" s="116">
        <v>245.6</v>
      </c>
      <c r="C456" s="116">
        <v>244.4</v>
      </c>
      <c r="D456" s="116">
        <v>238.65</v>
      </c>
      <c r="E456" s="116">
        <v>240</v>
      </c>
      <c r="F456" s="116">
        <v>244.4</v>
      </c>
      <c r="G456">
        <v>117454</v>
      </c>
      <c r="H456" s="116"/>
      <c r="I456" s="116"/>
      <c r="L456" s="170">
        <v>42675</v>
      </c>
      <c r="M456" s="116">
        <v>244.5</v>
      </c>
      <c r="N456" s="116">
        <v>245.7</v>
      </c>
      <c r="O456" s="116">
        <v>238.5</v>
      </c>
      <c r="P456" s="116">
        <v>239.7</v>
      </c>
      <c r="Q456" s="116">
        <v>244.5</v>
      </c>
      <c r="R456">
        <v>4536782</v>
      </c>
    </row>
    <row r="457" spans="1:18" x14ac:dyDescent="0.25">
      <c r="A457" s="170">
        <v>42676</v>
      </c>
      <c r="B457" s="116">
        <v>244.35</v>
      </c>
      <c r="C457" s="116">
        <v>240.6</v>
      </c>
      <c r="D457" s="116">
        <v>239.3</v>
      </c>
      <c r="E457" s="116">
        <v>240.55</v>
      </c>
      <c r="F457" s="116">
        <v>240.6</v>
      </c>
      <c r="G457">
        <v>56062</v>
      </c>
      <c r="H457" s="116"/>
      <c r="I457" s="116"/>
      <c r="L457" s="170">
        <v>42676</v>
      </c>
      <c r="M457" s="116">
        <v>240.6</v>
      </c>
      <c r="N457" s="116">
        <v>244.5</v>
      </c>
      <c r="O457" s="116">
        <v>239.9</v>
      </c>
      <c r="P457" s="116">
        <v>242.75</v>
      </c>
      <c r="Q457" s="116">
        <v>240.6</v>
      </c>
      <c r="R457">
        <v>2117728</v>
      </c>
    </row>
    <row r="458" spans="1:18" x14ac:dyDescent="0.25">
      <c r="A458" s="170">
        <v>42677</v>
      </c>
      <c r="B458" s="116">
        <v>244.9</v>
      </c>
      <c r="C458" s="116">
        <v>243.2</v>
      </c>
      <c r="D458" s="116">
        <v>235.55</v>
      </c>
      <c r="E458" s="116">
        <v>240</v>
      </c>
      <c r="F458" s="116">
        <v>243.2</v>
      </c>
      <c r="G458">
        <v>728716</v>
      </c>
      <c r="H458" s="116"/>
      <c r="I458" s="116"/>
      <c r="L458" s="170">
        <v>42677</v>
      </c>
      <c r="M458" s="116">
        <v>243.1</v>
      </c>
      <c r="N458" s="116">
        <v>245.4</v>
      </c>
      <c r="O458" s="116">
        <v>235.55</v>
      </c>
      <c r="P458" s="116">
        <v>240</v>
      </c>
      <c r="Q458" s="116">
        <v>243.1</v>
      </c>
      <c r="R458">
        <v>8480593</v>
      </c>
    </row>
    <row r="459" spans="1:18" x14ac:dyDescent="0.25">
      <c r="A459" s="170">
        <v>42678</v>
      </c>
      <c r="B459" s="116">
        <v>245.95</v>
      </c>
      <c r="C459" s="116">
        <v>240.85</v>
      </c>
      <c r="D459" s="116">
        <v>238.15</v>
      </c>
      <c r="E459" s="116">
        <v>243.1</v>
      </c>
      <c r="F459" s="116">
        <v>240.85</v>
      </c>
      <c r="G459">
        <v>179637</v>
      </c>
      <c r="H459" s="116"/>
      <c r="I459" s="116"/>
      <c r="L459" s="170">
        <v>42678</v>
      </c>
      <c r="M459" s="116">
        <v>240.85</v>
      </c>
      <c r="N459" s="116">
        <v>245.9</v>
      </c>
      <c r="O459" s="116">
        <v>238.05</v>
      </c>
      <c r="P459" s="116">
        <v>242.95</v>
      </c>
      <c r="Q459" s="116">
        <v>240.85</v>
      </c>
      <c r="R459">
        <v>3607951</v>
      </c>
    </row>
    <row r="460" spans="1:18" x14ac:dyDescent="0.25">
      <c r="A460" s="170">
        <v>42681</v>
      </c>
      <c r="B460" s="116">
        <v>247.15</v>
      </c>
      <c r="C460" s="116">
        <v>241.65</v>
      </c>
      <c r="D460" s="116">
        <v>240.85</v>
      </c>
      <c r="E460" s="116">
        <v>240.85</v>
      </c>
      <c r="F460" s="116">
        <v>241.65</v>
      </c>
      <c r="G460">
        <v>118813</v>
      </c>
      <c r="H460" s="116"/>
      <c r="I460" s="116"/>
      <c r="L460" s="170">
        <v>42681</v>
      </c>
      <c r="M460" s="116">
        <v>241.7</v>
      </c>
      <c r="N460" s="116">
        <v>247.45</v>
      </c>
      <c r="O460" s="116">
        <v>241.15</v>
      </c>
      <c r="P460" s="116">
        <v>242.45</v>
      </c>
      <c r="Q460" s="116">
        <v>241.7</v>
      </c>
      <c r="R460">
        <v>1864133</v>
      </c>
    </row>
    <row r="461" spans="1:18" x14ac:dyDescent="0.25">
      <c r="A461" s="170">
        <v>42682</v>
      </c>
      <c r="B461" s="116">
        <v>245</v>
      </c>
      <c r="C461" s="116">
        <v>244.15</v>
      </c>
      <c r="D461" s="116">
        <v>241.9</v>
      </c>
      <c r="E461" s="116">
        <v>242.85</v>
      </c>
      <c r="F461" s="116">
        <v>244.15</v>
      </c>
      <c r="G461">
        <v>60018</v>
      </c>
      <c r="H461" s="116"/>
      <c r="I461" s="116"/>
      <c r="L461" s="170">
        <v>42682</v>
      </c>
      <c r="M461" s="116">
        <v>244.65</v>
      </c>
      <c r="N461" s="116">
        <v>245.35</v>
      </c>
      <c r="O461" s="116">
        <v>241.8</v>
      </c>
      <c r="P461" s="116">
        <v>242.45</v>
      </c>
      <c r="Q461" s="116">
        <v>244.65</v>
      </c>
      <c r="R461">
        <v>1154383</v>
      </c>
    </row>
    <row r="462" spans="1:18" x14ac:dyDescent="0.25">
      <c r="A462" s="170">
        <v>42683</v>
      </c>
      <c r="B462" s="116">
        <v>238</v>
      </c>
      <c r="C462" s="116">
        <v>231.3</v>
      </c>
      <c r="D462" s="116">
        <v>220.1</v>
      </c>
      <c r="E462" s="116">
        <v>238</v>
      </c>
      <c r="F462" s="116">
        <v>231.3</v>
      </c>
      <c r="G462">
        <v>275915</v>
      </c>
      <c r="H462" s="116"/>
      <c r="I462" s="116"/>
      <c r="L462" s="170">
        <v>42683</v>
      </c>
      <c r="M462" s="116">
        <v>230.8</v>
      </c>
      <c r="N462" s="116">
        <v>235</v>
      </c>
      <c r="O462" s="116">
        <v>221</v>
      </c>
      <c r="P462" s="116">
        <v>230</v>
      </c>
      <c r="Q462" s="116">
        <v>230.8</v>
      </c>
      <c r="R462">
        <v>3758610</v>
      </c>
    </row>
    <row r="463" spans="1:18" x14ac:dyDescent="0.25">
      <c r="A463" s="170">
        <v>42684</v>
      </c>
      <c r="B463" s="116">
        <v>236.3</v>
      </c>
      <c r="C463" s="116">
        <v>230.7</v>
      </c>
      <c r="D463" s="116">
        <v>229.75</v>
      </c>
      <c r="E463" s="116">
        <v>234</v>
      </c>
      <c r="F463" s="116">
        <v>230.7</v>
      </c>
      <c r="G463">
        <v>186842</v>
      </c>
      <c r="H463" s="116"/>
      <c r="I463" s="116"/>
      <c r="L463" s="170">
        <v>42684</v>
      </c>
      <c r="M463" s="116">
        <v>230.95</v>
      </c>
      <c r="N463" s="116">
        <v>236</v>
      </c>
      <c r="O463" s="116">
        <v>230.05</v>
      </c>
      <c r="P463" s="116">
        <v>234.5</v>
      </c>
      <c r="Q463" s="116">
        <v>230.95</v>
      </c>
      <c r="R463">
        <v>2307162</v>
      </c>
    </row>
    <row r="464" spans="1:18" x14ac:dyDescent="0.25">
      <c r="A464" s="170">
        <v>42685</v>
      </c>
      <c r="B464" s="116">
        <v>230.1</v>
      </c>
      <c r="C464" s="116">
        <v>219.45</v>
      </c>
      <c r="D464" s="116">
        <v>218.35</v>
      </c>
      <c r="E464" s="116">
        <v>230.1</v>
      </c>
      <c r="F464" s="116">
        <v>219.45</v>
      </c>
      <c r="G464">
        <v>273811</v>
      </c>
      <c r="H464" s="116"/>
      <c r="I464" s="116"/>
      <c r="L464" s="170">
        <v>42685</v>
      </c>
      <c r="M464" s="116">
        <v>219.55</v>
      </c>
      <c r="N464" s="116">
        <v>229.4</v>
      </c>
      <c r="O464" s="116">
        <v>218.65</v>
      </c>
      <c r="P464" s="116">
        <v>229.4</v>
      </c>
      <c r="Q464" s="116">
        <v>219.55</v>
      </c>
      <c r="R464">
        <v>3015979</v>
      </c>
    </row>
    <row r="465" spans="1:18" x14ac:dyDescent="0.25">
      <c r="A465" s="170">
        <v>42689</v>
      </c>
      <c r="B465" s="116">
        <v>241.25</v>
      </c>
      <c r="C465" s="116">
        <v>209.95</v>
      </c>
      <c r="D465" s="116">
        <v>208.75</v>
      </c>
      <c r="E465" s="116">
        <v>223.7</v>
      </c>
      <c r="F465" s="116">
        <v>209.95</v>
      </c>
      <c r="G465">
        <v>45009860</v>
      </c>
      <c r="H465" s="116"/>
      <c r="I465" s="116"/>
      <c r="L465" s="170">
        <v>42689</v>
      </c>
      <c r="M465" s="116">
        <v>208.55</v>
      </c>
      <c r="N465" s="116">
        <v>228</v>
      </c>
      <c r="O465" s="116">
        <v>207.6</v>
      </c>
      <c r="P465" s="116">
        <v>222.2</v>
      </c>
      <c r="Q465" s="116">
        <v>208.55</v>
      </c>
      <c r="R465">
        <v>6762551</v>
      </c>
    </row>
    <row r="466" spans="1:18" x14ac:dyDescent="0.25">
      <c r="A466" s="170">
        <v>42690</v>
      </c>
      <c r="B466" s="116">
        <v>213.35</v>
      </c>
      <c r="C466" s="116">
        <v>202.4</v>
      </c>
      <c r="D466" s="116">
        <v>201.5</v>
      </c>
      <c r="E466" s="116">
        <v>212.9</v>
      </c>
      <c r="F466" s="116">
        <v>202.4</v>
      </c>
      <c r="G466">
        <v>351131</v>
      </c>
      <c r="H466" s="116"/>
      <c r="I466" s="116"/>
      <c r="L466" s="170">
        <v>42690</v>
      </c>
      <c r="M466" s="116">
        <v>202.25</v>
      </c>
      <c r="N466" s="116">
        <v>213</v>
      </c>
      <c r="O466" s="116">
        <v>201.25</v>
      </c>
      <c r="P466" s="116">
        <v>212.5</v>
      </c>
      <c r="Q466" s="116">
        <v>202.25</v>
      </c>
      <c r="R466">
        <v>6974899</v>
      </c>
    </row>
    <row r="467" spans="1:18" x14ac:dyDescent="0.25">
      <c r="A467" s="170">
        <v>42691</v>
      </c>
      <c r="B467" s="116">
        <v>202.4</v>
      </c>
      <c r="C467" s="116">
        <v>194.2</v>
      </c>
      <c r="D467" s="116">
        <v>192.85</v>
      </c>
      <c r="E467" s="116">
        <v>202.4</v>
      </c>
      <c r="F467" s="116">
        <v>194.2</v>
      </c>
      <c r="G467">
        <v>233986</v>
      </c>
      <c r="H467" s="116"/>
      <c r="I467" s="116"/>
      <c r="L467" s="170">
        <v>42691</v>
      </c>
      <c r="M467" s="116">
        <v>194.05</v>
      </c>
      <c r="N467" s="116">
        <v>201.65</v>
      </c>
      <c r="O467" s="116">
        <v>192.6</v>
      </c>
      <c r="P467" s="116">
        <v>200.75</v>
      </c>
      <c r="Q467" s="116">
        <v>194.05</v>
      </c>
      <c r="R467">
        <v>5780478</v>
      </c>
    </row>
    <row r="468" spans="1:18" x14ac:dyDescent="0.25">
      <c r="A468" s="170">
        <v>42692</v>
      </c>
      <c r="B468" s="116">
        <v>201.75</v>
      </c>
      <c r="C468" s="116">
        <v>198.95</v>
      </c>
      <c r="D468" s="116">
        <v>192.05</v>
      </c>
      <c r="E468" s="116">
        <v>195</v>
      </c>
      <c r="F468" s="116">
        <v>198.95</v>
      </c>
      <c r="G468">
        <v>229049</v>
      </c>
      <c r="H468" s="116"/>
      <c r="I468" s="116"/>
      <c r="L468" s="170">
        <v>42692</v>
      </c>
      <c r="M468" s="116">
        <v>198.8</v>
      </c>
      <c r="N468" s="116">
        <v>199.95</v>
      </c>
      <c r="O468" s="116">
        <v>191.85</v>
      </c>
      <c r="P468" s="116">
        <v>195.25</v>
      </c>
      <c r="Q468" s="116">
        <v>198.8</v>
      </c>
      <c r="R468">
        <v>3710895</v>
      </c>
    </row>
    <row r="469" spans="1:18" x14ac:dyDescent="0.25">
      <c r="A469" s="170">
        <v>42695</v>
      </c>
      <c r="B469" s="116">
        <v>201</v>
      </c>
      <c r="C469" s="116">
        <v>193.4</v>
      </c>
      <c r="D469" s="116">
        <v>192.95</v>
      </c>
      <c r="E469" s="116">
        <v>201</v>
      </c>
      <c r="F469" s="116">
        <v>193.4</v>
      </c>
      <c r="G469">
        <v>128987</v>
      </c>
      <c r="H469" s="116"/>
      <c r="I469" s="116"/>
      <c r="L469" s="170">
        <v>42695</v>
      </c>
      <c r="M469" s="116">
        <v>193.6</v>
      </c>
      <c r="N469" s="116">
        <v>200.95</v>
      </c>
      <c r="O469" s="116">
        <v>193</v>
      </c>
      <c r="P469" s="116">
        <v>200.95</v>
      </c>
      <c r="Q469" s="116">
        <v>193.6</v>
      </c>
      <c r="R469">
        <v>2867373</v>
      </c>
    </row>
    <row r="470" spans="1:18" x14ac:dyDescent="0.25">
      <c r="A470" s="170">
        <v>42696</v>
      </c>
      <c r="B470" s="116">
        <v>197</v>
      </c>
      <c r="C470" s="116">
        <v>195.55</v>
      </c>
      <c r="D470" s="116">
        <v>191</v>
      </c>
      <c r="E470" s="116">
        <v>196</v>
      </c>
      <c r="F470" s="116">
        <v>195.55</v>
      </c>
      <c r="G470">
        <v>132123</v>
      </c>
      <c r="H470" s="116"/>
      <c r="I470" s="116"/>
      <c r="L470" s="170">
        <v>42696</v>
      </c>
      <c r="M470" s="116">
        <v>195.45</v>
      </c>
      <c r="N470" s="116">
        <v>197.05</v>
      </c>
      <c r="O470" s="116">
        <v>191</v>
      </c>
      <c r="P470" s="116">
        <v>196.65</v>
      </c>
      <c r="Q470" s="116">
        <v>195.45</v>
      </c>
      <c r="R470">
        <v>1928825</v>
      </c>
    </row>
    <row r="471" spans="1:18" x14ac:dyDescent="0.25">
      <c r="A471" s="170">
        <v>42697</v>
      </c>
      <c r="B471" s="116">
        <v>199.4</v>
      </c>
      <c r="C471" s="116">
        <v>198.3</v>
      </c>
      <c r="D471" s="116">
        <v>193.9</v>
      </c>
      <c r="E471" s="116">
        <v>198</v>
      </c>
      <c r="F471" s="116">
        <v>198.3</v>
      </c>
      <c r="G471">
        <v>186127</v>
      </c>
      <c r="H471" s="116"/>
      <c r="I471" s="116"/>
      <c r="L471" s="170">
        <v>42697</v>
      </c>
      <c r="M471" s="116">
        <v>198.05</v>
      </c>
      <c r="N471" s="116">
        <v>199.3</v>
      </c>
      <c r="O471" s="116">
        <v>193.75</v>
      </c>
      <c r="P471" s="116">
        <v>198.05</v>
      </c>
      <c r="Q471" s="116">
        <v>198.05</v>
      </c>
      <c r="R471">
        <v>2378798</v>
      </c>
    </row>
    <row r="472" spans="1:18" x14ac:dyDescent="0.25">
      <c r="A472" s="170">
        <v>42698</v>
      </c>
      <c r="B472" s="116">
        <v>205.1</v>
      </c>
      <c r="C472" s="116">
        <v>201.05</v>
      </c>
      <c r="D472" s="116">
        <v>193</v>
      </c>
      <c r="E472" s="116">
        <v>193</v>
      </c>
      <c r="F472" s="116">
        <v>201.05</v>
      </c>
      <c r="G472">
        <v>219920</v>
      </c>
      <c r="H472" s="116"/>
      <c r="I472" s="116"/>
      <c r="L472" s="170">
        <v>42698</v>
      </c>
      <c r="M472" s="116">
        <v>201.25</v>
      </c>
      <c r="N472" s="116">
        <v>207</v>
      </c>
      <c r="O472" s="116">
        <v>195.1</v>
      </c>
      <c r="P472" s="116">
        <v>196</v>
      </c>
      <c r="Q472" s="116">
        <v>201.25</v>
      </c>
      <c r="R472">
        <v>4846094</v>
      </c>
    </row>
    <row r="473" spans="1:18" x14ac:dyDescent="0.25">
      <c r="A473" s="170">
        <v>42699</v>
      </c>
      <c r="B473" s="116">
        <v>203.9</v>
      </c>
      <c r="C473" s="116">
        <v>203.1</v>
      </c>
      <c r="D473" s="116">
        <v>197.05</v>
      </c>
      <c r="E473" s="116">
        <v>197.05</v>
      </c>
      <c r="F473" s="116">
        <v>203.1</v>
      </c>
      <c r="G473">
        <v>386569</v>
      </c>
      <c r="H473" s="116"/>
      <c r="I473" s="116"/>
      <c r="L473" s="170">
        <v>42699</v>
      </c>
      <c r="M473" s="116">
        <v>203</v>
      </c>
      <c r="N473" s="116">
        <v>204</v>
      </c>
      <c r="O473" s="116">
        <v>198.5</v>
      </c>
      <c r="P473" s="116">
        <v>200.5</v>
      </c>
      <c r="Q473" s="116">
        <v>203</v>
      </c>
      <c r="R473">
        <v>3346339</v>
      </c>
    </row>
    <row r="474" spans="1:18" x14ac:dyDescent="0.25">
      <c r="A474" s="170">
        <v>42702</v>
      </c>
      <c r="B474" s="116">
        <v>205.75</v>
      </c>
      <c r="C474" s="116">
        <v>204.2</v>
      </c>
      <c r="D474" s="116">
        <v>201.5</v>
      </c>
      <c r="E474" s="116">
        <v>203</v>
      </c>
      <c r="F474" s="116">
        <v>204.2</v>
      </c>
      <c r="G474">
        <v>266558</v>
      </c>
      <c r="H474" s="116"/>
      <c r="I474" s="116"/>
      <c r="L474" s="170">
        <v>42702</v>
      </c>
      <c r="M474" s="116">
        <v>204.2</v>
      </c>
      <c r="N474" s="116">
        <v>205.8</v>
      </c>
      <c r="O474" s="116">
        <v>200</v>
      </c>
      <c r="P474" s="116">
        <v>203</v>
      </c>
      <c r="Q474" s="116">
        <v>204.2</v>
      </c>
      <c r="R474">
        <v>2608101</v>
      </c>
    </row>
    <row r="475" spans="1:18" x14ac:dyDescent="0.25">
      <c r="A475" s="170">
        <v>42703</v>
      </c>
      <c r="B475" s="116">
        <v>207.1</v>
      </c>
      <c r="C475" s="116">
        <v>205.25</v>
      </c>
      <c r="D475" s="116">
        <v>204</v>
      </c>
      <c r="E475" s="116">
        <v>204.5</v>
      </c>
      <c r="F475" s="116">
        <v>205.25</v>
      </c>
      <c r="G475">
        <v>138242</v>
      </c>
      <c r="H475" s="116"/>
      <c r="I475" s="116"/>
      <c r="L475" s="170">
        <v>42703</v>
      </c>
      <c r="M475" s="116">
        <v>205.05</v>
      </c>
      <c r="N475" s="116">
        <v>207.3</v>
      </c>
      <c r="O475" s="116">
        <v>203.95</v>
      </c>
      <c r="P475" s="116">
        <v>205.4</v>
      </c>
      <c r="Q475" s="116">
        <v>205.05</v>
      </c>
      <c r="R475">
        <v>3137705</v>
      </c>
    </row>
    <row r="476" spans="1:18" x14ac:dyDescent="0.25">
      <c r="A476" s="170">
        <v>42704</v>
      </c>
      <c r="B476" s="116">
        <v>211.2</v>
      </c>
      <c r="C476" s="116">
        <v>210.4</v>
      </c>
      <c r="D476" s="116">
        <v>205.45</v>
      </c>
      <c r="E476" s="116">
        <v>205.45</v>
      </c>
      <c r="F476" s="116">
        <v>210.4</v>
      </c>
      <c r="G476">
        <v>157385</v>
      </c>
      <c r="H476" s="116"/>
      <c r="I476" s="116"/>
      <c r="L476" s="170">
        <v>42704</v>
      </c>
      <c r="M476" s="116">
        <v>210.8</v>
      </c>
      <c r="N476" s="116">
        <v>211.45</v>
      </c>
      <c r="O476" s="116">
        <v>205.4</v>
      </c>
      <c r="P476" s="116">
        <v>208</v>
      </c>
      <c r="Q476" s="116">
        <v>210.8</v>
      </c>
      <c r="R476">
        <v>5187692</v>
      </c>
    </row>
    <row r="477" spans="1:18" x14ac:dyDescent="0.25">
      <c r="A477" s="170">
        <v>42705</v>
      </c>
      <c r="B477" s="116">
        <v>212.75</v>
      </c>
      <c r="C477" s="116">
        <v>206.75</v>
      </c>
      <c r="D477" s="116">
        <v>206</v>
      </c>
      <c r="E477" s="116">
        <v>212.4</v>
      </c>
      <c r="F477" s="116">
        <v>206.75</v>
      </c>
      <c r="G477">
        <v>80090</v>
      </c>
      <c r="H477" s="116"/>
      <c r="I477" s="116"/>
      <c r="L477" s="170">
        <v>42705</v>
      </c>
      <c r="M477" s="116">
        <v>206.9</v>
      </c>
      <c r="N477" s="116">
        <v>212.65</v>
      </c>
      <c r="O477" s="116">
        <v>206.05</v>
      </c>
      <c r="P477" s="116">
        <v>211.9</v>
      </c>
      <c r="Q477" s="116">
        <v>206.9</v>
      </c>
      <c r="R477">
        <v>1385541</v>
      </c>
    </row>
    <row r="478" spans="1:18" x14ac:dyDescent="0.25">
      <c r="A478" s="170">
        <v>42706</v>
      </c>
      <c r="B478" s="116">
        <v>207.5</v>
      </c>
      <c r="C478" s="116">
        <v>204.75</v>
      </c>
      <c r="D478" s="116">
        <v>204</v>
      </c>
      <c r="E478" s="116">
        <v>204.8</v>
      </c>
      <c r="F478" s="116">
        <v>204.75</v>
      </c>
      <c r="G478">
        <v>92761</v>
      </c>
      <c r="H478" s="116"/>
      <c r="I478" s="116"/>
      <c r="L478" s="170">
        <v>42706</v>
      </c>
      <c r="M478" s="116">
        <v>205.05</v>
      </c>
      <c r="N478" s="116">
        <v>207.8</v>
      </c>
      <c r="O478" s="116">
        <v>204</v>
      </c>
      <c r="P478" s="116">
        <v>205</v>
      </c>
      <c r="Q478" s="116">
        <v>205.05</v>
      </c>
      <c r="R478">
        <v>2361842</v>
      </c>
    </row>
    <row r="479" spans="1:18" x14ac:dyDescent="0.25">
      <c r="A479" s="170">
        <v>42709</v>
      </c>
      <c r="B479" s="116">
        <v>211</v>
      </c>
      <c r="C479" s="116">
        <v>209.75</v>
      </c>
      <c r="D479" s="116">
        <v>204.7</v>
      </c>
      <c r="E479" s="116">
        <v>205</v>
      </c>
      <c r="F479" s="116">
        <v>209.75</v>
      </c>
      <c r="G479">
        <v>124233</v>
      </c>
      <c r="H479" s="116"/>
      <c r="I479" s="116"/>
      <c r="L479" s="170">
        <v>42709</v>
      </c>
      <c r="M479" s="116">
        <v>210.15</v>
      </c>
      <c r="N479" s="116">
        <v>211.35</v>
      </c>
      <c r="O479" s="116">
        <v>204.3</v>
      </c>
      <c r="P479" s="116">
        <v>205.4</v>
      </c>
      <c r="Q479" s="116">
        <v>210.15</v>
      </c>
      <c r="R479">
        <v>1735522</v>
      </c>
    </row>
    <row r="480" spans="1:18" x14ac:dyDescent="0.25">
      <c r="A480" s="170">
        <v>42710</v>
      </c>
      <c r="B480" s="116">
        <v>215</v>
      </c>
      <c r="C480" s="116">
        <v>210.35</v>
      </c>
      <c r="D480" s="116">
        <v>209.5</v>
      </c>
      <c r="E480" s="116">
        <v>209.75</v>
      </c>
      <c r="F480" s="116">
        <v>210.35</v>
      </c>
      <c r="G480">
        <v>69231</v>
      </c>
      <c r="H480" s="116"/>
      <c r="I480" s="116"/>
      <c r="L480" s="170">
        <v>42710</v>
      </c>
      <c r="M480" s="116">
        <v>210.6</v>
      </c>
      <c r="N480" s="116">
        <v>212</v>
      </c>
      <c r="O480" s="116">
        <v>209.3</v>
      </c>
      <c r="P480" s="116">
        <v>210.9</v>
      </c>
      <c r="Q480" s="116">
        <v>210.6</v>
      </c>
      <c r="R480">
        <v>1484899</v>
      </c>
    </row>
    <row r="481" spans="1:18" x14ac:dyDescent="0.25">
      <c r="A481" s="170">
        <v>42711</v>
      </c>
      <c r="B481" s="116">
        <v>214.3</v>
      </c>
      <c r="C481" s="116">
        <v>209.4</v>
      </c>
      <c r="D481" s="116">
        <v>208.55</v>
      </c>
      <c r="E481" s="116">
        <v>210.25</v>
      </c>
      <c r="F481" s="116">
        <v>209.4</v>
      </c>
      <c r="G481">
        <v>96164</v>
      </c>
      <c r="H481" s="116"/>
      <c r="I481" s="116"/>
      <c r="L481" s="170">
        <v>42711</v>
      </c>
      <c r="M481" s="116">
        <v>209.25</v>
      </c>
      <c r="N481" s="116">
        <v>214.4</v>
      </c>
      <c r="O481" s="116">
        <v>208.4</v>
      </c>
      <c r="P481" s="116">
        <v>211</v>
      </c>
      <c r="Q481" s="116">
        <v>209.25</v>
      </c>
      <c r="R481">
        <v>1400139</v>
      </c>
    </row>
    <row r="482" spans="1:18" x14ac:dyDescent="0.25">
      <c r="A482" s="170">
        <v>42712</v>
      </c>
      <c r="B482" s="116">
        <v>216.5</v>
      </c>
      <c r="C482" s="116">
        <v>213.5</v>
      </c>
      <c r="D482" s="116">
        <v>210.9</v>
      </c>
      <c r="E482" s="116">
        <v>213</v>
      </c>
      <c r="F482" s="116">
        <v>213.5</v>
      </c>
      <c r="G482">
        <v>165386</v>
      </c>
      <c r="H482" s="116"/>
      <c r="I482" s="116"/>
      <c r="L482" s="170">
        <v>42712</v>
      </c>
      <c r="M482" s="116">
        <v>213.9</v>
      </c>
      <c r="N482" s="116">
        <v>216.7</v>
      </c>
      <c r="O482" s="116">
        <v>210.25</v>
      </c>
      <c r="P482" s="116">
        <v>210.25</v>
      </c>
      <c r="Q482" s="116">
        <v>213.9</v>
      </c>
      <c r="R482">
        <v>1977604</v>
      </c>
    </row>
    <row r="483" spans="1:18" x14ac:dyDescent="0.25">
      <c r="A483" s="170">
        <v>42713</v>
      </c>
      <c r="B483" s="116">
        <v>217.9</v>
      </c>
      <c r="C483" s="116">
        <v>216.05</v>
      </c>
      <c r="D483" s="116">
        <v>212.1</v>
      </c>
      <c r="E483" s="116">
        <v>215</v>
      </c>
      <c r="F483" s="116">
        <v>216.05</v>
      </c>
      <c r="G483">
        <v>79065</v>
      </c>
      <c r="H483" s="116"/>
      <c r="I483" s="116"/>
      <c r="L483" s="170">
        <v>42713</v>
      </c>
      <c r="M483" s="116">
        <v>216.05</v>
      </c>
      <c r="N483" s="116">
        <v>217.2</v>
      </c>
      <c r="O483" s="116">
        <v>212</v>
      </c>
      <c r="P483" s="116">
        <v>214.5</v>
      </c>
      <c r="Q483" s="116">
        <v>216.05</v>
      </c>
      <c r="R483">
        <v>1771357</v>
      </c>
    </row>
    <row r="484" spans="1:18" x14ac:dyDescent="0.25">
      <c r="A484" s="170">
        <v>42716</v>
      </c>
      <c r="B484" s="116">
        <v>215.9</v>
      </c>
      <c r="C484" s="116">
        <v>209.05</v>
      </c>
      <c r="D484" s="116">
        <v>208</v>
      </c>
      <c r="E484" s="116">
        <v>215.9</v>
      </c>
      <c r="F484" s="116">
        <v>209.05</v>
      </c>
      <c r="G484">
        <v>62633</v>
      </c>
      <c r="H484" s="116"/>
      <c r="I484" s="116"/>
      <c r="L484" s="170">
        <v>42716</v>
      </c>
      <c r="M484" s="116">
        <v>208.35</v>
      </c>
      <c r="N484" s="116">
        <v>214.8</v>
      </c>
      <c r="O484" s="116">
        <v>207.3</v>
      </c>
      <c r="P484" s="116">
        <v>212.95</v>
      </c>
      <c r="Q484" s="116">
        <v>208.35</v>
      </c>
      <c r="R484">
        <v>1120383</v>
      </c>
    </row>
    <row r="485" spans="1:18" x14ac:dyDescent="0.25">
      <c r="A485" s="170">
        <v>42717</v>
      </c>
      <c r="B485" s="116">
        <v>209.5</v>
      </c>
      <c r="C485" s="116">
        <v>206.6</v>
      </c>
      <c r="D485" s="116">
        <v>206</v>
      </c>
      <c r="E485" s="116">
        <v>209.05</v>
      </c>
      <c r="F485" s="116">
        <v>206.6</v>
      </c>
      <c r="G485">
        <v>72909</v>
      </c>
      <c r="H485" s="116"/>
      <c r="I485" s="116"/>
      <c r="L485" s="170">
        <v>42717</v>
      </c>
      <c r="M485" s="116">
        <v>206.4</v>
      </c>
      <c r="N485" s="116">
        <v>209.85</v>
      </c>
      <c r="O485" s="116">
        <v>205.9</v>
      </c>
      <c r="P485" s="116">
        <v>209</v>
      </c>
      <c r="Q485" s="116">
        <v>206.4</v>
      </c>
      <c r="R485">
        <v>1061287</v>
      </c>
    </row>
    <row r="486" spans="1:18" x14ac:dyDescent="0.25">
      <c r="A486" s="170">
        <v>42718</v>
      </c>
      <c r="B486" s="116">
        <v>207</v>
      </c>
      <c r="C486" s="116">
        <v>205.15</v>
      </c>
      <c r="D486" s="116">
        <v>204.3</v>
      </c>
      <c r="E486" s="116">
        <v>206.95</v>
      </c>
      <c r="F486" s="116">
        <v>205.15</v>
      </c>
      <c r="G486">
        <v>50582</v>
      </c>
      <c r="H486" s="116"/>
      <c r="I486" s="116"/>
      <c r="L486" s="170">
        <v>42718</v>
      </c>
      <c r="M486" s="116">
        <v>205.25</v>
      </c>
      <c r="N486" s="116">
        <v>207</v>
      </c>
      <c r="O486" s="116">
        <v>204.7</v>
      </c>
      <c r="P486" s="116">
        <v>206.15</v>
      </c>
      <c r="Q486" s="116">
        <v>205.25</v>
      </c>
      <c r="R486">
        <v>1515452</v>
      </c>
    </row>
    <row r="487" spans="1:18" x14ac:dyDescent="0.25">
      <c r="A487" s="170">
        <v>42719</v>
      </c>
      <c r="B487" s="116">
        <v>206.35</v>
      </c>
      <c r="C487" s="116">
        <v>201.95</v>
      </c>
      <c r="D487" s="116">
        <v>201.35</v>
      </c>
      <c r="E487" s="116">
        <v>205.15</v>
      </c>
      <c r="F487" s="116">
        <v>201.95</v>
      </c>
      <c r="G487">
        <v>105399</v>
      </c>
      <c r="H487" s="116"/>
      <c r="I487" s="116"/>
      <c r="L487" s="170">
        <v>42719</v>
      </c>
      <c r="M487" s="116">
        <v>201.85</v>
      </c>
      <c r="N487" s="116">
        <v>206.45</v>
      </c>
      <c r="O487" s="116">
        <v>200.55</v>
      </c>
      <c r="P487" s="116">
        <v>203.8</v>
      </c>
      <c r="Q487" s="116">
        <v>201.85</v>
      </c>
      <c r="R487">
        <v>1431281</v>
      </c>
    </row>
    <row r="488" spans="1:18" x14ac:dyDescent="0.25">
      <c r="A488" s="170">
        <v>42720</v>
      </c>
      <c r="B488" s="116">
        <v>203.5</v>
      </c>
      <c r="C488" s="116">
        <v>202.45</v>
      </c>
      <c r="D488" s="116">
        <v>200.1</v>
      </c>
      <c r="E488" s="116">
        <v>201.35</v>
      </c>
      <c r="F488" s="116">
        <v>202.45</v>
      </c>
      <c r="G488">
        <v>61442</v>
      </c>
      <c r="H488" s="116"/>
      <c r="I488" s="116"/>
      <c r="L488" s="170">
        <v>42720</v>
      </c>
      <c r="M488" s="116">
        <v>202.45</v>
      </c>
      <c r="N488" s="116">
        <v>203.45</v>
      </c>
      <c r="O488" s="116">
        <v>199.9</v>
      </c>
      <c r="P488" s="116">
        <v>202.6</v>
      </c>
      <c r="Q488" s="116">
        <v>202.45</v>
      </c>
      <c r="R488">
        <v>1623830</v>
      </c>
    </row>
    <row r="489" spans="1:18" x14ac:dyDescent="0.25">
      <c r="A489" s="170">
        <v>42723</v>
      </c>
      <c r="B489" s="116">
        <v>204</v>
      </c>
      <c r="C489" s="116">
        <v>201</v>
      </c>
      <c r="D489" s="116">
        <v>200</v>
      </c>
      <c r="E489" s="116">
        <v>200</v>
      </c>
      <c r="F489" s="116">
        <v>201</v>
      </c>
      <c r="G489">
        <v>32568</v>
      </c>
      <c r="H489" s="116"/>
      <c r="I489" s="116"/>
      <c r="L489" s="170">
        <v>42723</v>
      </c>
      <c r="M489" s="116">
        <v>201.15</v>
      </c>
      <c r="N489" s="116">
        <v>204</v>
      </c>
      <c r="O489" s="116">
        <v>200.3</v>
      </c>
      <c r="P489" s="116">
        <v>201.1</v>
      </c>
      <c r="Q489" s="116">
        <v>201.15</v>
      </c>
      <c r="R489">
        <v>1049084</v>
      </c>
    </row>
    <row r="490" spans="1:18" x14ac:dyDescent="0.25">
      <c r="A490" s="170">
        <v>42724</v>
      </c>
      <c r="B490" s="116">
        <v>205.35</v>
      </c>
      <c r="C490" s="116">
        <v>204.55</v>
      </c>
      <c r="D490" s="116">
        <v>200.65</v>
      </c>
      <c r="E490" s="116">
        <v>200.65</v>
      </c>
      <c r="F490" s="116">
        <v>204.55</v>
      </c>
      <c r="G490">
        <v>90641</v>
      </c>
      <c r="H490" s="116"/>
      <c r="I490" s="116"/>
      <c r="L490" s="170">
        <v>42724</v>
      </c>
      <c r="M490" s="116">
        <v>205.35</v>
      </c>
      <c r="N490" s="116">
        <v>206</v>
      </c>
      <c r="O490" s="116">
        <v>201.15</v>
      </c>
      <c r="P490" s="116">
        <v>201.7</v>
      </c>
      <c r="Q490" s="116">
        <v>205.35</v>
      </c>
      <c r="R490">
        <v>1657227</v>
      </c>
    </row>
    <row r="491" spans="1:18" x14ac:dyDescent="0.25">
      <c r="A491" s="170">
        <v>42725</v>
      </c>
      <c r="B491" s="116">
        <v>205.95</v>
      </c>
      <c r="C491" s="116">
        <v>202.35</v>
      </c>
      <c r="D491" s="116">
        <v>201.75</v>
      </c>
      <c r="E491" s="116">
        <v>205.6</v>
      </c>
      <c r="F491" s="116">
        <v>202.35</v>
      </c>
      <c r="G491">
        <v>29829</v>
      </c>
      <c r="H491" s="116"/>
      <c r="I491" s="116"/>
      <c r="L491" s="170">
        <v>42725</v>
      </c>
      <c r="M491" s="116">
        <v>202.15</v>
      </c>
      <c r="N491" s="116">
        <v>205.9</v>
      </c>
      <c r="O491" s="116">
        <v>201.6</v>
      </c>
      <c r="P491" s="116">
        <v>205</v>
      </c>
      <c r="Q491" s="116">
        <v>202.15</v>
      </c>
      <c r="R491">
        <v>933162</v>
      </c>
    </row>
    <row r="492" spans="1:18" x14ac:dyDescent="0.25">
      <c r="A492" s="170">
        <v>42726</v>
      </c>
      <c r="B492" s="116">
        <v>202.8</v>
      </c>
      <c r="C492" s="116">
        <v>200.3</v>
      </c>
      <c r="D492" s="116">
        <v>198.4</v>
      </c>
      <c r="E492" s="116">
        <v>202</v>
      </c>
      <c r="F492" s="116">
        <v>200.3</v>
      </c>
      <c r="G492">
        <v>37957</v>
      </c>
      <c r="H492" s="116"/>
      <c r="I492" s="116"/>
      <c r="L492" s="170">
        <v>42726</v>
      </c>
      <c r="M492" s="116">
        <v>199.95</v>
      </c>
      <c r="N492" s="116">
        <v>203.45</v>
      </c>
      <c r="O492" s="116">
        <v>198.15</v>
      </c>
      <c r="P492" s="116">
        <v>201.7</v>
      </c>
      <c r="Q492" s="116">
        <v>199.95</v>
      </c>
      <c r="R492">
        <v>855815</v>
      </c>
    </row>
    <row r="493" spans="1:18" x14ac:dyDescent="0.25">
      <c r="A493" s="170">
        <v>42727</v>
      </c>
      <c r="B493" s="116">
        <v>202.05</v>
      </c>
      <c r="C493" s="116">
        <v>200.15</v>
      </c>
      <c r="D493" s="116">
        <v>198.25</v>
      </c>
      <c r="E493" s="116">
        <v>198.25</v>
      </c>
      <c r="F493" s="116">
        <v>200.15</v>
      </c>
      <c r="G493">
        <v>80170</v>
      </c>
      <c r="H493" s="116"/>
      <c r="I493" s="116"/>
      <c r="L493" s="170">
        <v>42727</v>
      </c>
      <c r="M493" s="116">
        <v>200.05</v>
      </c>
      <c r="N493" s="116">
        <v>202.15</v>
      </c>
      <c r="O493" s="116">
        <v>198.6</v>
      </c>
      <c r="P493" s="116">
        <v>199.9</v>
      </c>
      <c r="Q493" s="116">
        <v>200.05</v>
      </c>
      <c r="R493">
        <v>1270774</v>
      </c>
    </row>
    <row r="494" spans="1:18" x14ac:dyDescent="0.25">
      <c r="A494" s="170">
        <v>42730</v>
      </c>
      <c r="B494" s="116">
        <v>200</v>
      </c>
      <c r="C494" s="116">
        <v>198.1</v>
      </c>
      <c r="D494" s="116">
        <v>197</v>
      </c>
      <c r="E494" s="116">
        <v>199.55</v>
      </c>
      <c r="F494" s="116">
        <v>198.1</v>
      </c>
      <c r="G494">
        <v>38646</v>
      </c>
      <c r="H494" s="116"/>
      <c r="I494" s="116"/>
      <c r="L494" s="170">
        <v>42730</v>
      </c>
      <c r="M494" s="116">
        <v>198.35</v>
      </c>
      <c r="N494" s="116">
        <v>200.9</v>
      </c>
      <c r="O494" s="116">
        <v>197</v>
      </c>
      <c r="P494" s="116">
        <v>199.8</v>
      </c>
      <c r="Q494" s="116">
        <v>198.35</v>
      </c>
      <c r="R494">
        <v>688512</v>
      </c>
    </row>
    <row r="495" spans="1:18" x14ac:dyDescent="0.25">
      <c r="A495" s="170">
        <v>42731</v>
      </c>
      <c r="B495" s="116">
        <v>203.9</v>
      </c>
      <c r="C495" s="116">
        <v>202.7</v>
      </c>
      <c r="D495" s="116">
        <v>198</v>
      </c>
      <c r="E495" s="116">
        <v>198.8</v>
      </c>
      <c r="F495" s="116">
        <v>202.7</v>
      </c>
      <c r="G495">
        <v>65865</v>
      </c>
      <c r="H495" s="116"/>
      <c r="I495" s="116"/>
      <c r="L495" s="170">
        <v>42731</v>
      </c>
      <c r="M495" s="116">
        <v>202.9</v>
      </c>
      <c r="N495" s="116">
        <v>203.25</v>
      </c>
      <c r="O495" s="116">
        <v>198</v>
      </c>
      <c r="P495" s="116">
        <v>198.4</v>
      </c>
      <c r="Q495" s="116">
        <v>202.9</v>
      </c>
      <c r="R495">
        <v>811268</v>
      </c>
    </row>
    <row r="496" spans="1:18" x14ac:dyDescent="0.25">
      <c r="A496" s="170">
        <v>42732</v>
      </c>
      <c r="B496" s="116">
        <v>204.7</v>
      </c>
      <c r="C496" s="116">
        <v>201.35</v>
      </c>
      <c r="D496" s="116">
        <v>201.1</v>
      </c>
      <c r="E496" s="116">
        <v>202.9</v>
      </c>
      <c r="F496" s="116">
        <v>201.35</v>
      </c>
      <c r="G496">
        <v>68601</v>
      </c>
      <c r="H496" s="116"/>
      <c r="I496" s="116"/>
      <c r="L496" s="170">
        <v>42732</v>
      </c>
      <c r="M496" s="116">
        <v>201.25</v>
      </c>
      <c r="N496" s="116">
        <v>204.75</v>
      </c>
      <c r="O496" s="116">
        <v>200.8</v>
      </c>
      <c r="P496" s="116">
        <v>203.1</v>
      </c>
      <c r="Q496" s="116">
        <v>201.25</v>
      </c>
      <c r="R496">
        <v>1319957</v>
      </c>
    </row>
    <row r="497" spans="1:18" x14ac:dyDescent="0.25">
      <c r="A497" s="170">
        <v>42733</v>
      </c>
      <c r="B497" s="116">
        <v>204.75</v>
      </c>
      <c r="C497" s="116">
        <v>203.9</v>
      </c>
      <c r="D497" s="116">
        <v>201</v>
      </c>
      <c r="E497" s="116">
        <v>202.15</v>
      </c>
      <c r="F497" s="116">
        <v>203.9</v>
      </c>
      <c r="G497">
        <v>35802</v>
      </c>
      <c r="H497" s="116"/>
      <c r="I497" s="116"/>
      <c r="L497" s="170">
        <v>42733</v>
      </c>
      <c r="M497" s="116">
        <v>203.9</v>
      </c>
      <c r="N497" s="116">
        <v>204.7</v>
      </c>
      <c r="O497" s="116">
        <v>200.6</v>
      </c>
      <c r="P497" s="116">
        <v>202.25</v>
      </c>
      <c r="Q497" s="116">
        <v>203.9</v>
      </c>
      <c r="R497">
        <v>1088592</v>
      </c>
    </row>
    <row r="498" spans="1:18" x14ac:dyDescent="0.25">
      <c r="A498" s="170">
        <v>42734</v>
      </c>
      <c r="B498" s="116">
        <v>207.65</v>
      </c>
      <c r="C498" s="116">
        <v>206.2</v>
      </c>
      <c r="D498" s="116">
        <v>204.2</v>
      </c>
      <c r="E498" s="116">
        <v>204.2</v>
      </c>
      <c r="F498" s="116">
        <v>206.2</v>
      </c>
      <c r="G498">
        <v>57296</v>
      </c>
      <c r="H498" s="116"/>
      <c r="I498" s="116"/>
      <c r="L498" s="170">
        <v>42734</v>
      </c>
      <c r="M498" s="116">
        <v>206.3</v>
      </c>
      <c r="N498" s="116">
        <v>207.65</v>
      </c>
      <c r="O498" s="116">
        <v>202.5</v>
      </c>
      <c r="P498" s="116">
        <v>202.5</v>
      </c>
      <c r="Q498" s="116">
        <v>206.3</v>
      </c>
      <c r="R498">
        <v>835096</v>
      </c>
    </row>
    <row r="499" spans="1:18" x14ac:dyDescent="0.25">
      <c r="A499" s="170">
        <v>42737</v>
      </c>
      <c r="B499" s="116">
        <v>215.2</v>
      </c>
      <c r="C499" s="116">
        <v>214.05</v>
      </c>
      <c r="D499" s="116">
        <v>209.25</v>
      </c>
      <c r="E499" s="116">
        <v>211</v>
      </c>
      <c r="F499" s="116">
        <v>214.05</v>
      </c>
      <c r="G499">
        <v>142321</v>
      </c>
      <c r="H499" s="116"/>
      <c r="I499" s="116"/>
      <c r="L499" s="170">
        <v>42737</v>
      </c>
      <c r="M499" s="116">
        <v>214.6</v>
      </c>
      <c r="N499" s="116">
        <v>215.45</v>
      </c>
      <c r="O499" s="116">
        <v>209</v>
      </c>
      <c r="P499" s="116">
        <v>209</v>
      </c>
      <c r="Q499" s="116">
        <v>214.6</v>
      </c>
      <c r="R499">
        <v>1715063</v>
      </c>
    </row>
    <row r="500" spans="1:18" x14ac:dyDescent="0.25">
      <c r="A500" s="170">
        <v>42738</v>
      </c>
      <c r="B500" s="116">
        <v>216.75</v>
      </c>
      <c r="C500" s="116">
        <v>214.95</v>
      </c>
      <c r="D500" s="116">
        <v>214.05</v>
      </c>
      <c r="E500" s="116">
        <v>215.95</v>
      </c>
      <c r="F500" s="116">
        <v>214.95</v>
      </c>
      <c r="G500">
        <v>103624</v>
      </c>
      <c r="H500" s="116"/>
      <c r="I500" s="116"/>
      <c r="L500" s="170">
        <v>42738</v>
      </c>
      <c r="M500" s="116">
        <v>215.2</v>
      </c>
      <c r="N500" s="116">
        <v>216.85</v>
      </c>
      <c r="O500" s="116">
        <v>214</v>
      </c>
      <c r="P500" s="116">
        <v>215</v>
      </c>
      <c r="Q500" s="116">
        <v>215.2</v>
      </c>
      <c r="R500">
        <v>1544119</v>
      </c>
    </row>
    <row r="501" spans="1:18" x14ac:dyDescent="0.25">
      <c r="A501" s="170">
        <v>42739</v>
      </c>
      <c r="B501" s="116">
        <v>218.35</v>
      </c>
      <c r="C501" s="116">
        <v>212.05</v>
      </c>
      <c r="D501" s="116">
        <v>211.5</v>
      </c>
      <c r="E501" s="116">
        <v>215.45</v>
      </c>
      <c r="F501" s="116">
        <v>212.05</v>
      </c>
      <c r="G501">
        <v>107532</v>
      </c>
      <c r="H501" s="116"/>
      <c r="I501" s="116"/>
      <c r="L501" s="170">
        <v>42739</v>
      </c>
      <c r="M501" s="116">
        <v>212.15</v>
      </c>
      <c r="N501" s="116">
        <v>218.2</v>
      </c>
      <c r="O501" s="116">
        <v>211.25</v>
      </c>
      <c r="P501" s="116">
        <v>215.7</v>
      </c>
      <c r="Q501" s="116">
        <v>212.15</v>
      </c>
      <c r="R501">
        <v>2063229</v>
      </c>
    </row>
    <row r="502" spans="1:18" x14ac:dyDescent="0.25">
      <c r="A502" s="170">
        <v>42740</v>
      </c>
      <c r="B502" s="116">
        <v>216</v>
      </c>
      <c r="C502" s="116">
        <v>214.3</v>
      </c>
      <c r="D502" s="116">
        <v>211.1</v>
      </c>
      <c r="E502" s="116">
        <v>216</v>
      </c>
      <c r="F502" s="116">
        <v>214.3</v>
      </c>
      <c r="G502">
        <v>62846</v>
      </c>
      <c r="H502" s="116"/>
      <c r="I502" s="116"/>
      <c r="L502" s="170">
        <v>42740</v>
      </c>
      <c r="M502" s="116">
        <v>214.35</v>
      </c>
      <c r="N502" s="116">
        <v>214.85</v>
      </c>
      <c r="O502" s="116">
        <v>210.9</v>
      </c>
      <c r="P502" s="116">
        <v>213.1</v>
      </c>
      <c r="Q502" s="116">
        <v>214.35</v>
      </c>
      <c r="R502">
        <v>1267500</v>
      </c>
    </row>
    <row r="503" spans="1:18" x14ac:dyDescent="0.25">
      <c r="A503" s="170">
        <v>42741</v>
      </c>
      <c r="B503" s="116">
        <v>215.45</v>
      </c>
      <c r="C503" s="116">
        <v>212.65</v>
      </c>
      <c r="D503" s="116">
        <v>212</v>
      </c>
      <c r="E503" s="116">
        <v>215.3</v>
      </c>
      <c r="F503" s="116">
        <v>212.65</v>
      </c>
      <c r="G503">
        <v>49876</v>
      </c>
      <c r="H503" s="116"/>
      <c r="I503" s="116"/>
      <c r="L503" s="170">
        <v>42741</v>
      </c>
      <c r="M503" s="116">
        <v>212.6</v>
      </c>
      <c r="N503" s="116">
        <v>215.45</v>
      </c>
      <c r="O503" s="116">
        <v>212</v>
      </c>
      <c r="P503" s="116">
        <v>214.7</v>
      </c>
      <c r="Q503" s="116">
        <v>212.6</v>
      </c>
      <c r="R503">
        <v>836675</v>
      </c>
    </row>
    <row r="504" spans="1:18" x14ac:dyDescent="0.25">
      <c r="A504" s="170">
        <v>42744</v>
      </c>
      <c r="B504" s="116">
        <v>214</v>
      </c>
      <c r="C504" s="116">
        <v>210.65</v>
      </c>
      <c r="D504" s="116">
        <v>210.4</v>
      </c>
      <c r="E504" s="116">
        <v>214</v>
      </c>
      <c r="F504" s="116">
        <v>210.65</v>
      </c>
      <c r="G504">
        <v>56167</v>
      </c>
      <c r="H504" s="116"/>
      <c r="I504" s="116"/>
      <c r="L504" s="170">
        <v>42744</v>
      </c>
      <c r="M504" s="116">
        <v>210.7</v>
      </c>
      <c r="N504" s="116">
        <v>214.6</v>
      </c>
      <c r="O504" s="116">
        <v>210.35</v>
      </c>
      <c r="P504" s="116">
        <v>214.6</v>
      </c>
      <c r="Q504" s="116">
        <v>210.7</v>
      </c>
      <c r="R504">
        <v>484422</v>
      </c>
    </row>
    <row r="505" spans="1:18" x14ac:dyDescent="0.25">
      <c r="A505" s="170">
        <v>42745</v>
      </c>
      <c r="B505" s="116">
        <v>213</v>
      </c>
      <c r="C505" s="116">
        <v>209.95</v>
      </c>
      <c r="D505" s="116">
        <v>208.5</v>
      </c>
      <c r="E505" s="116">
        <v>212</v>
      </c>
      <c r="F505" s="116">
        <v>209.95</v>
      </c>
      <c r="G505">
        <v>88306</v>
      </c>
      <c r="H505" s="116"/>
      <c r="I505" s="116"/>
      <c r="L505" s="170">
        <v>42745</v>
      </c>
      <c r="M505" s="116">
        <v>209.4</v>
      </c>
      <c r="N505" s="116">
        <v>212.65</v>
      </c>
      <c r="O505" s="116">
        <v>208.1</v>
      </c>
      <c r="P505" s="116">
        <v>212.65</v>
      </c>
      <c r="Q505" s="116">
        <v>209.4</v>
      </c>
      <c r="R505">
        <v>1300113</v>
      </c>
    </row>
    <row r="506" spans="1:18" x14ac:dyDescent="0.25">
      <c r="A506" s="170">
        <v>42746</v>
      </c>
      <c r="B506" s="116">
        <v>216.6</v>
      </c>
      <c r="C506" s="116">
        <v>215.85</v>
      </c>
      <c r="D506" s="116">
        <v>209.3</v>
      </c>
      <c r="E506" s="116">
        <v>209.3</v>
      </c>
      <c r="F506" s="116">
        <v>215.85</v>
      </c>
      <c r="G506">
        <v>197729</v>
      </c>
      <c r="H506" s="116"/>
      <c r="I506" s="116"/>
      <c r="L506" s="170">
        <v>42746</v>
      </c>
      <c r="M506" s="116">
        <v>215.85</v>
      </c>
      <c r="N506" s="116">
        <v>216.5</v>
      </c>
      <c r="O506" s="116">
        <v>210.35</v>
      </c>
      <c r="P506" s="116">
        <v>211.5</v>
      </c>
      <c r="Q506" s="116">
        <v>215.85</v>
      </c>
      <c r="R506">
        <v>2074058</v>
      </c>
    </row>
    <row r="507" spans="1:18" x14ac:dyDescent="0.25">
      <c r="A507" s="170">
        <v>42747</v>
      </c>
      <c r="B507" s="116">
        <v>217.4</v>
      </c>
      <c r="C507" s="116">
        <v>214.1</v>
      </c>
      <c r="D507" s="116">
        <v>213.5</v>
      </c>
      <c r="E507" s="116">
        <v>216.5</v>
      </c>
      <c r="F507" s="116">
        <v>214.1</v>
      </c>
      <c r="G507">
        <v>78315</v>
      </c>
      <c r="H507" s="116"/>
      <c r="I507" s="116"/>
      <c r="L507" s="170">
        <v>42747</v>
      </c>
      <c r="M507" s="116">
        <v>214.25</v>
      </c>
      <c r="N507" s="116">
        <v>217.9</v>
      </c>
      <c r="O507" s="116">
        <v>213.3</v>
      </c>
      <c r="P507" s="116">
        <v>217.1</v>
      </c>
      <c r="Q507" s="116">
        <v>214.25</v>
      </c>
      <c r="R507">
        <v>1073953</v>
      </c>
    </row>
    <row r="508" spans="1:18" x14ac:dyDescent="0.25">
      <c r="A508" s="170">
        <v>42748</v>
      </c>
      <c r="B508" s="116">
        <v>214.9</v>
      </c>
      <c r="C508" s="116">
        <v>213.5</v>
      </c>
      <c r="D508" s="116">
        <v>211.8</v>
      </c>
      <c r="E508" s="116">
        <v>213.9</v>
      </c>
      <c r="F508" s="116">
        <v>213.5</v>
      </c>
      <c r="G508">
        <v>89075</v>
      </c>
      <c r="H508" s="116"/>
      <c r="I508" s="116"/>
      <c r="L508" s="170">
        <v>42748</v>
      </c>
      <c r="M508" s="116">
        <v>213.25</v>
      </c>
      <c r="N508" s="116">
        <v>215</v>
      </c>
      <c r="O508" s="116">
        <v>211.7</v>
      </c>
      <c r="P508" s="116">
        <v>213.95</v>
      </c>
      <c r="Q508" s="116">
        <v>213.25</v>
      </c>
      <c r="R508">
        <v>498983</v>
      </c>
    </row>
    <row r="509" spans="1:18" x14ac:dyDescent="0.25">
      <c r="A509" s="170">
        <v>42751</v>
      </c>
      <c r="B509" s="116">
        <v>214.95</v>
      </c>
      <c r="C509" s="116">
        <v>213.1</v>
      </c>
      <c r="D509" s="116">
        <v>211.75</v>
      </c>
      <c r="E509" s="116">
        <v>213</v>
      </c>
      <c r="F509" s="116">
        <v>213.1</v>
      </c>
      <c r="G509">
        <v>76694</v>
      </c>
      <c r="H509" s="116"/>
      <c r="I509" s="116"/>
      <c r="L509" s="170">
        <v>42751</v>
      </c>
      <c r="M509" s="116">
        <v>212.5</v>
      </c>
      <c r="N509" s="116">
        <v>216</v>
      </c>
      <c r="O509" s="116">
        <v>211.6</v>
      </c>
      <c r="P509" s="116">
        <v>216</v>
      </c>
      <c r="Q509" s="116">
        <v>212.5</v>
      </c>
      <c r="R509">
        <v>851558</v>
      </c>
    </row>
    <row r="510" spans="1:18" x14ac:dyDescent="0.25">
      <c r="A510" s="170">
        <v>42752</v>
      </c>
      <c r="B510" s="116">
        <v>213.8</v>
      </c>
      <c r="C510" s="116">
        <v>212.95</v>
      </c>
      <c r="D510" s="116">
        <v>210.5</v>
      </c>
      <c r="E510" s="116">
        <v>212.75</v>
      </c>
      <c r="F510" s="116">
        <v>212.95</v>
      </c>
      <c r="G510">
        <v>91354</v>
      </c>
      <c r="H510" s="116"/>
      <c r="I510" s="116"/>
      <c r="L510" s="170">
        <v>42752</v>
      </c>
      <c r="M510" s="116">
        <v>212.9</v>
      </c>
      <c r="N510" s="116">
        <v>213.6</v>
      </c>
      <c r="O510" s="116">
        <v>210.55</v>
      </c>
      <c r="P510" s="116">
        <v>213.1</v>
      </c>
      <c r="Q510" s="116">
        <v>212.9</v>
      </c>
      <c r="R510">
        <v>1035770</v>
      </c>
    </row>
    <row r="511" spans="1:18" x14ac:dyDescent="0.25">
      <c r="A511" s="170">
        <v>42753</v>
      </c>
      <c r="B511" s="116">
        <v>219.1</v>
      </c>
      <c r="C511" s="116">
        <v>217.5</v>
      </c>
      <c r="D511" s="116">
        <v>213.25</v>
      </c>
      <c r="E511" s="116">
        <v>213.25</v>
      </c>
      <c r="F511" s="116">
        <v>217.5</v>
      </c>
      <c r="G511">
        <v>138128</v>
      </c>
      <c r="H511" s="116"/>
      <c r="I511" s="116"/>
      <c r="L511" s="170">
        <v>42753</v>
      </c>
      <c r="M511" s="116">
        <v>217.55</v>
      </c>
      <c r="N511" s="116">
        <v>219.5</v>
      </c>
      <c r="O511" s="116">
        <v>213.3</v>
      </c>
      <c r="P511" s="116">
        <v>213.6</v>
      </c>
      <c r="Q511" s="116">
        <v>217.55</v>
      </c>
      <c r="R511">
        <v>2843646</v>
      </c>
    </row>
    <row r="512" spans="1:18" x14ac:dyDescent="0.25">
      <c r="A512" s="170">
        <v>42754</v>
      </c>
      <c r="B512" s="116">
        <v>221.4</v>
      </c>
      <c r="C512" s="116">
        <v>220.45</v>
      </c>
      <c r="D512" s="116">
        <v>216.8</v>
      </c>
      <c r="E512" s="116">
        <v>220</v>
      </c>
      <c r="F512" s="116">
        <v>220.45</v>
      </c>
      <c r="G512">
        <v>144639</v>
      </c>
      <c r="H512" s="116"/>
      <c r="I512" s="116"/>
      <c r="L512" s="170">
        <v>42754</v>
      </c>
      <c r="M512" s="116">
        <v>220.35</v>
      </c>
      <c r="N512" s="116">
        <v>221.35</v>
      </c>
      <c r="O512" s="116">
        <v>216.75</v>
      </c>
      <c r="P512" s="116">
        <v>218.3</v>
      </c>
      <c r="Q512" s="116">
        <v>220.35</v>
      </c>
      <c r="R512">
        <v>2242082</v>
      </c>
    </row>
    <row r="513" spans="1:18" x14ac:dyDescent="0.25">
      <c r="A513" s="170">
        <v>42755</v>
      </c>
      <c r="B513" s="116">
        <v>220.65</v>
      </c>
      <c r="C513" s="116">
        <v>217.5</v>
      </c>
      <c r="D513" s="116">
        <v>216.05</v>
      </c>
      <c r="E513" s="116">
        <v>217.35</v>
      </c>
      <c r="F513" s="116">
        <v>217.5</v>
      </c>
      <c r="G513">
        <v>215210</v>
      </c>
      <c r="H513" s="116"/>
      <c r="I513" s="116"/>
      <c r="L513" s="170">
        <v>42755</v>
      </c>
      <c r="M513" s="116">
        <v>217.7</v>
      </c>
      <c r="N513" s="116">
        <v>220.65</v>
      </c>
      <c r="O513" s="116">
        <v>216</v>
      </c>
      <c r="P513" s="116">
        <v>218.1</v>
      </c>
      <c r="Q513" s="116">
        <v>217.7</v>
      </c>
      <c r="R513">
        <v>3285021</v>
      </c>
    </row>
    <row r="514" spans="1:18" x14ac:dyDescent="0.25">
      <c r="A514" s="170">
        <v>42758</v>
      </c>
      <c r="B514" s="116">
        <v>221.65</v>
      </c>
      <c r="C514" s="116">
        <v>220.1</v>
      </c>
      <c r="D514" s="116">
        <v>218.05</v>
      </c>
      <c r="E514" s="116">
        <v>218.5</v>
      </c>
      <c r="F514" s="116">
        <v>220.1</v>
      </c>
      <c r="G514">
        <v>97221</v>
      </c>
      <c r="H514" s="116"/>
      <c r="I514" s="116"/>
      <c r="L514" s="170">
        <v>42758</v>
      </c>
      <c r="M514" s="116">
        <v>220.1</v>
      </c>
      <c r="N514" s="116">
        <v>221.8</v>
      </c>
      <c r="O514" s="116">
        <v>217.05</v>
      </c>
      <c r="P514" s="116">
        <v>217.4</v>
      </c>
      <c r="Q514" s="116">
        <v>220.1</v>
      </c>
      <c r="R514">
        <v>1106903</v>
      </c>
    </row>
    <row r="515" spans="1:18" x14ac:dyDescent="0.25">
      <c r="A515" s="170">
        <v>42759</v>
      </c>
      <c r="B515" s="116">
        <v>223.95</v>
      </c>
      <c r="C515" s="116">
        <v>223.35</v>
      </c>
      <c r="D515" s="116">
        <v>220.75</v>
      </c>
      <c r="E515" s="116">
        <v>221.3</v>
      </c>
      <c r="F515" s="116">
        <v>223.35</v>
      </c>
      <c r="G515">
        <v>117420</v>
      </c>
      <c r="H515" s="116"/>
      <c r="I515" s="116"/>
      <c r="L515" s="170">
        <v>42759</v>
      </c>
      <c r="M515" s="116">
        <v>223.4</v>
      </c>
      <c r="N515" s="116">
        <v>224</v>
      </c>
      <c r="O515" s="116">
        <v>220.25</v>
      </c>
      <c r="P515" s="116">
        <v>221.8</v>
      </c>
      <c r="Q515" s="116">
        <v>223.4</v>
      </c>
      <c r="R515">
        <v>2036543</v>
      </c>
    </row>
    <row r="516" spans="1:18" x14ac:dyDescent="0.25">
      <c r="A516" s="170">
        <v>42760</v>
      </c>
      <c r="B516" s="116">
        <v>229.95</v>
      </c>
      <c r="C516" s="116">
        <v>229.1</v>
      </c>
      <c r="D516" s="116">
        <v>224</v>
      </c>
      <c r="E516" s="116">
        <v>224.9</v>
      </c>
      <c r="F516" s="116">
        <v>229.1</v>
      </c>
      <c r="G516">
        <v>100837</v>
      </c>
      <c r="H516" s="116"/>
      <c r="I516" s="116"/>
      <c r="L516" s="170">
        <v>42760</v>
      </c>
      <c r="M516" s="116">
        <v>229.15</v>
      </c>
      <c r="N516" s="116">
        <v>230</v>
      </c>
      <c r="O516" s="116">
        <v>223.9</v>
      </c>
      <c r="P516" s="116">
        <v>225.45</v>
      </c>
      <c r="Q516" s="116">
        <v>229.15</v>
      </c>
      <c r="R516">
        <v>2727761</v>
      </c>
    </row>
    <row r="517" spans="1:18" x14ac:dyDescent="0.25">
      <c r="A517" s="170">
        <v>42762</v>
      </c>
      <c r="B517" s="116">
        <v>233.5</v>
      </c>
      <c r="C517" s="116">
        <v>232.8</v>
      </c>
      <c r="D517" s="116">
        <v>229.1</v>
      </c>
      <c r="E517" s="116">
        <v>230</v>
      </c>
      <c r="F517" s="116">
        <v>232.8</v>
      </c>
      <c r="G517">
        <v>206635</v>
      </c>
      <c r="H517" s="116"/>
      <c r="I517" s="116"/>
      <c r="L517" s="170">
        <v>42762</v>
      </c>
      <c r="M517" s="116">
        <v>232.8</v>
      </c>
      <c r="N517" s="116">
        <v>233.5</v>
      </c>
      <c r="O517" s="116">
        <v>229.6</v>
      </c>
      <c r="P517" s="116">
        <v>229.7</v>
      </c>
      <c r="Q517" s="116">
        <v>232.8</v>
      </c>
      <c r="R517">
        <v>2174191</v>
      </c>
    </row>
    <row r="518" spans="1:18" x14ac:dyDescent="0.25">
      <c r="A518" s="170">
        <v>42765</v>
      </c>
      <c r="B518" s="116">
        <v>232.8</v>
      </c>
      <c r="C518" s="116">
        <v>229.35</v>
      </c>
      <c r="D518" s="116">
        <v>228</v>
      </c>
      <c r="E518" s="116">
        <v>232.8</v>
      </c>
      <c r="F518" s="116">
        <v>229.35</v>
      </c>
      <c r="G518">
        <v>67382</v>
      </c>
      <c r="H518" s="116"/>
      <c r="I518" s="116"/>
      <c r="L518" s="170">
        <v>42765</v>
      </c>
      <c r="M518" s="116">
        <v>229.45</v>
      </c>
      <c r="N518" s="116">
        <v>233.15</v>
      </c>
      <c r="O518" s="116">
        <v>228.1</v>
      </c>
      <c r="P518" s="116">
        <v>231.35</v>
      </c>
      <c r="Q518" s="116">
        <v>229.45</v>
      </c>
      <c r="R518">
        <v>874850</v>
      </c>
    </row>
    <row r="519" spans="1:18" x14ac:dyDescent="0.25">
      <c r="A519" s="170">
        <v>42766</v>
      </c>
      <c r="B519" s="116">
        <v>230.9</v>
      </c>
      <c r="C519" s="116">
        <v>229.1</v>
      </c>
      <c r="D519" s="116">
        <v>226.5</v>
      </c>
      <c r="E519" s="116">
        <v>229.35</v>
      </c>
      <c r="F519" s="116">
        <v>229.1</v>
      </c>
      <c r="G519">
        <v>98884</v>
      </c>
      <c r="H519" s="116"/>
      <c r="I519" s="116"/>
      <c r="L519" s="170">
        <v>42766</v>
      </c>
      <c r="M519" s="116">
        <v>229.05</v>
      </c>
      <c r="N519" s="116">
        <v>231.15</v>
      </c>
      <c r="O519" s="116">
        <v>226.15</v>
      </c>
      <c r="P519" s="116">
        <v>231.15</v>
      </c>
      <c r="Q519" s="116">
        <v>229.05</v>
      </c>
      <c r="R519">
        <v>1633654</v>
      </c>
    </row>
    <row r="520" spans="1:18" x14ac:dyDescent="0.25">
      <c r="A520" s="170">
        <v>42767</v>
      </c>
      <c r="B520" s="116">
        <v>236.8</v>
      </c>
      <c r="C520" s="116">
        <v>234.75</v>
      </c>
      <c r="D520" s="116">
        <v>229.5</v>
      </c>
      <c r="E520" s="116">
        <v>231.9</v>
      </c>
      <c r="F520" s="116">
        <v>234.75</v>
      </c>
      <c r="G520">
        <v>158194</v>
      </c>
      <c r="H520" s="116"/>
      <c r="I520" s="116"/>
      <c r="L520" s="170">
        <v>42767</v>
      </c>
      <c r="M520" s="116">
        <v>234.4</v>
      </c>
      <c r="N520" s="116">
        <v>236.5</v>
      </c>
      <c r="O520" s="116">
        <v>229</v>
      </c>
      <c r="P520" s="116">
        <v>229.35</v>
      </c>
      <c r="Q520" s="116">
        <v>234.4</v>
      </c>
      <c r="R520">
        <v>2228274</v>
      </c>
    </row>
    <row r="521" spans="1:18" x14ac:dyDescent="0.25">
      <c r="A521" s="170">
        <v>42768</v>
      </c>
      <c r="B521" s="116">
        <v>235.95</v>
      </c>
      <c r="C521" s="116">
        <v>232.25</v>
      </c>
      <c r="D521" s="116">
        <v>231</v>
      </c>
      <c r="E521" s="116">
        <v>234.75</v>
      </c>
      <c r="F521" s="116">
        <v>232.25</v>
      </c>
      <c r="G521">
        <v>91923</v>
      </c>
      <c r="H521" s="116"/>
      <c r="I521" s="116"/>
      <c r="L521" s="170">
        <v>42768</v>
      </c>
      <c r="M521" s="116">
        <v>231.6</v>
      </c>
      <c r="N521" s="116">
        <v>235.6</v>
      </c>
      <c r="O521" s="116">
        <v>230.5</v>
      </c>
      <c r="P521" s="116">
        <v>235</v>
      </c>
      <c r="Q521" s="116">
        <v>231.6</v>
      </c>
      <c r="R521">
        <v>1488349</v>
      </c>
    </row>
    <row r="522" spans="1:18" x14ac:dyDescent="0.25">
      <c r="A522" s="170">
        <v>42769</v>
      </c>
      <c r="B522" s="116">
        <v>232.25</v>
      </c>
      <c r="C522" s="116">
        <v>229.25</v>
      </c>
      <c r="D522" s="116">
        <v>228.3</v>
      </c>
      <c r="E522" s="116">
        <v>232.25</v>
      </c>
      <c r="F522" s="116">
        <v>229.25</v>
      </c>
      <c r="G522">
        <v>73233</v>
      </c>
      <c r="H522" s="116"/>
      <c r="I522" s="116"/>
      <c r="L522" s="170">
        <v>42769</v>
      </c>
      <c r="M522" s="116">
        <v>229.25</v>
      </c>
      <c r="N522" s="116">
        <v>231.95</v>
      </c>
      <c r="O522" s="116">
        <v>228.2</v>
      </c>
      <c r="P522" s="116">
        <v>231.5</v>
      </c>
      <c r="Q522" s="116">
        <v>229.25</v>
      </c>
      <c r="R522">
        <v>831310</v>
      </c>
    </row>
    <row r="523" spans="1:18" x14ac:dyDescent="0.25">
      <c r="A523" s="170">
        <v>42772</v>
      </c>
      <c r="B523" s="116">
        <v>242.65</v>
      </c>
      <c r="C523" s="116">
        <v>239.95</v>
      </c>
      <c r="D523" s="116">
        <v>228.6</v>
      </c>
      <c r="E523" s="116">
        <v>233.5</v>
      </c>
      <c r="F523" s="116">
        <v>239.95</v>
      </c>
      <c r="G523">
        <v>367936</v>
      </c>
      <c r="H523" s="116"/>
      <c r="I523" s="116"/>
      <c r="L523" s="170">
        <v>42772</v>
      </c>
      <c r="M523" s="116">
        <v>239.6</v>
      </c>
      <c r="N523" s="116">
        <v>242.8</v>
      </c>
      <c r="O523" s="116">
        <v>228.5</v>
      </c>
      <c r="P523" s="116">
        <v>230.3</v>
      </c>
      <c r="Q523" s="116">
        <v>239.6</v>
      </c>
      <c r="R523">
        <v>5393544</v>
      </c>
    </row>
    <row r="524" spans="1:18" x14ac:dyDescent="0.25">
      <c r="A524" s="170">
        <v>42773</v>
      </c>
      <c r="B524" s="116">
        <v>244</v>
      </c>
      <c r="C524" s="116">
        <v>234.8</v>
      </c>
      <c r="D524" s="116">
        <v>234</v>
      </c>
      <c r="E524" s="116">
        <v>244</v>
      </c>
      <c r="F524" s="116">
        <v>234.8</v>
      </c>
      <c r="G524">
        <v>164079</v>
      </c>
      <c r="H524" s="116"/>
      <c r="I524" s="116"/>
      <c r="L524" s="170">
        <v>42773</v>
      </c>
      <c r="M524" s="116">
        <v>234.85</v>
      </c>
      <c r="N524" s="116">
        <v>242</v>
      </c>
      <c r="O524" s="116">
        <v>234.15</v>
      </c>
      <c r="P524" s="116">
        <v>240.9</v>
      </c>
      <c r="Q524" s="116">
        <v>234.85</v>
      </c>
      <c r="R524">
        <v>1433247</v>
      </c>
    </row>
    <row r="525" spans="1:18" x14ac:dyDescent="0.25">
      <c r="A525" s="170">
        <v>42774</v>
      </c>
      <c r="B525" s="116">
        <v>242.15</v>
      </c>
      <c r="C525" s="116">
        <v>239.1</v>
      </c>
      <c r="D525" s="116">
        <v>235.4</v>
      </c>
      <c r="E525" s="116">
        <v>235.4</v>
      </c>
      <c r="F525" s="116">
        <v>239.1</v>
      </c>
      <c r="G525">
        <v>186173</v>
      </c>
      <c r="H525" s="116"/>
      <c r="I525" s="116"/>
      <c r="L525" s="170">
        <v>42774</v>
      </c>
      <c r="M525" s="116">
        <v>238.65</v>
      </c>
      <c r="N525" s="116">
        <v>242</v>
      </c>
      <c r="O525" s="116">
        <v>235</v>
      </c>
      <c r="P525" s="116">
        <v>235.1</v>
      </c>
      <c r="Q525" s="116">
        <v>238.65</v>
      </c>
      <c r="R525">
        <v>2588609</v>
      </c>
    </row>
    <row r="526" spans="1:18" x14ac:dyDescent="0.25">
      <c r="A526" s="170">
        <v>42775</v>
      </c>
      <c r="B526" s="116">
        <v>242.3</v>
      </c>
      <c r="C526" s="116">
        <v>238.4</v>
      </c>
      <c r="D526" s="116">
        <v>237</v>
      </c>
      <c r="E526" s="116">
        <v>239.85</v>
      </c>
      <c r="F526" s="116">
        <v>238.4</v>
      </c>
      <c r="G526">
        <v>65300</v>
      </c>
      <c r="H526" s="116"/>
      <c r="I526" s="116"/>
      <c r="L526" s="170">
        <v>42775</v>
      </c>
      <c r="M526" s="116">
        <v>238.4</v>
      </c>
      <c r="N526" s="116">
        <v>244.9</v>
      </c>
      <c r="O526" s="116">
        <v>237</v>
      </c>
      <c r="P526" s="116">
        <v>239.1</v>
      </c>
      <c r="Q526" s="116">
        <v>238.4</v>
      </c>
      <c r="R526">
        <v>1958912</v>
      </c>
    </row>
    <row r="527" spans="1:18" x14ac:dyDescent="0.25">
      <c r="A527" s="170">
        <v>42776</v>
      </c>
      <c r="B527" s="116">
        <v>239.8</v>
      </c>
      <c r="C527" s="116">
        <v>237.5</v>
      </c>
      <c r="D527" s="116">
        <v>235.7</v>
      </c>
      <c r="E527" s="116">
        <v>238.65</v>
      </c>
      <c r="F527" s="116">
        <v>237.5</v>
      </c>
      <c r="G527">
        <v>94197</v>
      </c>
      <c r="H527" s="116"/>
      <c r="I527" s="116"/>
      <c r="L527" s="170">
        <v>42776</v>
      </c>
      <c r="M527" s="116">
        <v>237.55</v>
      </c>
      <c r="N527" s="116">
        <v>241.3</v>
      </c>
      <c r="O527" s="116">
        <v>235.7</v>
      </c>
      <c r="P527" s="116">
        <v>238.4</v>
      </c>
      <c r="Q527" s="116">
        <v>237.55</v>
      </c>
      <c r="R527">
        <v>1136518</v>
      </c>
    </row>
    <row r="528" spans="1:18" x14ac:dyDescent="0.25">
      <c r="A528" s="170">
        <v>42779</v>
      </c>
      <c r="B528" s="116">
        <v>241.35</v>
      </c>
      <c r="C528" s="116">
        <v>238.95</v>
      </c>
      <c r="D528" s="116">
        <v>233.6</v>
      </c>
      <c r="E528" s="116">
        <v>237.85</v>
      </c>
      <c r="F528" s="116">
        <v>238.95</v>
      </c>
      <c r="G528">
        <v>131090</v>
      </c>
      <c r="H528" s="116"/>
      <c r="I528" s="116"/>
      <c r="L528" s="170">
        <v>42779</v>
      </c>
      <c r="M528" s="116">
        <v>239.2</v>
      </c>
      <c r="N528" s="116">
        <v>241.7</v>
      </c>
      <c r="O528" s="116">
        <v>233.5</v>
      </c>
      <c r="P528" s="116">
        <v>238</v>
      </c>
      <c r="Q528" s="116">
        <v>239.2</v>
      </c>
      <c r="R528">
        <v>1610639</v>
      </c>
    </row>
    <row r="529" spans="1:18" x14ac:dyDescent="0.25">
      <c r="A529" s="170">
        <v>42780</v>
      </c>
      <c r="B529" s="116">
        <v>240.35</v>
      </c>
      <c r="C529" s="116">
        <v>237.7</v>
      </c>
      <c r="D529" s="116">
        <v>234.6</v>
      </c>
      <c r="E529" s="116">
        <v>240.35</v>
      </c>
      <c r="F529" s="116">
        <v>237.7</v>
      </c>
      <c r="G529">
        <v>66266</v>
      </c>
      <c r="H529" s="116"/>
      <c r="I529" s="116"/>
      <c r="L529" s="170">
        <v>42780</v>
      </c>
      <c r="M529" s="116">
        <v>237.8</v>
      </c>
      <c r="N529" s="116">
        <v>239.7</v>
      </c>
      <c r="O529" s="116">
        <v>234.65</v>
      </c>
      <c r="P529" s="116">
        <v>239.15</v>
      </c>
      <c r="Q529" s="116">
        <v>237.8</v>
      </c>
      <c r="R529">
        <v>1109494</v>
      </c>
    </row>
    <row r="530" spans="1:18" x14ac:dyDescent="0.25">
      <c r="A530" s="170">
        <v>42781</v>
      </c>
      <c r="B530" s="116">
        <v>238.8</v>
      </c>
      <c r="C530" s="116">
        <v>235</v>
      </c>
      <c r="D530" s="116">
        <v>232.85</v>
      </c>
      <c r="E530" s="116">
        <v>236.6</v>
      </c>
      <c r="F530" s="116">
        <v>235</v>
      </c>
      <c r="G530">
        <v>64184</v>
      </c>
      <c r="H530" s="116"/>
      <c r="I530" s="116"/>
      <c r="L530" s="170">
        <v>42781</v>
      </c>
      <c r="M530" s="116">
        <v>235.05</v>
      </c>
      <c r="N530" s="116">
        <v>238.85</v>
      </c>
      <c r="O530" s="116">
        <v>232.8</v>
      </c>
      <c r="P530" s="116">
        <v>237.6</v>
      </c>
      <c r="Q530" s="116">
        <v>235.05</v>
      </c>
      <c r="R530">
        <v>1068726</v>
      </c>
    </row>
    <row r="531" spans="1:18" x14ac:dyDescent="0.25">
      <c r="A531" s="170">
        <v>42782</v>
      </c>
      <c r="B531" s="116">
        <v>236.7</v>
      </c>
      <c r="C531" s="116">
        <v>235.7</v>
      </c>
      <c r="D531" s="116">
        <v>232.7</v>
      </c>
      <c r="E531" s="116">
        <v>233.8</v>
      </c>
      <c r="F531" s="116">
        <v>235.7</v>
      </c>
      <c r="G531">
        <v>42561</v>
      </c>
      <c r="H531" s="116"/>
      <c r="I531" s="116"/>
      <c r="L531" s="170">
        <v>42782</v>
      </c>
      <c r="M531" s="116">
        <v>235.65</v>
      </c>
      <c r="N531" s="116">
        <v>236.85</v>
      </c>
      <c r="O531" s="116">
        <v>232.85</v>
      </c>
      <c r="P531" s="116">
        <v>232.85</v>
      </c>
      <c r="Q531" s="116">
        <v>235.65</v>
      </c>
      <c r="R531">
        <v>1253416</v>
      </c>
    </row>
    <row r="532" spans="1:18" x14ac:dyDescent="0.25">
      <c r="A532" s="170">
        <v>42783</v>
      </c>
      <c r="B532" s="116">
        <v>239.5</v>
      </c>
      <c r="C532" s="116">
        <v>238.1</v>
      </c>
      <c r="D532" s="116">
        <v>234.55</v>
      </c>
      <c r="E532" s="116">
        <v>238</v>
      </c>
      <c r="F532" s="116">
        <v>238.1</v>
      </c>
      <c r="G532">
        <v>86710</v>
      </c>
      <c r="H532" s="116"/>
      <c r="I532" s="116"/>
      <c r="L532" s="170">
        <v>42783</v>
      </c>
      <c r="M532" s="116">
        <v>238.2</v>
      </c>
      <c r="N532" s="116">
        <v>239.8</v>
      </c>
      <c r="O532" s="116">
        <v>234.4</v>
      </c>
      <c r="P532" s="116">
        <v>236.2</v>
      </c>
      <c r="Q532" s="116">
        <v>238.2</v>
      </c>
      <c r="R532">
        <v>994116</v>
      </c>
    </row>
    <row r="533" spans="1:18" x14ac:dyDescent="0.25">
      <c r="A533" s="170">
        <v>42786</v>
      </c>
      <c r="B533" s="116">
        <v>241.2</v>
      </c>
      <c r="C533" s="116">
        <v>239.4</v>
      </c>
      <c r="D533" s="116">
        <v>237.25</v>
      </c>
      <c r="E533" s="116">
        <v>238.1</v>
      </c>
      <c r="F533" s="116">
        <v>239.4</v>
      </c>
      <c r="G533">
        <v>156085</v>
      </c>
      <c r="H533" s="116"/>
      <c r="I533" s="116"/>
      <c r="L533" s="170">
        <v>42786</v>
      </c>
      <c r="M533" s="116">
        <v>239.4</v>
      </c>
      <c r="N533" s="116">
        <v>241.4</v>
      </c>
      <c r="O533" s="116">
        <v>237.25</v>
      </c>
      <c r="P533" s="116">
        <v>239</v>
      </c>
      <c r="Q533" s="116">
        <v>239.4</v>
      </c>
      <c r="R533">
        <v>1414109</v>
      </c>
    </row>
    <row r="534" spans="1:18" x14ac:dyDescent="0.25">
      <c r="A534" s="170">
        <v>42787</v>
      </c>
      <c r="B534" s="116">
        <v>239.35</v>
      </c>
      <c r="C534" s="116">
        <v>238.7</v>
      </c>
      <c r="D534" s="116">
        <v>232.25</v>
      </c>
      <c r="E534" s="116">
        <v>238.45</v>
      </c>
      <c r="F534" s="116">
        <v>238.7</v>
      </c>
      <c r="G534">
        <v>273403</v>
      </c>
      <c r="H534" s="116"/>
      <c r="I534" s="116"/>
      <c r="L534" s="170">
        <v>42787</v>
      </c>
      <c r="M534" s="116">
        <v>238.95</v>
      </c>
      <c r="N534" s="116">
        <v>239.6</v>
      </c>
      <c r="O534" s="116">
        <v>232.75</v>
      </c>
      <c r="P534" s="116">
        <v>238</v>
      </c>
      <c r="Q534" s="116">
        <v>238.95</v>
      </c>
      <c r="R534">
        <v>3463345</v>
      </c>
    </row>
    <row r="535" spans="1:18" x14ac:dyDescent="0.25">
      <c r="A535" s="170">
        <v>42788</v>
      </c>
      <c r="B535" s="116">
        <v>239</v>
      </c>
      <c r="C535" s="116">
        <v>233</v>
      </c>
      <c r="D535" s="116">
        <v>232.35</v>
      </c>
      <c r="E535" s="116">
        <v>238.3</v>
      </c>
      <c r="F535" s="116">
        <v>233</v>
      </c>
      <c r="G535">
        <v>146836</v>
      </c>
      <c r="H535" s="116"/>
      <c r="I535" s="116"/>
      <c r="L535" s="170">
        <v>42788</v>
      </c>
      <c r="M535" s="116">
        <v>233.15</v>
      </c>
      <c r="N535" s="116">
        <v>239</v>
      </c>
      <c r="O535" s="116">
        <v>232.8</v>
      </c>
      <c r="P535" s="116">
        <v>238.4</v>
      </c>
      <c r="Q535" s="116">
        <v>233.15</v>
      </c>
      <c r="R535">
        <v>1424660</v>
      </c>
    </row>
    <row r="536" spans="1:18" x14ac:dyDescent="0.25">
      <c r="A536" s="170">
        <v>42789</v>
      </c>
      <c r="B536" s="116">
        <v>234.6</v>
      </c>
      <c r="C536" s="116">
        <v>231.9</v>
      </c>
      <c r="D536" s="116">
        <v>231</v>
      </c>
      <c r="E536" s="116">
        <v>233.15</v>
      </c>
      <c r="F536" s="116">
        <v>231.9</v>
      </c>
      <c r="G536">
        <v>127012</v>
      </c>
      <c r="H536" s="116"/>
      <c r="I536" s="116"/>
      <c r="L536" s="170">
        <v>42789</v>
      </c>
      <c r="M536" s="116">
        <v>232</v>
      </c>
      <c r="N536" s="116">
        <v>234.45</v>
      </c>
      <c r="O536" s="116">
        <v>231.05</v>
      </c>
      <c r="P536" s="116">
        <v>233.55</v>
      </c>
      <c r="Q536" s="116">
        <v>232</v>
      </c>
      <c r="R536">
        <v>2648601</v>
      </c>
    </row>
    <row r="537" spans="1:18" x14ac:dyDescent="0.25">
      <c r="A537" s="170">
        <v>42793</v>
      </c>
      <c r="B537" s="116">
        <v>232</v>
      </c>
      <c r="C537" s="116">
        <v>229.8</v>
      </c>
      <c r="D537" s="116">
        <v>226.55</v>
      </c>
      <c r="E537" s="116">
        <v>232</v>
      </c>
      <c r="F537" s="116">
        <v>229.8</v>
      </c>
      <c r="G537">
        <v>96168</v>
      </c>
      <c r="H537" s="116"/>
      <c r="I537" s="116"/>
      <c r="L537" s="170">
        <v>42793</v>
      </c>
      <c r="M537" s="116">
        <v>229.9</v>
      </c>
      <c r="N537" s="116">
        <v>232</v>
      </c>
      <c r="O537" s="116">
        <v>226.6</v>
      </c>
      <c r="P537" s="116">
        <v>231.8</v>
      </c>
      <c r="Q537" s="116">
        <v>229.9</v>
      </c>
      <c r="R537">
        <v>1944289</v>
      </c>
    </row>
    <row r="538" spans="1:18" x14ac:dyDescent="0.25">
      <c r="A538" s="170">
        <v>42794</v>
      </c>
      <c r="B538" s="116">
        <v>231.9</v>
      </c>
      <c r="C538" s="116">
        <v>228.8</v>
      </c>
      <c r="D538" s="116">
        <v>226.4</v>
      </c>
      <c r="E538" s="116">
        <v>231.9</v>
      </c>
      <c r="F538" s="116">
        <v>228.8</v>
      </c>
      <c r="G538">
        <v>160010</v>
      </c>
      <c r="H538" s="116"/>
      <c r="I538" s="116"/>
      <c r="L538" s="170">
        <v>42794</v>
      </c>
      <c r="M538" s="116">
        <v>229.35</v>
      </c>
      <c r="N538" s="116">
        <v>230.65</v>
      </c>
      <c r="O538" s="116">
        <v>226.25</v>
      </c>
      <c r="P538" s="116">
        <v>230.65</v>
      </c>
      <c r="Q538" s="116">
        <v>229.35</v>
      </c>
      <c r="R538">
        <v>3643448</v>
      </c>
    </row>
    <row r="539" spans="1:18" x14ac:dyDescent="0.25">
      <c r="A539" s="170">
        <v>42795</v>
      </c>
      <c r="B539" s="116">
        <v>231</v>
      </c>
      <c r="C539" s="116">
        <v>228.9</v>
      </c>
      <c r="D539" s="116">
        <v>228.1</v>
      </c>
      <c r="E539" s="116">
        <v>228.75</v>
      </c>
      <c r="F539" s="116">
        <v>228.9</v>
      </c>
      <c r="G539">
        <v>46421</v>
      </c>
      <c r="H539" s="116"/>
      <c r="I539" s="116"/>
      <c r="L539" s="170">
        <v>42795</v>
      </c>
      <c r="M539" s="116">
        <v>228.85</v>
      </c>
      <c r="N539" s="116">
        <v>230.9</v>
      </c>
      <c r="O539" s="116">
        <v>228</v>
      </c>
      <c r="P539" s="116">
        <v>228.8</v>
      </c>
      <c r="Q539" s="116">
        <v>228.85</v>
      </c>
      <c r="R539">
        <v>1500099</v>
      </c>
    </row>
    <row r="540" spans="1:18" x14ac:dyDescent="0.25">
      <c r="A540" s="170">
        <v>42796</v>
      </c>
      <c r="B540" s="116">
        <v>233.55</v>
      </c>
      <c r="C540" s="116">
        <v>228.55</v>
      </c>
      <c r="D540" s="116">
        <v>227.9</v>
      </c>
      <c r="E540" s="116">
        <v>229.95</v>
      </c>
      <c r="F540" s="116">
        <v>228.55</v>
      </c>
      <c r="G540">
        <v>103305</v>
      </c>
      <c r="H540" s="116"/>
      <c r="I540" s="116"/>
      <c r="L540" s="170">
        <v>42796</v>
      </c>
      <c r="M540" s="116">
        <v>228.6</v>
      </c>
      <c r="N540" s="116">
        <v>233.5</v>
      </c>
      <c r="O540" s="116">
        <v>227.55</v>
      </c>
      <c r="P540" s="116">
        <v>229.25</v>
      </c>
      <c r="Q540" s="116">
        <v>228.6</v>
      </c>
      <c r="R540">
        <v>2028929</v>
      </c>
    </row>
    <row r="541" spans="1:18" x14ac:dyDescent="0.25">
      <c r="A541" s="170">
        <v>42797</v>
      </c>
      <c r="B541" s="116">
        <v>230.1</v>
      </c>
      <c r="C541" s="116">
        <v>225.55</v>
      </c>
      <c r="D541" s="116">
        <v>224.55</v>
      </c>
      <c r="E541" s="116">
        <v>228.3</v>
      </c>
      <c r="F541" s="116">
        <v>225.55</v>
      </c>
      <c r="G541">
        <v>163096</v>
      </c>
      <c r="H541" s="116"/>
      <c r="I541" s="116"/>
      <c r="L541" s="170">
        <v>42797</v>
      </c>
      <c r="M541" s="116">
        <v>225.4</v>
      </c>
      <c r="N541" s="116">
        <v>230.2</v>
      </c>
      <c r="O541" s="116">
        <v>224.5</v>
      </c>
      <c r="P541" s="116">
        <v>228</v>
      </c>
      <c r="Q541" s="116">
        <v>225.4</v>
      </c>
      <c r="R541">
        <v>1834150</v>
      </c>
    </row>
    <row r="542" spans="1:18" x14ac:dyDescent="0.25">
      <c r="A542" s="170">
        <v>42800</v>
      </c>
      <c r="B542" s="116">
        <v>227.2</v>
      </c>
      <c r="C542" s="116">
        <v>225.35</v>
      </c>
      <c r="D542" s="116">
        <v>224.5</v>
      </c>
      <c r="E542" s="116">
        <v>225.55</v>
      </c>
      <c r="F542" s="116">
        <v>225.35</v>
      </c>
      <c r="G542">
        <v>75588</v>
      </c>
      <c r="H542" s="116"/>
      <c r="I542" s="116"/>
      <c r="L542" s="170">
        <v>42800</v>
      </c>
      <c r="M542" s="116">
        <v>224.95</v>
      </c>
      <c r="N542" s="116">
        <v>227.25</v>
      </c>
      <c r="O542" s="116">
        <v>224.4</v>
      </c>
      <c r="P542" s="116">
        <v>225</v>
      </c>
      <c r="Q542" s="116">
        <v>224.95</v>
      </c>
      <c r="R542">
        <v>1354047</v>
      </c>
    </row>
    <row r="543" spans="1:18" x14ac:dyDescent="0.25">
      <c r="A543" s="170">
        <v>42801</v>
      </c>
      <c r="B543" s="116">
        <v>226.5</v>
      </c>
      <c r="C543" s="116">
        <v>225.1</v>
      </c>
      <c r="D543" s="116">
        <v>223.65</v>
      </c>
      <c r="E543" s="116">
        <v>226.5</v>
      </c>
      <c r="F543" s="116">
        <v>225.1</v>
      </c>
      <c r="G543">
        <v>67537</v>
      </c>
      <c r="H543" s="116"/>
      <c r="I543" s="116"/>
      <c r="L543" s="170">
        <v>42801</v>
      </c>
      <c r="M543" s="116">
        <v>224.8</v>
      </c>
      <c r="N543" s="116">
        <v>225.9</v>
      </c>
      <c r="O543" s="116">
        <v>223.7</v>
      </c>
      <c r="P543" s="116">
        <v>224.95</v>
      </c>
      <c r="Q543" s="116">
        <v>224.8</v>
      </c>
      <c r="R543">
        <v>1237467</v>
      </c>
    </row>
    <row r="544" spans="1:18" x14ac:dyDescent="0.25">
      <c r="A544" s="170">
        <v>42802</v>
      </c>
      <c r="B544" s="116">
        <v>227.6</v>
      </c>
      <c r="C544" s="116">
        <v>225.6</v>
      </c>
      <c r="D544" s="116">
        <v>223.3</v>
      </c>
      <c r="E544" s="116">
        <v>224</v>
      </c>
      <c r="F544" s="116">
        <v>225.6</v>
      </c>
      <c r="G544">
        <v>71818</v>
      </c>
      <c r="H544" s="116"/>
      <c r="I544" s="116"/>
      <c r="L544" s="170">
        <v>42802</v>
      </c>
      <c r="M544" s="116">
        <v>225.25</v>
      </c>
      <c r="N544" s="116">
        <v>227.7</v>
      </c>
      <c r="O544" s="116">
        <v>222.9</v>
      </c>
      <c r="P544" s="116">
        <v>225</v>
      </c>
      <c r="Q544" s="116">
        <v>225.25</v>
      </c>
      <c r="R544">
        <v>1509986</v>
      </c>
    </row>
    <row r="545" spans="1:18" x14ac:dyDescent="0.25">
      <c r="A545" s="170">
        <v>42803</v>
      </c>
      <c r="B545" s="116">
        <v>227.9</v>
      </c>
      <c r="C545" s="116">
        <v>226.75</v>
      </c>
      <c r="D545" s="116">
        <v>223.25</v>
      </c>
      <c r="E545" s="116">
        <v>224.75</v>
      </c>
      <c r="F545" s="116">
        <v>226.75</v>
      </c>
      <c r="G545">
        <v>107106</v>
      </c>
      <c r="H545" s="116"/>
      <c r="I545" s="116"/>
      <c r="L545" s="170">
        <v>42803</v>
      </c>
      <c r="M545" s="116">
        <v>227.15</v>
      </c>
      <c r="N545" s="116">
        <v>227.7</v>
      </c>
      <c r="O545" s="116">
        <v>223.1</v>
      </c>
      <c r="P545" s="116">
        <v>223.9</v>
      </c>
      <c r="Q545" s="116">
        <v>227.15</v>
      </c>
      <c r="R545">
        <v>1284718</v>
      </c>
    </row>
    <row r="546" spans="1:18" x14ac:dyDescent="0.25">
      <c r="A546" s="170">
        <v>42804</v>
      </c>
      <c r="B546" s="116">
        <v>230</v>
      </c>
      <c r="C546" s="116">
        <v>228.9</v>
      </c>
      <c r="D546" s="116">
        <v>227.6</v>
      </c>
      <c r="E546" s="116">
        <v>227.95</v>
      </c>
      <c r="F546" s="116">
        <v>228.9</v>
      </c>
      <c r="G546">
        <v>103687</v>
      </c>
      <c r="H546" s="116"/>
      <c r="I546" s="116"/>
      <c r="L546" s="170">
        <v>42804</v>
      </c>
      <c r="M546" s="116">
        <v>229.05</v>
      </c>
      <c r="N546" s="116">
        <v>230</v>
      </c>
      <c r="O546" s="116">
        <v>227</v>
      </c>
      <c r="P546" s="116">
        <v>227.5</v>
      </c>
      <c r="Q546" s="116">
        <v>229.05</v>
      </c>
      <c r="R546">
        <v>1069153</v>
      </c>
    </row>
    <row r="547" spans="1:18" x14ac:dyDescent="0.25">
      <c r="A547" s="170">
        <v>42808</v>
      </c>
      <c r="B547" s="116">
        <v>235.4</v>
      </c>
      <c r="C547" s="116">
        <v>233.5</v>
      </c>
      <c r="D547" s="116">
        <v>231.1</v>
      </c>
      <c r="E547" s="116">
        <v>234.9</v>
      </c>
      <c r="F547" s="116">
        <v>233.5</v>
      </c>
      <c r="G547">
        <v>112496</v>
      </c>
      <c r="H547" s="116"/>
      <c r="I547" s="116"/>
      <c r="L547" s="170">
        <v>42808</v>
      </c>
      <c r="M547" s="116">
        <v>233.7</v>
      </c>
      <c r="N547" s="116">
        <v>234.9</v>
      </c>
      <c r="O547" s="116">
        <v>231</v>
      </c>
      <c r="P547" s="116">
        <v>234</v>
      </c>
      <c r="Q547" s="116">
        <v>233.7</v>
      </c>
      <c r="R547">
        <v>1695627</v>
      </c>
    </row>
    <row r="548" spans="1:18" x14ac:dyDescent="0.25">
      <c r="A548" s="170">
        <v>42809</v>
      </c>
      <c r="B548" s="116">
        <v>235.3</v>
      </c>
      <c r="C548" s="116">
        <v>233.25</v>
      </c>
      <c r="D548" s="116">
        <v>232</v>
      </c>
      <c r="E548" s="116">
        <v>233.8</v>
      </c>
      <c r="F548" s="116">
        <v>233.25</v>
      </c>
      <c r="G548">
        <v>298684</v>
      </c>
      <c r="H548" s="116"/>
      <c r="I548" s="116"/>
      <c r="L548" s="170">
        <v>42809</v>
      </c>
      <c r="M548" s="116">
        <v>233</v>
      </c>
      <c r="N548" s="116">
        <v>235.35</v>
      </c>
      <c r="O548" s="116">
        <v>232</v>
      </c>
      <c r="P548" s="116">
        <v>233.8</v>
      </c>
      <c r="Q548" s="116">
        <v>233</v>
      </c>
      <c r="R548">
        <v>1878148</v>
      </c>
    </row>
    <row r="549" spans="1:18" x14ac:dyDescent="0.25">
      <c r="A549" s="170">
        <v>42810</v>
      </c>
      <c r="B549" s="116">
        <v>235.7</v>
      </c>
      <c r="C549" s="116">
        <v>235.25</v>
      </c>
      <c r="D549" s="116">
        <v>231.95</v>
      </c>
      <c r="E549" s="116">
        <v>231.95</v>
      </c>
      <c r="F549" s="116">
        <v>235.25</v>
      </c>
      <c r="G549">
        <v>70813</v>
      </c>
      <c r="H549" s="116"/>
      <c r="I549" s="116"/>
      <c r="L549" s="170">
        <v>42810</v>
      </c>
      <c r="M549" s="116">
        <v>235.4</v>
      </c>
      <c r="N549" s="116">
        <v>236.2</v>
      </c>
      <c r="O549" s="116">
        <v>232.75</v>
      </c>
      <c r="P549" s="116">
        <v>233.8</v>
      </c>
      <c r="Q549" s="116">
        <v>235.4</v>
      </c>
      <c r="R549">
        <v>1385524</v>
      </c>
    </row>
    <row r="550" spans="1:18" x14ac:dyDescent="0.25">
      <c r="A550" s="170">
        <v>42811</v>
      </c>
      <c r="B550" s="116">
        <v>236.35</v>
      </c>
      <c r="C550" s="116">
        <v>234.15</v>
      </c>
      <c r="D550" s="116">
        <v>232.2</v>
      </c>
      <c r="E550" s="116">
        <v>236</v>
      </c>
      <c r="F550" s="116">
        <v>234.15</v>
      </c>
      <c r="G550">
        <v>91727</v>
      </c>
      <c r="H550" s="116"/>
      <c r="I550" s="116"/>
      <c r="L550" s="170">
        <v>42811</v>
      </c>
      <c r="M550" s="116">
        <v>234.1</v>
      </c>
      <c r="N550" s="116">
        <v>236.4</v>
      </c>
      <c r="O550" s="116">
        <v>231.8</v>
      </c>
      <c r="P550" s="116">
        <v>236.25</v>
      </c>
      <c r="Q550" s="116">
        <v>234.1</v>
      </c>
      <c r="R550">
        <v>2156569</v>
      </c>
    </row>
    <row r="551" spans="1:18" x14ac:dyDescent="0.25">
      <c r="A551" s="170">
        <v>42814</v>
      </c>
      <c r="B551" s="116">
        <v>235.9</v>
      </c>
      <c r="C551" s="116">
        <v>234.25</v>
      </c>
      <c r="D551" s="116">
        <v>232</v>
      </c>
      <c r="E551" s="116">
        <v>235.9</v>
      </c>
      <c r="F551" s="116">
        <v>234.25</v>
      </c>
      <c r="G551">
        <v>92750</v>
      </c>
      <c r="H551" s="116"/>
      <c r="I551" s="116"/>
      <c r="L551" s="170">
        <v>42814</v>
      </c>
      <c r="M551" s="116">
        <v>234.2</v>
      </c>
      <c r="N551" s="116">
        <v>235.15</v>
      </c>
      <c r="O551" s="116">
        <v>232.3</v>
      </c>
      <c r="P551" s="116">
        <v>234.2</v>
      </c>
      <c r="Q551" s="116">
        <v>234.2</v>
      </c>
      <c r="R551">
        <v>938903</v>
      </c>
    </row>
    <row r="552" spans="1:18" x14ac:dyDescent="0.25">
      <c r="A552" s="170">
        <v>42815</v>
      </c>
      <c r="B552" s="116">
        <v>238.15</v>
      </c>
      <c r="C552" s="116">
        <v>237.2</v>
      </c>
      <c r="D552" s="116">
        <v>233.55</v>
      </c>
      <c r="E552" s="116">
        <v>235</v>
      </c>
      <c r="F552" s="116">
        <v>237.2</v>
      </c>
      <c r="G552">
        <v>125153</v>
      </c>
      <c r="H552" s="116"/>
      <c r="I552" s="116"/>
      <c r="L552" s="170">
        <v>42815</v>
      </c>
      <c r="M552" s="116">
        <v>237.15</v>
      </c>
      <c r="N552" s="116">
        <v>238.35</v>
      </c>
      <c r="O552" s="116">
        <v>234.2</v>
      </c>
      <c r="P552" s="116">
        <v>234.2</v>
      </c>
      <c r="Q552" s="116">
        <v>237.15</v>
      </c>
      <c r="R552">
        <v>1673926</v>
      </c>
    </row>
    <row r="553" spans="1:18" x14ac:dyDescent="0.25">
      <c r="A553" s="170">
        <v>42816</v>
      </c>
      <c r="B553" s="116">
        <v>235.9</v>
      </c>
      <c r="C553" s="116">
        <v>233.15</v>
      </c>
      <c r="D553" s="116">
        <v>231.85</v>
      </c>
      <c r="E553" s="116">
        <v>235.65</v>
      </c>
      <c r="F553" s="116">
        <v>233.15</v>
      </c>
      <c r="G553">
        <v>64574</v>
      </c>
      <c r="H553" s="116"/>
      <c r="I553" s="116"/>
      <c r="L553" s="170">
        <v>42816</v>
      </c>
      <c r="M553" s="116">
        <v>233</v>
      </c>
      <c r="N553" s="116">
        <v>236</v>
      </c>
      <c r="O553" s="116">
        <v>231.55</v>
      </c>
      <c r="P553" s="116">
        <v>236</v>
      </c>
      <c r="Q553" s="116">
        <v>233</v>
      </c>
      <c r="R553">
        <v>1517447</v>
      </c>
    </row>
    <row r="554" spans="1:18" x14ac:dyDescent="0.25">
      <c r="A554" s="170">
        <v>42817</v>
      </c>
      <c r="B554" s="116">
        <v>234.8</v>
      </c>
      <c r="C554" s="116">
        <v>232.9</v>
      </c>
      <c r="D554" s="116">
        <v>231.1</v>
      </c>
      <c r="E554" s="116">
        <v>233.95</v>
      </c>
      <c r="F554" s="116">
        <v>232.9</v>
      </c>
      <c r="G554">
        <v>59713</v>
      </c>
      <c r="H554" s="116"/>
      <c r="I554" s="116"/>
      <c r="L554" s="170">
        <v>42817</v>
      </c>
      <c r="M554" s="116">
        <v>232.65</v>
      </c>
      <c r="N554" s="116">
        <v>234.9</v>
      </c>
      <c r="O554" s="116">
        <v>230.9</v>
      </c>
      <c r="P554" s="116">
        <v>233.4</v>
      </c>
      <c r="Q554" s="116">
        <v>232.65</v>
      </c>
      <c r="R554">
        <v>1252511</v>
      </c>
    </row>
    <row r="555" spans="1:18" x14ac:dyDescent="0.25">
      <c r="A555" s="170">
        <v>42818</v>
      </c>
      <c r="B555" s="116">
        <v>234.25</v>
      </c>
      <c r="C555" s="116">
        <v>230.35</v>
      </c>
      <c r="D555" s="116">
        <v>229.7</v>
      </c>
      <c r="E555" s="116">
        <v>233</v>
      </c>
      <c r="F555" s="116">
        <v>230.35</v>
      </c>
      <c r="G555">
        <v>56742</v>
      </c>
      <c r="H555" s="116"/>
      <c r="I555" s="116"/>
      <c r="L555" s="170">
        <v>42818</v>
      </c>
      <c r="M555" s="116">
        <v>229.9</v>
      </c>
      <c r="N555" s="116">
        <v>234.45</v>
      </c>
      <c r="O555" s="116">
        <v>228.85</v>
      </c>
      <c r="P555" s="116">
        <v>233.1</v>
      </c>
      <c r="Q555" s="116">
        <v>229.9</v>
      </c>
      <c r="R555">
        <v>1614604</v>
      </c>
    </row>
    <row r="556" spans="1:18" x14ac:dyDescent="0.25">
      <c r="A556" s="170">
        <v>42821</v>
      </c>
      <c r="B556" s="116">
        <v>230.15</v>
      </c>
      <c r="C556" s="116">
        <v>227.85</v>
      </c>
      <c r="D556" s="116">
        <v>227.25</v>
      </c>
      <c r="E556" s="116">
        <v>230.15</v>
      </c>
      <c r="F556" s="116">
        <v>227.85</v>
      </c>
      <c r="G556">
        <v>67445</v>
      </c>
      <c r="H556" s="116"/>
      <c r="I556" s="116"/>
      <c r="L556" s="170">
        <v>42821</v>
      </c>
      <c r="M556" s="116">
        <v>227.6</v>
      </c>
      <c r="N556" s="116">
        <v>230</v>
      </c>
      <c r="O556" s="116">
        <v>226.95</v>
      </c>
      <c r="P556" s="116">
        <v>229.8</v>
      </c>
      <c r="Q556" s="116">
        <v>227.6</v>
      </c>
      <c r="R556">
        <v>1781771</v>
      </c>
    </row>
    <row r="557" spans="1:18" x14ac:dyDescent="0.25">
      <c r="A557" s="170">
        <v>42822</v>
      </c>
      <c r="B557" s="116">
        <v>230.15</v>
      </c>
      <c r="C557" s="116">
        <v>228.55</v>
      </c>
      <c r="D557" s="116">
        <v>227.45</v>
      </c>
      <c r="E557" s="116">
        <v>228.3</v>
      </c>
      <c r="F557" s="116">
        <v>228.55</v>
      </c>
      <c r="G557">
        <v>79572</v>
      </c>
      <c r="H557" s="116"/>
      <c r="I557" s="116"/>
      <c r="L557" s="170">
        <v>42822</v>
      </c>
      <c r="M557" s="116">
        <v>228.35</v>
      </c>
      <c r="N557" s="116">
        <v>230.25</v>
      </c>
      <c r="O557" s="116">
        <v>227.35</v>
      </c>
      <c r="P557" s="116">
        <v>227.95</v>
      </c>
      <c r="Q557" s="116">
        <v>228.35</v>
      </c>
      <c r="R557">
        <v>1396538</v>
      </c>
    </row>
    <row r="558" spans="1:18" x14ac:dyDescent="0.25">
      <c r="A558" s="170">
        <v>42823</v>
      </c>
      <c r="B558" s="116">
        <v>231.7</v>
      </c>
      <c r="C558" s="116">
        <v>230.65</v>
      </c>
      <c r="D558" s="116">
        <v>228.8</v>
      </c>
      <c r="E558" s="116">
        <v>230</v>
      </c>
      <c r="F558" s="116">
        <v>230.65</v>
      </c>
      <c r="G558">
        <v>139777</v>
      </c>
      <c r="H558" s="116"/>
      <c r="I558" s="116"/>
      <c r="L558" s="170">
        <v>42823</v>
      </c>
      <c r="M558" s="116">
        <v>230.65</v>
      </c>
      <c r="N558" s="116">
        <v>231.8</v>
      </c>
      <c r="O558" s="116">
        <v>228.5</v>
      </c>
      <c r="P558" s="116">
        <v>228.6</v>
      </c>
      <c r="Q558" s="116">
        <v>230.65</v>
      </c>
      <c r="R558">
        <v>1942783</v>
      </c>
    </row>
    <row r="559" spans="1:18" x14ac:dyDescent="0.25">
      <c r="A559" s="170">
        <v>42824</v>
      </c>
      <c r="B559" s="116">
        <v>235.5</v>
      </c>
      <c r="C559" s="116">
        <v>233.7</v>
      </c>
      <c r="D559" s="116">
        <v>228.85</v>
      </c>
      <c r="E559" s="116">
        <v>230.75</v>
      </c>
      <c r="F559" s="116">
        <v>233.7</v>
      </c>
      <c r="G559">
        <v>137612</v>
      </c>
      <c r="H559" s="116"/>
      <c r="I559" s="116"/>
      <c r="L559" s="170">
        <v>42824</v>
      </c>
      <c r="M559" s="116">
        <v>234</v>
      </c>
      <c r="N559" s="116">
        <v>236</v>
      </c>
      <c r="O559" s="116">
        <v>228.75</v>
      </c>
      <c r="P559" s="116">
        <v>230.65</v>
      </c>
      <c r="Q559" s="116">
        <v>234</v>
      </c>
      <c r="R559">
        <v>3539094</v>
      </c>
    </row>
    <row r="560" spans="1:18" x14ac:dyDescent="0.25">
      <c r="A560" s="170">
        <v>42825</v>
      </c>
      <c r="B560" s="116">
        <v>239</v>
      </c>
      <c r="C560" s="116">
        <v>237.4</v>
      </c>
      <c r="D560" s="116">
        <v>233.65</v>
      </c>
      <c r="E560" s="116">
        <v>235</v>
      </c>
      <c r="F560" s="116">
        <v>237.4</v>
      </c>
      <c r="G560">
        <v>550893</v>
      </c>
      <c r="H560" s="116"/>
      <c r="I560" s="116"/>
      <c r="L560" s="170">
        <v>42825</v>
      </c>
      <c r="M560" s="116">
        <v>236.65</v>
      </c>
      <c r="N560" s="116">
        <v>237.45</v>
      </c>
      <c r="O560" s="116">
        <v>232.55</v>
      </c>
      <c r="P560" s="116">
        <v>234</v>
      </c>
      <c r="Q560" s="116">
        <v>236.65</v>
      </c>
      <c r="R560">
        <v>2172143</v>
      </c>
    </row>
    <row r="561" spans="1:18" x14ac:dyDescent="0.25">
      <c r="A561" s="170">
        <v>42828</v>
      </c>
      <c r="B561" s="116">
        <v>241.65</v>
      </c>
      <c r="C561" s="116">
        <v>236.05</v>
      </c>
      <c r="D561" s="116">
        <v>235</v>
      </c>
      <c r="E561" s="116">
        <v>239.6</v>
      </c>
      <c r="F561" s="116">
        <v>236.05</v>
      </c>
      <c r="G561">
        <v>264764</v>
      </c>
      <c r="H561" s="116"/>
      <c r="I561" s="116"/>
      <c r="L561" s="170">
        <v>42828</v>
      </c>
      <c r="M561" s="116">
        <v>237.55</v>
      </c>
      <c r="N561" s="116">
        <v>242</v>
      </c>
      <c r="O561" s="116">
        <v>235</v>
      </c>
      <c r="P561" s="116">
        <v>239.15</v>
      </c>
      <c r="Q561" s="116">
        <v>237.55</v>
      </c>
      <c r="R561">
        <v>2178311</v>
      </c>
    </row>
    <row r="562" spans="1:18" x14ac:dyDescent="0.25">
      <c r="A562" s="170">
        <v>42830</v>
      </c>
      <c r="B562" s="116">
        <v>239.8</v>
      </c>
      <c r="C562" s="116">
        <v>238.65</v>
      </c>
      <c r="D562" s="116">
        <v>236.7</v>
      </c>
      <c r="E562" s="116">
        <v>237.95</v>
      </c>
      <c r="F562" s="116">
        <v>238.65</v>
      </c>
      <c r="G562">
        <v>121032</v>
      </c>
      <c r="H562" s="116"/>
      <c r="I562" s="116"/>
      <c r="L562" s="170">
        <v>42830</v>
      </c>
      <c r="M562" s="116">
        <v>238.75</v>
      </c>
      <c r="N562" s="116">
        <v>240.15</v>
      </c>
      <c r="O562" s="116">
        <v>236.55</v>
      </c>
      <c r="P562" s="116">
        <v>238.95</v>
      </c>
      <c r="Q562" s="116">
        <v>238.75</v>
      </c>
      <c r="R562">
        <v>1693179</v>
      </c>
    </row>
    <row r="563" spans="1:18" x14ac:dyDescent="0.25">
      <c r="A563" s="170">
        <v>42831</v>
      </c>
      <c r="B563" s="116">
        <v>244.95</v>
      </c>
      <c r="C563" s="116">
        <v>242.95</v>
      </c>
      <c r="D563" s="116">
        <v>236.5</v>
      </c>
      <c r="E563" s="116">
        <v>238</v>
      </c>
      <c r="F563" s="116">
        <v>242.95</v>
      </c>
      <c r="G563">
        <v>139900</v>
      </c>
      <c r="H563" s="116"/>
      <c r="I563" s="116"/>
      <c r="L563" s="170">
        <v>42831</v>
      </c>
      <c r="M563" s="116">
        <v>243.35</v>
      </c>
      <c r="N563" s="116">
        <v>245.3</v>
      </c>
      <c r="O563" s="116">
        <v>236.25</v>
      </c>
      <c r="P563" s="116">
        <v>239.25</v>
      </c>
      <c r="Q563" s="116">
        <v>243.35</v>
      </c>
      <c r="R563">
        <v>2881107</v>
      </c>
    </row>
    <row r="564" spans="1:18" x14ac:dyDescent="0.25">
      <c r="A564" s="170">
        <v>42832</v>
      </c>
      <c r="B564" s="116">
        <v>246.6</v>
      </c>
      <c r="C564" s="116">
        <v>242.35</v>
      </c>
      <c r="D564" s="116">
        <v>241.1</v>
      </c>
      <c r="E564" s="116">
        <v>242.95</v>
      </c>
      <c r="F564" s="116">
        <v>242.35</v>
      </c>
      <c r="G564">
        <v>212244</v>
      </c>
      <c r="H564" s="116"/>
      <c r="I564" s="116"/>
      <c r="L564" s="170">
        <v>42832</v>
      </c>
      <c r="M564" s="116">
        <v>242.45</v>
      </c>
      <c r="N564" s="116">
        <v>246.5</v>
      </c>
      <c r="O564" s="116">
        <v>241.05</v>
      </c>
      <c r="P564" s="116">
        <v>242.6</v>
      </c>
      <c r="Q564" s="116">
        <v>242.45</v>
      </c>
      <c r="R564">
        <v>2654510</v>
      </c>
    </row>
    <row r="565" spans="1:18" x14ac:dyDescent="0.25">
      <c r="A565" s="170">
        <v>42835</v>
      </c>
      <c r="B565" s="116">
        <v>245</v>
      </c>
      <c r="C565" s="116">
        <v>244.4</v>
      </c>
      <c r="D565" s="116">
        <v>242.3</v>
      </c>
      <c r="E565" s="116">
        <v>244.4</v>
      </c>
      <c r="F565" s="116">
        <v>244.4</v>
      </c>
      <c r="G565">
        <v>88050</v>
      </c>
      <c r="H565" s="116"/>
      <c r="I565" s="116"/>
      <c r="L565" s="170">
        <v>42835</v>
      </c>
      <c r="M565" s="116">
        <v>244.9</v>
      </c>
      <c r="N565" s="116">
        <v>245.6</v>
      </c>
      <c r="O565" s="116">
        <v>242</v>
      </c>
      <c r="P565" s="116">
        <v>244.25</v>
      </c>
      <c r="Q565" s="116">
        <v>244.9</v>
      </c>
      <c r="R565">
        <v>1886939</v>
      </c>
    </row>
    <row r="566" spans="1:18" x14ac:dyDescent="0.25">
      <c r="A566" s="170">
        <v>42836</v>
      </c>
      <c r="B566" s="116">
        <v>250.2</v>
      </c>
      <c r="C566" s="116">
        <v>248.15</v>
      </c>
      <c r="D566" s="116">
        <v>243.05</v>
      </c>
      <c r="E566" s="116">
        <v>244.45</v>
      </c>
      <c r="F566" s="116">
        <v>248.15</v>
      </c>
      <c r="G566">
        <v>155742</v>
      </c>
      <c r="H566" s="116"/>
      <c r="I566" s="116"/>
      <c r="L566" s="170">
        <v>42836</v>
      </c>
      <c r="M566" s="116">
        <v>248.9</v>
      </c>
      <c r="N566" s="116">
        <v>250.5</v>
      </c>
      <c r="O566" s="116">
        <v>242.85</v>
      </c>
      <c r="P566" s="116">
        <v>243.5</v>
      </c>
      <c r="Q566" s="116">
        <v>248.9</v>
      </c>
      <c r="R566">
        <v>1952615</v>
      </c>
    </row>
    <row r="567" spans="1:18" x14ac:dyDescent="0.25">
      <c r="A567" s="170">
        <v>42837</v>
      </c>
      <c r="B567" s="116">
        <v>252.45</v>
      </c>
      <c r="C567" s="116">
        <v>248.45</v>
      </c>
      <c r="D567" s="116">
        <v>246.4</v>
      </c>
      <c r="E567" s="116">
        <v>249.9</v>
      </c>
      <c r="F567" s="116">
        <v>248.45</v>
      </c>
      <c r="G567">
        <v>143921</v>
      </c>
      <c r="H567" s="116"/>
      <c r="I567" s="116"/>
      <c r="L567" s="170">
        <v>42837</v>
      </c>
      <c r="M567" s="116">
        <v>249.1</v>
      </c>
      <c r="N567" s="116">
        <v>252.75</v>
      </c>
      <c r="O567" s="116">
        <v>246.5</v>
      </c>
      <c r="P567" s="116">
        <v>249.4</v>
      </c>
      <c r="Q567" s="116">
        <v>249.1</v>
      </c>
      <c r="R567">
        <v>3115592</v>
      </c>
    </row>
    <row r="568" spans="1:18" x14ac:dyDescent="0.25">
      <c r="A568" s="170">
        <v>42838</v>
      </c>
      <c r="B568" s="116">
        <v>250.5</v>
      </c>
      <c r="C568" s="116">
        <v>244.85</v>
      </c>
      <c r="D568" s="116">
        <v>244.2</v>
      </c>
      <c r="E568" s="116">
        <v>245.55</v>
      </c>
      <c r="F568" s="116">
        <v>244.85</v>
      </c>
      <c r="G568">
        <v>104765</v>
      </c>
      <c r="H568" s="116"/>
      <c r="I568" s="116"/>
      <c r="L568" s="170">
        <v>42838</v>
      </c>
      <c r="M568" s="116">
        <v>245.2</v>
      </c>
      <c r="N568" s="116">
        <v>250.7</v>
      </c>
      <c r="O568" s="116">
        <v>244.4</v>
      </c>
      <c r="P568" s="116">
        <v>248</v>
      </c>
      <c r="Q568" s="116">
        <v>245.2</v>
      </c>
      <c r="R568">
        <v>1148283</v>
      </c>
    </row>
    <row r="569" spans="1:18" x14ac:dyDescent="0.25">
      <c r="A569" s="170">
        <v>42842</v>
      </c>
      <c r="B569" s="116">
        <v>247.7</v>
      </c>
      <c r="C569" s="116">
        <v>247.15</v>
      </c>
      <c r="D569" s="116">
        <v>241.05</v>
      </c>
      <c r="E569" s="116">
        <v>244.65</v>
      </c>
      <c r="F569" s="116">
        <v>247.15</v>
      </c>
      <c r="G569">
        <v>78026</v>
      </c>
      <c r="H569" s="116"/>
      <c r="I569" s="116"/>
      <c r="L569" s="170">
        <v>42842</v>
      </c>
      <c r="M569" s="116">
        <v>246.85</v>
      </c>
      <c r="N569" s="116">
        <v>247.75</v>
      </c>
      <c r="O569" s="116">
        <v>240.65</v>
      </c>
      <c r="P569" s="116">
        <v>244.6</v>
      </c>
      <c r="Q569" s="116">
        <v>246.85</v>
      </c>
      <c r="R569">
        <v>1336022</v>
      </c>
    </row>
    <row r="570" spans="1:18" x14ac:dyDescent="0.25">
      <c r="A570" s="170">
        <v>42843</v>
      </c>
      <c r="B570" s="116">
        <v>247.65</v>
      </c>
      <c r="C570" s="116">
        <v>241.05</v>
      </c>
      <c r="D570" s="116">
        <v>240.1</v>
      </c>
      <c r="E570" s="116">
        <v>247</v>
      </c>
      <c r="F570" s="116">
        <v>241.05</v>
      </c>
      <c r="G570">
        <v>76131</v>
      </c>
      <c r="H570" s="116"/>
      <c r="I570" s="116"/>
      <c r="L570" s="170">
        <v>42843</v>
      </c>
      <c r="M570" s="116">
        <v>240.75</v>
      </c>
      <c r="N570" s="116">
        <v>248.85</v>
      </c>
      <c r="O570" s="116">
        <v>239.55</v>
      </c>
      <c r="P570" s="116">
        <v>247.2</v>
      </c>
      <c r="Q570" s="116">
        <v>240.75</v>
      </c>
      <c r="R570">
        <v>1923359</v>
      </c>
    </row>
    <row r="571" spans="1:18" x14ac:dyDescent="0.25">
      <c r="A571" s="170">
        <v>42844</v>
      </c>
      <c r="B571" s="116">
        <v>242.2</v>
      </c>
      <c r="C571" s="116">
        <v>240.5</v>
      </c>
      <c r="D571" s="116">
        <v>237</v>
      </c>
      <c r="E571" s="116">
        <v>241.05</v>
      </c>
      <c r="F571" s="116">
        <v>240.5</v>
      </c>
      <c r="G571">
        <v>83170</v>
      </c>
      <c r="H571" s="116"/>
      <c r="I571" s="116"/>
      <c r="L571" s="170">
        <v>42844</v>
      </c>
      <c r="M571" s="116">
        <v>240.15</v>
      </c>
      <c r="N571" s="116">
        <v>241.9</v>
      </c>
      <c r="O571" s="116">
        <v>236.8</v>
      </c>
      <c r="P571" s="116">
        <v>240.7</v>
      </c>
      <c r="Q571" s="116">
        <v>240.15</v>
      </c>
      <c r="R571">
        <v>3524341</v>
      </c>
    </row>
    <row r="572" spans="1:18" x14ac:dyDescent="0.25">
      <c r="A572" s="170">
        <v>42845</v>
      </c>
      <c r="B572" s="116">
        <v>245.95</v>
      </c>
      <c r="C572" s="116">
        <v>241.75</v>
      </c>
      <c r="D572" s="116">
        <v>240.85</v>
      </c>
      <c r="E572" s="116">
        <v>242</v>
      </c>
      <c r="F572" s="116">
        <v>241.75</v>
      </c>
      <c r="G572">
        <v>194948</v>
      </c>
      <c r="H572" s="116"/>
      <c r="I572" s="116"/>
      <c r="L572" s="170">
        <v>42845</v>
      </c>
      <c r="M572" s="116">
        <v>241.1</v>
      </c>
      <c r="N572" s="116">
        <v>246.2</v>
      </c>
      <c r="O572" s="116">
        <v>240.15</v>
      </c>
      <c r="P572" s="116">
        <v>241.1</v>
      </c>
      <c r="Q572" s="116">
        <v>241.1</v>
      </c>
      <c r="R572">
        <v>4090611</v>
      </c>
    </row>
    <row r="573" spans="1:18" x14ac:dyDescent="0.25">
      <c r="A573" s="170">
        <v>42846</v>
      </c>
      <c r="B573" s="116">
        <v>244.45</v>
      </c>
      <c r="C573" s="116">
        <v>239.5</v>
      </c>
      <c r="D573" s="116">
        <v>238.05</v>
      </c>
      <c r="E573" s="116">
        <v>244.45</v>
      </c>
      <c r="F573" s="116">
        <v>239.5</v>
      </c>
      <c r="G573">
        <v>96268</v>
      </c>
      <c r="H573" s="116"/>
      <c r="I573" s="116"/>
      <c r="L573" s="170">
        <v>42846</v>
      </c>
      <c r="M573" s="116">
        <v>239.4</v>
      </c>
      <c r="N573" s="116">
        <v>243</v>
      </c>
      <c r="O573" s="116">
        <v>238</v>
      </c>
      <c r="P573" s="116">
        <v>241.5</v>
      </c>
      <c r="Q573" s="116">
        <v>239.4</v>
      </c>
      <c r="R573">
        <v>2063116</v>
      </c>
    </row>
    <row r="574" spans="1:18" x14ac:dyDescent="0.25">
      <c r="A574" s="170">
        <v>42849</v>
      </c>
      <c r="B574" s="116">
        <v>250</v>
      </c>
      <c r="C574" s="116">
        <v>247</v>
      </c>
      <c r="D574" s="116">
        <v>239.5</v>
      </c>
      <c r="E574" s="116">
        <v>239.5</v>
      </c>
      <c r="F574" s="116">
        <v>247</v>
      </c>
      <c r="G574">
        <v>277827</v>
      </c>
      <c r="H574" s="116"/>
      <c r="I574" s="116"/>
      <c r="L574" s="170">
        <v>42849</v>
      </c>
      <c r="M574" s="116">
        <v>246.7</v>
      </c>
      <c r="N574" s="116">
        <v>250</v>
      </c>
      <c r="O574" s="116">
        <v>240.35</v>
      </c>
      <c r="P574" s="116">
        <v>240.35</v>
      </c>
      <c r="Q574" s="116">
        <v>246.7</v>
      </c>
      <c r="R574">
        <v>8783579</v>
      </c>
    </row>
    <row r="575" spans="1:18" x14ac:dyDescent="0.25">
      <c r="A575" s="170">
        <v>42850</v>
      </c>
      <c r="B575" s="116">
        <v>249.9</v>
      </c>
      <c r="C575" s="116">
        <v>246.35</v>
      </c>
      <c r="D575" s="116">
        <v>245.4</v>
      </c>
      <c r="E575" s="116">
        <v>247.25</v>
      </c>
      <c r="F575" s="116">
        <v>246.35</v>
      </c>
      <c r="G575">
        <v>172094</v>
      </c>
      <c r="H575" s="116"/>
      <c r="I575" s="116"/>
      <c r="L575" s="170">
        <v>42850</v>
      </c>
      <c r="M575" s="116">
        <v>246.4</v>
      </c>
      <c r="N575" s="116">
        <v>250</v>
      </c>
      <c r="O575" s="116">
        <v>245.5</v>
      </c>
      <c r="P575" s="116">
        <v>248</v>
      </c>
      <c r="Q575" s="116">
        <v>246.4</v>
      </c>
      <c r="R575">
        <v>3652900</v>
      </c>
    </row>
    <row r="576" spans="1:18" x14ac:dyDescent="0.25">
      <c r="A576" s="170">
        <v>42851</v>
      </c>
      <c r="B576" s="116">
        <v>251</v>
      </c>
      <c r="C576" s="116">
        <v>246.4</v>
      </c>
      <c r="D576" s="116">
        <v>243.4</v>
      </c>
      <c r="E576" s="116">
        <v>247.75</v>
      </c>
      <c r="F576" s="116">
        <v>246.4</v>
      </c>
      <c r="G576">
        <v>168828</v>
      </c>
      <c r="H576" s="116"/>
      <c r="I576" s="116"/>
      <c r="L576" s="170">
        <v>42851</v>
      </c>
      <c r="M576" s="116">
        <v>246</v>
      </c>
      <c r="N576" s="116">
        <v>251</v>
      </c>
      <c r="O576" s="116">
        <v>243.4</v>
      </c>
      <c r="P576" s="116">
        <v>247.3</v>
      </c>
      <c r="Q576" s="116">
        <v>246</v>
      </c>
      <c r="R576">
        <v>3337224</v>
      </c>
    </row>
    <row r="577" spans="1:18" x14ac:dyDescent="0.25">
      <c r="A577" s="170">
        <v>42852</v>
      </c>
      <c r="B577" s="116">
        <v>250.25</v>
      </c>
      <c r="C577" s="116">
        <v>249.45</v>
      </c>
      <c r="D577" s="116">
        <v>243.7</v>
      </c>
      <c r="E577" s="116">
        <v>245.35</v>
      </c>
      <c r="F577" s="116">
        <v>249.45</v>
      </c>
      <c r="G577">
        <v>132933</v>
      </c>
      <c r="H577" s="116"/>
      <c r="I577" s="116"/>
      <c r="L577" s="170">
        <v>42852</v>
      </c>
      <c r="M577" s="116">
        <v>249.5</v>
      </c>
      <c r="N577" s="116">
        <v>250.55</v>
      </c>
      <c r="O577" s="116">
        <v>243.65</v>
      </c>
      <c r="P577" s="116">
        <v>246.35</v>
      </c>
      <c r="Q577" s="116">
        <v>249.5</v>
      </c>
      <c r="R577">
        <v>4294652</v>
      </c>
    </row>
    <row r="578" spans="1:18" x14ac:dyDescent="0.25">
      <c r="A578" s="170">
        <v>42853</v>
      </c>
      <c r="B578" s="116">
        <v>250</v>
      </c>
      <c r="C578" s="116">
        <v>245.95</v>
      </c>
      <c r="D578" s="116">
        <v>244.3</v>
      </c>
      <c r="E578" s="116">
        <v>249.95</v>
      </c>
      <c r="F578" s="116">
        <v>245.95</v>
      </c>
      <c r="G578">
        <v>174237</v>
      </c>
      <c r="H578" s="116"/>
      <c r="I578" s="116"/>
      <c r="L578" s="170">
        <v>42853</v>
      </c>
      <c r="M578" s="116">
        <v>245.9</v>
      </c>
      <c r="N578" s="116">
        <v>249.8</v>
      </c>
      <c r="O578" s="116">
        <v>243.8</v>
      </c>
      <c r="P578" s="116">
        <v>249.8</v>
      </c>
      <c r="Q578" s="116">
        <v>245.9</v>
      </c>
      <c r="R578">
        <v>5255357</v>
      </c>
    </row>
    <row r="579" spans="1:18" x14ac:dyDescent="0.25">
      <c r="A579" s="170">
        <v>42857</v>
      </c>
      <c r="B579" s="116">
        <v>244.8</v>
      </c>
      <c r="C579" s="116">
        <v>241.7</v>
      </c>
      <c r="D579" s="116">
        <v>235.6</v>
      </c>
      <c r="E579" s="116">
        <v>244.7</v>
      </c>
      <c r="F579" s="116">
        <v>241.7</v>
      </c>
      <c r="G579">
        <v>439330</v>
      </c>
      <c r="H579" s="116"/>
      <c r="I579" s="116"/>
      <c r="L579" s="170">
        <v>42857</v>
      </c>
      <c r="M579" s="116">
        <v>241.8</v>
      </c>
      <c r="N579" s="116">
        <v>245</v>
      </c>
      <c r="O579" s="116">
        <v>235.55</v>
      </c>
      <c r="P579" s="116">
        <v>244.6</v>
      </c>
      <c r="Q579" s="116">
        <v>241.8</v>
      </c>
      <c r="R579">
        <v>4524291</v>
      </c>
    </row>
    <row r="580" spans="1:18" x14ac:dyDescent="0.25">
      <c r="A580" s="170">
        <v>42858</v>
      </c>
      <c r="B580" s="116">
        <v>247.25</v>
      </c>
      <c r="C580" s="116">
        <v>242.75</v>
      </c>
      <c r="D580" s="116">
        <v>240.95</v>
      </c>
      <c r="E580" s="116">
        <v>244.45</v>
      </c>
      <c r="F580" s="116">
        <v>242.75</v>
      </c>
      <c r="G580">
        <v>103851</v>
      </c>
      <c r="H580" s="116"/>
      <c r="I580" s="116"/>
      <c r="L580" s="170">
        <v>42858</v>
      </c>
      <c r="M580" s="116">
        <v>242.55</v>
      </c>
      <c r="N580" s="116">
        <v>247.5</v>
      </c>
      <c r="O580" s="116">
        <v>240.8</v>
      </c>
      <c r="P580" s="116">
        <v>242.75</v>
      </c>
      <c r="Q580" s="116">
        <v>242.55</v>
      </c>
      <c r="R580">
        <v>2293214</v>
      </c>
    </row>
    <row r="581" spans="1:18" x14ac:dyDescent="0.25">
      <c r="A581" s="170">
        <v>42859</v>
      </c>
      <c r="B581" s="116">
        <v>244.9</v>
      </c>
      <c r="C581" s="116">
        <v>244.2</v>
      </c>
      <c r="D581" s="116">
        <v>240</v>
      </c>
      <c r="E581" s="116">
        <v>242.75</v>
      </c>
      <c r="F581" s="116">
        <v>244.2</v>
      </c>
      <c r="G581">
        <v>1360175</v>
      </c>
      <c r="H581" s="116"/>
      <c r="I581" s="116"/>
      <c r="L581" s="170">
        <v>42859</v>
      </c>
      <c r="M581" s="116">
        <v>243.9</v>
      </c>
      <c r="N581" s="116">
        <v>245</v>
      </c>
      <c r="O581" s="116">
        <v>240.1</v>
      </c>
      <c r="P581" s="116">
        <v>243</v>
      </c>
      <c r="Q581" s="116">
        <v>243.9</v>
      </c>
      <c r="R581">
        <v>1670754</v>
      </c>
    </row>
    <row r="582" spans="1:18" x14ac:dyDescent="0.25">
      <c r="A582" s="170">
        <v>42860</v>
      </c>
      <c r="B582" s="116">
        <v>248</v>
      </c>
      <c r="C582" s="116">
        <v>246.3</v>
      </c>
      <c r="D582" s="116">
        <v>240.35</v>
      </c>
      <c r="E582" s="116">
        <v>242.3</v>
      </c>
      <c r="F582" s="116">
        <v>246.3</v>
      </c>
      <c r="G582">
        <v>195508</v>
      </c>
      <c r="H582" s="116"/>
      <c r="I582" s="116"/>
      <c r="L582" s="170">
        <v>42860</v>
      </c>
      <c r="M582" s="116">
        <v>246.55</v>
      </c>
      <c r="N582" s="116">
        <v>247.9</v>
      </c>
      <c r="O582" s="116">
        <v>240.25</v>
      </c>
      <c r="P582" s="116">
        <v>243.35</v>
      </c>
      <c r="Q582" s="116">
        <v>246.55</v>
      </c>
      <c r="R582">
        <v>2543955</v>
      </c>
    </row>
    <row r="583" spans="1:18" x14ac:dyDescent="0.25">
      <c r="A583" s="170">
        <v>42863</v>
      </c>
      <c r="B583" s="116">
        <v>270.5</v>
      </c>
      <c r="C583" s="116">
        <v>260.8</v>
      </c>
      <c r="D583" s="116">
        <v>258.10000000000002</v>
      </c>
      <c r="E583" s="116">
        <v>259</v>
      </c>
      <c r="F583" s="116">
        <v>260.8</v>
      </c>
      <c r="G583">
        <v>2201721</v>
      </c>
      <c r="H583" s="116"/>
      <c r="I583" s="116"/>
      <c r="L583" s="170">
        <v>42863</v>
      </c>
      <c r="M583" s="116">
        <v>260.75</v>
      </c>
      <c r="N583" s="116">
        <v>270.85000000000002</v>
      </c>
      <c r="O583" s="116">
        <v>258</v>
      </c>
      <c r="P583" s="116">
        <v>258.89999999999998</v>
      </c>
      <c r="Q583" s="116">
        <v>260.75</v>
      </c>
      <c r="R583">
        <v>24262308</v>
      </c>
    </row>
    <row r="584" spans="1:18" x14ac:dyDescent="0.25">
      <c r="A584" s="170">
        <v>42864</v>
      </c>
      <c r="B584" s="116">
        <v>262.05</v>
      </c>
      <c r="C584" s="116">
        <v>257.5</v>
      </c>
      <c r="D584" s="116">
        <v>256.5</v>
      </c>
      <c r="E584" s="116">
        <v>258.5</v>
      </c>
      <c r="F584" s="116">
        <v>257.5</v>
      </c>
      <c r="G584">
        <v>217676</v>
      </c>
      <c r="H584" s="116"/>
      <c r="I584" s="116"/>
      <c r="L584" s="170">
        <v>42864</v>
      </c>
      <c r="M584" s="116">
        <v>257.55</v>
      </c>
      <c r="N584" s="116">
        <v>262.39999999999998</v>
      </c>
      <c r="O584" s="116">
        <v>256.39999999999998</v>
      </c>
      <c r="P584" s="116">
        <v>259</v>
      </c>
      <c r="Q584" s="116">
        <v>257.55</v>
      </c>
      <c r="R584">
        <v>5049653</v>
      </c>
    </row>
    <row r="585" spans="1:18" x14ac:dyDescent="0.25">
      <c r="A585" s="170">
        <v>42865</v>
      </c>
      <c r="B585" s="116">
        <v>260.39999999999998</v>
      </c>
      <c r="C585" s="116">
        <v>259.60000000000002</v>
      </c>
      <c r="D585" s="116">
        <v>255.4</v>
      </c>
      <c r="E585" s="116">
        <v>257.89999999999998</v>
      </c>
      <c r="F585" s="116">
        <v>259.60000000000002</v>
      </c>
      <c r="G585">
        <v>437545</v>
      </c>
      <c r="H585" s="116"/>
      <c r="I585" s="116"/>
      <c r="L585" s="170">
        <v>42865</v>
      </c>
      <c r="M585" s="116">
        <v>259.7</v>
      </c>
      <c r="N585" s="116">
        <v>260.39999999999998</v>
      </c>
      <c r="O585" s="116">
        <v>255.15</v>
      </c>
      <c r="P585" s="116">
        <v>258.85000000000002</v>
      </c>
      <c r="Q585" s="116">
        <v>259.7</v>
      </c>
      <c r="R585">
        <v>3553905</v>
      </c>
    </row>
    <row r="586" spans="1:18" x14ac:dyDescent="0.25">
      <c r="A586" s="170">
        <v>42866</v>
      </c>
      <c r="B586" s="116">
        <v>264</v>
      </c>
      <c r="C586" s="116">
        <v>259.89999999999998</v>
      </c>
      <c r="D586" s="116">
        <v>257.64999999999998</v>
      </c>
      <c r="E586" s="116">
        <v>260.7</v>
      </c>
      <c r="F586" s="116">
        <v>259.89999999999998</v>
      </c>
      <c r="G586">
        <v>167098</v>
      </c>
      <c r="H586" s="116"/>
      <c r="I586" s="116"/>
      <c r="L586" s="170">
        <v>42866</v>
      </c>
      <c r="M586" s="116">
        <v>260.3</v>
      </c>
      <c r="N586" s="116">
        <v>264.2</v>
      </c>
      <c r="O586" s="116">
        <v>257.3</v>
      </c>
      <c r="P586" s="116">
        <v>260.2</v>
      </c>
      <c r="Q586" s="116">
        <v>260.3</v>
      </c>
      <c r="R586">
        <v>3705195</v>
      </c>
    </row>
    <row r="587" spans="1:18" x14ac:dyDescent="0.25">
      <c r="A587" s="170">
        <v>42867</v>
      </c>
      <c r="B587" s="116">
        <v>260.05</v>
      </c>
      <c r="C587" s="116">
        <v>258.39999999999998</v>
      </c>
      <c r="D587" s="116">
        <v>256.14999999999998</v>
      </c>
      <c r="E587" s="116">
        <v>260.05</v>
      </c>
      <c r="F587" s="116">
        <v>258.39999999999998</v>
      </c>
      <c r="G587">
        <v>149317</v>
      </c>
      <c r="H587" s="116"/>
      <c r="I587" s="116"/>
      <c r="L587" s="170">
        <v>42867</v>
      </c>
      <c r="M587" s="116">
        <v>258.39999999999998</v>
      </c>
      <c r="N587" s="116">
        <v>260</v>
      </c>
      <c r="O587" s="116">
        <v>255.85</v>
      </c>
      <c r="P587" s="116">
        <v>260</v>
      </c>
      <c r="Q587" s="116">
        <v>258.39999999999998</v>
      </c>
      <c r="R587">
        <v>1880787</v>
      </c>
    </row>
    <row r="588" spans="1:18" x14ac:dyDescent="0.25">
      <c r="A588" s="170">
        <v>42870</v>
      </c>
      <c r="B588" s="116">
        <v>263.7</v>
      </c>
      <c r="C588" s="116">
        <v>258.2</v>
      </c>
      <c r="D588" s="116">
        <v>256.3</v>
      </c>
      <c r="E588" s="116">
        <v>258.95</v>
      </c>
      <c r="F588" s="116">
        <v>258.2</v>
      </c>
      <c r="G588">
        <v>143100</v>
      </c>
      <c r="H588" s="116"/>
      <c r="I588" s="116"/>
      <c r="L588" s="170">
        <v>42870</v>
      </c>
      <c r="M588" s="116">
        <v>258.14999999999998</v>
      </c>
      <c r="N588" s="116">
        <v>263.5</v>
      </c>
      <c r="O588" s="116">
        <v>255.6</v>
      </c>
      <c r="P588" s="116">
        <v>258.3</v>
      </c>
      <c r="Q588" s="116">
        <v>258.14999999999998</v>
      </c>
      <c r="R588">
        <v>8669217</v>
      </c>
    </row>
    <row r="589" spans="1:18" x14ac:dyDescent="0.25">
      <c r="A589" s="170">
        <v>42871</v>
      </c>
      <c r="B589" s="116">
        <v>262.7</v>
      </c>
      <c r="C589" s="116">
        <v>260.60000000000002</v>
      </c>
      <c r="D589" s="116">
        <v>258.55</v>
      </c>
      <c r="E589" s="116">
        <v>258.55</v>
      </c>
      <c r="F589" s="116">
        <v>260.60000000000002</v>
      </c>
      <c r="G589">
        <v>177785</v>
      </c>
      <c r="H589" s="116"/>
      <c r="I589" s="116"/>
      <c r="L589" s="170">
        <v>42871</v>
      </c>
      <c r="M589" s="116">
        <v>260.64999999999998</v>
      </c>
      <c r="N589" s="116">
        <v>262.55</v>
      </c>
      <c r="O589" s="116">
        <v>258.5</v>
      </c>
      <c r="P589" s="116">
        <v>258.5</v>
      </c>
      <c r="Q589" s="116">
        <v>260.64999999999998</v>
      </c>
      <c r="R589">
        <v>3788577</v>
      </c>
    </row>
    <row r="590" spans="1:18" x14ac:dyDescent="0.25">
      <c r="A590" s="170">
        <v>42872</v>
      </c>
      <c r="B590" s="116">
        <v>260.60000000000002</v>
      </c>
      <c r="C590" s="116">
        <v>257.89999999999998</v>
      </c>
      <c r="D590" s="116">
        <v>257.2</v>
      </c>
      <c r="E590" s="116">
        <v>260.60000000000002</v>
      </c>
      <c r="F590" s="116">
        <v>257.89999999999998</v>
      </c>
      <c r="G590">
        <v>100040</v>
      </c>
      <c r="H590" s="116"/>
      <c r="I590" s="116"/>
      <c r="L590" s="170">
        <v>42872</v>
      </c>
      <c r="M590" s="116">
        <v>258</v>
      </c>
      <c r="N590" s="116">
        <v>260.25</v>
      </c>
      <c r="O590" s="116">
        <v>257</v>
      </c>
      <c r="P590" s="116">
        <v>260.25</v>
      </c>
      <c r="Q590" s="116">
        <v>258</v>
      </c>
      <c r="R590">
        <v>4352685</v>
      </c>
    </row>
    <row r="591" spans="1:18" x14ac:dyDescent="0.25">
      <c r="A591" s="170">
        <v>42873</v>
      </c>
      <c r="B591" s="116">
        <v>258</v>
      </c>
      <c r="C591" s="116">
        <v>251.65</v>
      </c>
      <c r="D591" s="116">
        <v>250</v>
      </c>
      <c r="E591" s="116">
        <v>258</v>
      </c>
      <c r="F591" s="116">
        <v>251.65</v>
      </c>
      <c r="G591">
        <v>68462</v>
      </c>
      <c r="H591" s="116"/>
      <c r="I591" s="116"/>
      <c r="L591" s="170">
        <v>42873</v>
      </c>
      <c r="M591" s="116">
        <v>252.2</v>
      </c>
      <c r="N591" s="116">
        <v>256.14999999999998</v>
      </c>
      <c r="O591" s="116">
        <v>251.1</v>
      </c>
      <c r="P591" s="116">
        <v>256.10000000000002</v>
      </c>
      <c r="Q591" s="116">
        <v>252.2</v>
      </c>
      <c r="R591">
        <v>1506862</v>
      </c>
    </row>
    <row r="592" spans="1:18" x14ac:dyDescent="0.25">
      <c r="A592" s="170">
        <v>42874</v>
      </c>
      <c r="B592" s="116">
        <v>256</v>
      </c>
      <c r="C592" s="116">
        <v>251.2</v>
      </c>
      <c r="D592" s="116">
        <v>250.3</v>
      </c>
      <c r="E592" s="116">
        <v>253.8</v>
      </c>
      <c r="F592" s="116">
        <v>251.2</v>
      </c>
      <c r="G592">
        <v>130855</v>
      </c>
      <c r="H592" s="116"/>
      <c r="I592" s="116"/>
      <c r="L592" s="170">
        <v>42874</v>
      </c>
      <c r="M592" s="116">
        <v>251.25</v>
      </c>
      <c r="N592" s="116">
        <v>256</v>
      </c>
      <c r="O592" s="116">
        <v>250.25</v>
      </c>
      <c r="P592" s="116">
        <v>252.3</v>
      </c>
      <c r="Q592" s="116">
        <v>251.25</v>
      </c>
      <c r="R592">
        <v>2197778</v>
      </c>
    </row>
    <row r="593" spans="1:18" x14ac:dyDescent="0.25">
      <c r="A593" s="170">
        <v>42877</v>
      </c>
      <c r="B593" s="116">
        <v>252.8</v>
      </c>
      <c r="C593" s="116">
        <v>243.4</v>
      </c>
      <c r="D593" s="116">
        <v>242.35</v>
      </c>
      <c r="E593" s="116">
        <v>252</v>
      </c>
      <c r="F593" s="116">
        <v>243.4</v>
      </c>
      <c r="G593">
        <v>100631</v>
      </c>
      <c r="H593" s="116"/>
      <c r="I593" s="116"/>
      <c r="L593" s="170">
        <v>42877</v>
      </c>
      <c r="M593" s="116">
        <v>243.35</v>
      </c>
      <c r="N593" s="116">
        <v>253</v>
      </c>
      <c r="O593" s="116">
        <v>242.1</v>
      </c>
      <c r="P593" s="116">
        <v>252.25</v>
      </c>
      <c r="Q593" s="116">
        <v>243.35</v>
      </c>
      <c r="R593">
        <v>2517117</v>
      </c>
    </row>
    <row r="594" spans="1:18" x14ac:dyDescent="0.25">
      <c r="A594" s="170">
        <v>42878</v>
      </c>
      <c r="B594" s="116">
        <v>245.05</v>
      </c>
      <c r="C594" s="116">
        <v>239.9</v>
      </c>
      <c r="D594" s="116">
        <v>237.65</v>
      </c>
      <c r="E594" s="116">
        <v>244.4</v>
      </c>
      <c r="F594" s="116">
        <v>239.9</v>
      </c>
      <c r="G594">
        <v>122929</v>
      </c>
      <c r="H594" s="116"/>
      <c r="I594" s="116"/>
      <c r="L594" s="170">
        <v>42878</v>
      </c>
      <c r="M594" s="116">
        <v>239.8</v>
      </c>
      <c r="N594" s="116">
        <v>244.7</v>
      </c>
      <c r="O594" s="116">
        <v>237.65</v>
      </c>
      <c r="P594" s="116">
        <v>244</v>
      </c>
      <c r="Q594" s="116">
        <v>239.8</v>
      </c>
      <c r="R594">
        <v>2556514</v>
      </c>
    </row>
    <row r="595" spans="1:18" x14ac:dyDescent="0.25">
      <c r="A595" s="170">
        <v>42879</v>
      </c>
      <c r="B595" s="116">
        <v>241.05</v>
      </c>
      <c r="C595" s="116">
        <v>235.55</v>
      </c>
      <c r="D595" s="116">
        <v>233.25</v>
      </c>
      <c r="E595" s="116">
        <v>241.05</v>
      </c>
      <c r="F595" s="116">
        <v>235.55</v>
      </c>
      <c r="G595">
        <v>126574</v>
      </c>
      <c r="H595" s="116"/>
      <c r="I595" s="116"/>
      <c r="L595" s="170">
        <v>42879</v>
      </c>
      <c r="M595" s="116">
        <v>235.3</v>
      </c>
      <c r="N595" s="116">
        <v>240.4</v>
      </c>
      <c r="O595" s="116">
        <v>233.05</v>
      </c>
      <c r="P595" s="116">
        <v>239.8</v>
      </c>
      <c r="Q595" s="116">
        <v>235.3</v>
      </c>
      <c r="R595">
        <v>2125257</v>
      </c>
    </row>
    <row r="596" spans="1:18" x14ac:dyDescent="0.25">
      <c r="A596" s="170">
        <v>42880</v>
      </c>
      <c r="B596" s="116">
        <v>241.7</v>
      </c>
      <c r="C596" s="116">
        <v>239.7</v>
      </c>
      <c r="D596" s="116">
        <v>233.8</v>
      </c>
      <c r="E596" s="116">
        <v>236</v>
      </c>
      <c r="F596" s="116">
        <v>239.7</v>
      </c>
      <c r="G596">
        <v>7038677</v>
      </c>
      <c r="H596" s="116"/>
      <c r="I596" s="116"/>
      <c r="L596" s="170">
        <v>42880</v>
      </c>
      <c r="M596" s="116">
        <v>240.05</v>
      </c>
      <c r="N596" s="116">
        <v>241.9</v>
      </c>
      <c r="O596" s="116">
        <v>233.15</v>
      </c>
      <c r="P596" s="116">
        <v>235.3</v>
      </c>
      <c r="Q596" s="116">
        <v>240.05</v>
      </c>
      <c r="R596">
        <v>1912885</v>
      </c>
    </row>
    <row r="597" spans="1:18" x14ac:dyDescent="0.25">
      <c r="A597" s="170">
        <v>42881</v>
      </c>
      <c r="B597" s="116">
        <v>242.9</v>
      </c>
      <c r="C597" s="116">
        <v>240.65</v>
      </c>
      <c r="D597" s="116">
        <v>238.3</v>
      </c>
      <c r="E597" s="116">
        <v>239.7</v>
      </c>
      <c r="F597" s="116">
        <v>240.65</v>
      </c>
      <c r="G597">
        <v>75974</v>
      </c>
      <c r="H597" s="116"/>
      <c r="I597" s="116"/>
      <c r="L597" s="170">
        <v>42881</v>
      </c>
      <c r="M597" s="116">
        <v>240.4</v>
      </c>
      <c r="N597" s="116">
        <v>243</v>
      </c>
      <c r="O597" s="116">
        <v>238.2</v>
      </c>
      <c r="P597" s="116">
        <v>240</v>
      </c>
      <c r="Q597" s="116">
        <v>240.4</v>
      </c>
      <c r="R597">
        <v>2050152</v>
      </c>
    </row>
    <row r="598" spans="1:18" x14ac:dyDescent="0.25">
      <c r="A598" s="170">
        <v>42884</v>
      </c>
      <c r="B598" s="116">
        <v>243.5</v>
      </c>
      <c r="C598" s="116">
        <v>240.15</v>
      </c>
      <c r="D598" s="116">
        <v>239.1</v>
      </c>
      <c r="E598" s="116">
        <v>240.65</v>
      </c>
      <c r="F598" s="116">
        <v>240.15</v>
      </c>
      <c r="G598">
        <v>98529</v>
      </c>
      <c r="H598" s="116"/>
      <c r="I598" s="116"/>
      <c r="L598" s="170">
        <v>42884</v>
      </c>
      <c r="M598" s="116">
        <v>240.25</v>
      </c>
      <c r="N598" s="116">
        <v>243.75</v>
      </c>
      <c r="O598" s="116">
        <v>239.1</v>
      </c>
      <c r="P598" s="116">
        <v>240.1</v>
      </c>
      <c r="Q598" s="116">
        <v>240.25</v>
      </c>
      <c r="R598">
        <v>1067127</v>
      </c>
    </row>
    <row r="599" spans="1:18" x14ac:dyDescent="0.25">
      <c r="A599" s="170">
        <v>42885</v>
      </c>
      <c r="B599" s="116">
        <v>243.9</v>
      </c>
      <c r="C599" s="116">
        <v>242.65</v>
      </c>
      <c r="D599" s="116">
        <v>237.4</v>
      </c>
      <c r="E599" s="116">
        <v>243</v>
      </c>
      <c r="F599" s="116">
        <v>242.65</v>
      </c>
      <c r="G599">
        <v>94581</v>
      </c>
      <c r="H599" s="116"/>
      <c r="I599" s="116"/>
      <c r="L599" s="170">
        <v>42885</v>
      </c>
      <c r="M599" s="116">
        <v>242.45</v>
      </c>
      <c r="N599" s="116">
        <v>244.25</v>
      </c>
      <c r="O599" s="116">
        <v>237.3</v>
      </c>
      <c r="P599" s="116">
        <v>240</v>
      </c>
      <c r="Q599" s="116">
        <v>242.45</v>
      </c>
      <c r="R599">
        <v>2348911</v>
      </c>
    </row>
    <row r="600" spans="1:18" x14ac:dyDescent="0.25">
      <c r="A600" s="170">
        <v>42886</v>
      </c>
      <c r="B600" s="116">
        <v>248</v>
      </c>
      <c r="C600" s="116">
        <v>241.2</v>
      </c>
      <c r="D600" s="116">
        <v>240.2</v>
      </c>
      <c r="E600" s="116">
        <v>248</v>
      </c>
      <c r="F600" s="116">
        <v>241.2</v>
      </c>
      <c r="G600">
        <v>130325</v>
      </c>
      <c r="H600" s="116"/>
      <c r="I600" s="116"/>
      <c r="L600" s="170">
        <v>42886</v>
      </c>
      <c r="M600" s="116">
        <v>241.25</v>
      </c>
      <c r="N600" s="116">
        <v>244.8</v>
      </c>
      <c r="O600" s="116">
        <v>240</v>
      </c>
      <c r="P600" s="116">
        <v>243.65</v>
      </c>
      <c r="Q600" s="116">
        <v>241.25</v>
      </c>
      <c r="R600">
        <v>3097509</v>
      </c>
    </row>
    <row r="601" spans="1:18" x14ac:dyDescent="0.25">
      <c r="A601" s="170">
        <v>42887</v>
      </c>
      <c r="B601" s="116">
        <v>243.25</v>
      </c>
      <c r="C601" s="116">
        <v>240.4</v>
      </c>
      <c r="D601" s="116">
        <v>238.5</v>
      </c>
      <c r="E601" s="116">
        <v>242</v>
      </c>
      <c r="F601" s="116">
        <v>240.4</v>
      </c>
      <c r="G601">
        <v>93055</v>
      </c>
      <c r="H601" s="116"/>
      <c r="I601" s="116"/>
      <c r="L601" s="170">
        <v>42887</v>
      </c>
      <c r="M601" s="116">
        <v>240.35</v>
      </c>
      <c r="N601" s="116">
        <v>243.3</v>
      </c>
      <c r="O601" s="116">
        <v>239.75</v>
      </c>
      <c r="P601" s="116">
        <v>240</v>
      </c>
      <c r="Q601" s="116">
        <v>240.35</v>
      </c>
      <c r="R601">
        <v>1610540</v>
      </c>
    </row>
    <row r="602" spans="1:18" x14ac:dyDescent="0.25">
      <c r="A602" s="170">
        <v>42888</v>
      </c>
      <c r="B602" s="116">
        <v>242.9</v>
      </c>
      <c r="C602" s="116">
        <v>240.4</v>
      </c>
      <c r="D602" s="116">
        <v>239.6</v>
      </c>
      <c r="E602" s="116">
        <v>240.1</v>
      </c>
      <c r="F602" s="116">
        <v>240.4</v>
      </c>
      <c r="G602">
        <v>40317</v>
      </c>
      <c r="H602" s="116"/>
      <c r="I602" s="116"/>
      <c r="L602" s="170">
        <v>42888</v>
      </c>
      <c r="M602" s="116">
        <v>240.45</v>
      </c>
      <c r="N602" s="116">
        <v>243</v>
      </c>
      <c r="O602" s="116">
        <v>239.5</v>
      </c>
      <c r="P602" s="116">
        <v>241.6</v>
      </c>
      <c r="Q602" s="116">
        <v>240.45</v>
      </c>
      <c r="R602">
        <v>2142258</v>
      </c>
    </row>
    <row r="603" spans="1:18" x14ac:dyDescent="0.25">
      <c r="A603" s="170">
        <v>42891</v>
      </c>
      <c r="B603" s="116">
        <v>242.4</v>
      </c>
      <c r="C603" s="116">
        <v>240</v>
      </c>
      <c r="D603" s="116">
        <v>239.6</v>
      </c>
      <c r="E603" s="116">
        <v>242.4</v>
      </c>
      <c r="F603" s="116">
        <v>240</v>
      </c>
      <c r="G603">
        <v>78159</v>
      </c>
      <c r="H603" s="116"/>
      <c r="I603" s="116"/>
      <c r="L603" s="170">
        <v>42891</v>
      </c>
      <c r="M603" s="116">
        <v>240.35</v>
      </c>
      <c r="N603" s="116">
        <v>241.95</v>
      </c>
      <c r="O603" s="116">
        <v>239.55</v>
      </c>
      <c r="P603" s="116">
        <v>241.95</v>
      </c>
      <c r="Q603" s="116">
        <v>240.35</v>
      </c>
      <c r="R603">
        <v>966410</v>
      </c>
    </row>
    <row r="604" spans="1:18" x14ac:dyDescent="0.25">
      <c r="A604" s="170">
        <v>42892</v>
      </c>
      <c r="B604" s="116">
        <v>241</v>
      </c>
      <c r="C604" s="116">
        <v>235.4</v>
      </c>
      <c r="D604" s="116">
        <v>234.3</v>
      </c>
      <c r="E604" s="116">
        <v>241</v>
      </c>
      <c r="F604" s="116">
        <v>235.4</v>
      </c>
      <c r="G604">
        <v>88511</v>
      </c>
      <c r="H604" s="116"/>
      <c r="I604" s="116"/>
      <c r="L604" s="170">
        <v>42892</v>
      </c>
      <c r="M604" s="116">
        <v>235.05</v>
      </c>
      <c r="N604" s="116">
        <v>241.2</v>
      </c>
      <c r="O604" s="116">
        <v>234</v>
      </c>
      <c r="P604" s="116">
        <v>241.15</v>
      </c>
      <c r="Q604" s="116">
        <v>235.05</v>
      </c>
      <c r="R604">
        <v>1884219</v>
      </c>
    </row>
    <row r="605" spans="1:18" x14ac:dyDescent="0.25">
      <c r="A605" s="170">
        <v>42893</v>
      </c>
      <c r="B605" s="116">
        <v>237.75</v>
      </c>
      <c r="C605" s="116">
        <v>236.75</v>
      </c>
      <c r="D605" s="116">
        <v>234.5</v>
      </c>
      <c r="E605" s="116">
        <v>235.4</v>
      </c>
      <c r="F605" s="116">
        <v>236.75</v>
      </c>
      <c r="G605">
        <v>45023</v>
      </c>
      <c r="H605" s="116"/>
      <c r="I605" s="116"/>
      <c r="L605" s="170">
        <v>42893</v>
      </c>
      <c r="M605" s="116">
        <v>236.6</v>
      </c>
      <c r="N605" s="116">
        <v>237.9</v>
      </c>
      <c r="O605" s="116">
        <v>234.2</v>
      </c>
      <c r="P605" s="116">
        <v>234.2</v>
      </c>
      <c r="Q605" s="116">
        <v>236.6</v>
      </c>
      <c r="R605">
        <v>1376882</v>
      </c>
    </row>
    <row r="606" spans="1:18" x14ac:dyDescent="0.25">
      <c r="A606" s="170">
        <v>42894</v>
      </c>
      <c r="B606" s="116">
        <v>238.95</v>
      </c>
      <c r="C606" s="116">
        <v>235.05</v>
      </c>
      <c r="D606" s="116">
        <v>234.5</v>
      </c>
      <c r="E606" s="116">
        <v>238.95</v>
      </c>
      <c r="F606" s="116">
        <v>235.05</v>
      </c>
      <c r="G606">
        <v>174798</v>
      </c>
      <c r="H606" s="116"/>
      <c r="I606" s="116"/>
      <c r="L606" s="170">
        <v>42894</v>
      </c>
      <c r="M606" s="116">
        <v>235</v>
      </c>
      <c r="N606" s="116">
        <v>239.15</v>
      </c>
      <c r="O606" s="116">
        <v>234.6</v>
      </c>
      <c r="P606" s="116">
        <v>237.1</v>
      </c>
      <c r="Q606" s="116">
        <v>235</v>
      </c>
      <c r="R606">
        <v>1605121</v>
      </c>
    </row>
    <row r="607" spans="1:18" x14ac:dyDescent="0.25">
      <c r="A607" s="170">
        <v>42895</v>
      </c>
      <c r="B607" s="116">
        <v>236.15</v>
      </c>
      <c r="C607" s="116">
        <v>235.15</v>
      </c>
      <c r="D607" s="116">
        <v>232.1</v>
      </c>
      <c r="E607" s="116">
        <v>234</v>
      </c>
      <c r="F607" s="116">
        <v>235.15</v>
      </c>
      <c r="G607">
        <v>96071</v>
      </c>
      <c r="H607" s="116"/>
      <c r="I607" s="116"/>
      <c r="L607" s="170">
        <v>42895</v>
      </c>
      <c r="M607" s="116">
        <v>235.05</v>
      </c>
      <c r="N607" s="116">
        <v>236</v>
      </c>
      <c r="O607" s="116">
        <v>232.05</v>
      </c>
      <c r="P607" s="116">
        <v>235.4</v>
      </c>
      <c r="Q607" s="116">
        <v>235.05</v>
      </c>
      <c r="R607">
        <v>1013263</v>
      </c>
    </row>
    <row r="608" spans="1:18" x14ac:dyDescent="0.25">
      <c r="A608" s="170">
        <v>42898</v>
      </c>
      <c r="B608" s="116">
        <v>236.05</v>
      </c>
      <c r="C608" s="116">
        <v>231.15</v>
      </c>
      <c r="D608" s="116">
        <v>230.5</v>
      </c>
      <c r="E608" s="116">
        <v>234.9</v>
      </c>
      <c r="F608" s="116">
        <v>231.15</v>
      </c>
      <c r="G608">
        <v>90345</v>
      </c>
      <c r="H608" s="116"/>
      <c r="I608" s="116"/>
      <c r="L608" s="170">
        <v>42898</v>
      </c>
      <c r="M608" s="116">
        <v>230.65</v>
      </c>
      <c r="N608" s="116">
        <v>236.15</v>
      </c>
      <c r="O608" s="116">
        <v>230.05</v>
      </c>
      <c r="P608" s="116">
        <v>234.55</v>
      </c>
      <c r="Q608" s="116">
        <v>230.65</v>
      </c>
      <c r="R608">
        <v>2245461</v>
      </c>
    </row>
    <row r="609" spans="1:18" x14ac:dyDescent="0.25">
      <c r="A609" s="170">
        <v>42899</v>
      </c>
      <c r="B609" s="116">
        <v>233.8</v>
      </c>
      <c r="C609" s="116">
        <v>231.6</v>
      </c>
      <c r="D609" s="116">
        <v>230.75</v>
      </c>
      <c r="E609" s="116">
        <v>232</v>
      </c>
      <c r="F609" s="116">
        <v>231.6</v>
      </c>
      <c r="G609">
        <v>61024</v>
      </c>
      <c r="H609" s="116"/>
      <c r="I609" s="116"/>
      <c r="L609" s="170">
        <v>42899</v>
      </c>
      <c r="M609" s="116">
        <v>231.25</v>
      </c>
      <c r="N609" s="116">
        <v>233.95</v>
      </c>
      <c r="O609" s="116">
        <v>230.45</v>
      </c>
      <c r="P609" s="116">
        <v>231.55</v>
      </c>
      <c r="Q609" s="116">
        <v>231.25</v>
      </c>
      <c r="R609">
        <v>1295348</v>
      </c>
    </row>
    <row r="610" spans="1:18" x14ac:dyDescent="0.25">
      <c r="A610" s="170">
        <v>42900</v>
      </c>
      <c r="B610" s="116">
        <v>234.45</v>
      </c>
      <c r="C610" s="116">
        <v>233.7</v>
      </c>
      <c r="D610" s="116">
        <v>229</v>
      </c>
      <c r="E610" s="116">
        <v>232.15</v>
      </c>
      <c r="F610" s="116">
        <v>233.7</v>
      </c>
      <c r="G610">
        <v>99319</v>
      </c>
      <c r="H610" s="116"/>
      <c r="I610" s="116"/>
      <c r="L610" s="170">
        <v>42900</v>
      </c>
      <c r="M610" s="116">
        <v>234.05</v>
      </c>
      <c r="N610" s="116">
        <v>234.7</v>
      </c>
      <c r="O610" s="116">
        <v>228.7</v>
      </c>
      <c r="P610" s="116">
        <v>231.9</v>
      </c>
      <c r="Q610" s="116">
        <v>234.05</v>
      </c>
      <c r="R610">
        <v>1635872</v>
      </c>
    </row>
    <row r="611" spans="1:18" x14ac:dyDescent="0.25">
      <c r="A611" s="170">
        <v>42901</v>
      </c>
      <c r="B611" s="116">
        <v>236.7</v>
      </c>
      <c r="C611" s="116">
        <v>235.95</v>
      </c>
      <c r="D611" s="116">
        <v>231.3</v>
      </c>
      <c r="E611" s="116">
        <v>233.65</v>
      </c>
      <c r="F611" s="116">
        <v>235.95</v>
      </c>
      <c r="G611">
        <v>83479</v>
      </c>
      <c r="H611" s="116"/>
      <c r="I611" s="116"/>
      <c r="L611" s="170">
        <v>42901</v>
      </c>
      <c r="M611" s="116">
        <v>236.1</v>
      </c>
      <c r="N611" s="116">
        <v>236.6</v>
      </c>
      <c r="O611" s="116">
        <v>231.3</v>
      </c>
      <c r="P611" s="116">
        <v>236</v>
      </c>
      <c r="Q611" s="116">
        <v>236.1</v>
      </c>
      <c r="R611">
        <v>4396221</v>
      </c>
    </row>
    <row r="612" spans="1:18" x14ac:dyDescent="0.25">
      <c r="A612" s="170">
        <v>42902</v>
      </c>
      <c r="B612" s="116">
        <v>238.35</v>
      </c>
      <c r="C612" s="116">
        <v>237.25</v>
      </c>
      <c r="D612" s="116">
        <v>234.3</v>
      </c>
      <c r="E612" s="116">
        <v>236</v>
      </c>
      <c r="F612" s="116">
        <v>237.25</v>
      </c>
      <c r="G612">
        <v>277913</v>
      </c>
      <c r="H612" s="116"/>
      <c r="I612" s="116"/>
      <c r="L612" s="170">
        <v>42902</v>
      </c>
      <c r="M612" s="116">
        <v>237.25</v>
      </c>
      <c r="N612" s="116">
        <v>238.55</v>
      </c>
      <c r="O612" s="116">
        <v>234</v>
      </c>
      <c r="P612" s="116">
        <v>235.5</v>
      </c>
      <c r="Q612" s="116">
        <v>237.25</v>
      </c>
      <c r="R612">
        <v>4001169</v>
      </c>
    </row>
    <row r="613" spans="1:18" x14ac:dyDescent="0.25">
      <c r="A613" s="170">
        <v>42905</v>
      </c>
      <c r="B613" s="116">
        <v>239.45</v>
      </c>
      <c r="C613" s="116">
        <v>237.45</v>
      </c>
      <c r="D613" s="116">
        <v>237.2</v>
      </c>
      <c r="E613" s="116">
        <v>238.5</v>
      </c>
      <c r="F613" s="116">
        <v>237.45</v>
      </c>
      <c r="G613">
        <v>83610</v>
      </c>
      <c r="H613" s="116"/>
      <c r="I613" s="116"/>
      <c r="L613" s="170">
        <v>42905</v>
      </c>
      <c r="M613" s="116">
        <v>237.8</v>
      </c>
      <c r="N613" s="116">
        <v>239.65</v>
      </c>
      <c r="O613" s="116">
        <v>237.15</v>
      </c>
      <c r="P613" s="116">
        <v>238.3</v>
      </c>
      <c r="Q613" s="116">
        <v>237.8</v>
      </c>
      <c r="R613">
        <v>865666</v>
      </c>
    </row>
    <row r="614" spans="1:18" x14ac:dyDescent="0.25">
      <c r="A614" s="170">
        <v>42906</v>
      </c>
      <c r="B614" s="116">
        <v>241.8</v>
      </c>
      <c r="C614" s="116">
        <v>240.45</v>
      </c>
      <c r="D614" s="116">
        <v>236.65</v>
      </c>
      <c r="E614" s="116">
        <v>237.5</v>
      </c>
      <c r="F614" s="116">
        <v>240.45</v>
      </c>
      <c r="G614">
        <v>139226</v>
      </c>
      <c r="H614" s="116"/>
      <c r="I614" s="116"/>
      <c r="L614" s="170">
        <v>42906</v>
      </c>
      <c r="M614" s="116">
        <v>241.2</v>
      </c>
      <c r="N614" s="116">
        <v>242.1</v>
      </c>
      <c r="O614" s="116">
        <v>236.5</v>
      </c>
      <c r="P614" s="116">
        <v>238</v>
      </c>
      <c r="Q614" s="116">
        <v>241.2</v>
      </c>
      <c r="R614">
        <v>2335353</v>
      </c>
    </row>
    <row r="615" spans="1:18" x14ac:dyDescent="0.25">
      <c r="A615" s="170">
        <v>42907</v>
      </c>
      <c r="B615" s="116">
        <v>241.5</v>
      </c>
      <c r="C615" s="116">
        <v>240.8</v>
      </c>
      <c r="D615" s="116">
        <v>237.4</v>
      </c>
      <c r="E615" s="116">
        <v>239.1</v>
      </c>
      <c r="F615" s="116">
        <v>240.8</v>
      </c>
      <c r="G615">
        <v>79754</v>
      </c>
      <c r="H615" s="116"/>
      <c r="I615" s="116"/>
      <c r="L615" s="170">
        <v>42907</v>
      </c>
      <c r="M615" s="116">
        <v>240.35</v>
      </c>
      <c r="N615" s="116">
        <v>241.35</v>
      </c>
      <c r="O615" s="116">
        <v>237.5</v>
      </c>
      <c r="P615" s="116">
        <v>240</v>
      </c>
      <c r="Q615" s="116">
        <v>240.35</v>
      </c>
      <c r="R615">
        <v>2413141</v>
      </c>
    </row>
    <row r="616" spans="1:18" x14ac:dyDescent="0.25">
      <c r="A616" s="170">
        <v>42908</v>
      </c>
      <c r="B616" s="116">
        <v>246.8</v>
      </c>
      <c r="C616" s="116">
        <v>244.4</v>
      </c>
      <c r="D616" s="116">
        <v>241.2</v>
      </c>
      <c r="E616" s="116">
        <v>241.95</v>
      </c>
      <c r="F616" s="116">
        <v>244.4</v>
      </c>
      <c r="G616">
        <v>217538</v>
      </c>
      <c r="H616" s="116"/>
      <c r="I616" s="116"/>
      <c r="L616" s="170">
        <v>42908</v>
      </c>
      <c r="M616" s="116">
        <v>244.95</v>
      </c>
      <c r="N616" s="116">
        <v>246.9</v>
      </c>
      <c r="O616" s="116">
        <v>240.85</v>
      </c>
      <c r="P616" s="116">
        <v>240.85</v>
      </c>
      <c r="Q616" s="116">
        <v>244.95</v>
      </c>
      <c r="R616">
        <v>4917780</v>
      </c>
    </row>
    <row r="617" spans="1:18" x14ac:dyDescent="0.25">
      <c r="A617" s="170">
        <v>42909</v>
      </c>
      <c r="B617" s="116">
        <v>245.15</v>
      </c>
      <c r="C617" s="116">
        <v>242.9</v>
      </c>
      <c r="D617" s="116">
        <v>240.8</v>
      </c>
      <c r="E617" s="116">
        <v>244</v>
      </c>
      <c r="F617" s="116">
        <v>242.9</v>
      </c>
      <c r="G617">
        <v>84791</v>
      </c>
      <c r="H617" s="116"/>
      <c r="I617" s="116"/>
      <c r="L617" s="170">
        <v>42909</v>
      </c>
      <c r="M617" s="116">
        <v>243.3</v>
      </c>
      <c r="N617" s="116">
        <v>245.25</v>
      </c>
      <c r="O617" s="116">
        <v>240.45</v>
      </c>
      <c r="P617" s="116">
        <v>243.5</v>
      </c>
      <c r="Q617" s="116">
        <v>243.3</v>
      </c>
      <c r="R617">
        <v>2469136</v>
      </c>
    </row>
    <row r="618" spans="1:18" x14ac:dyDescent="0.25">
      <c r="A618" s="170">
        <v>42913</v>
      </c>
      <c r="B618" s="116">
        <v>243.95</v>
      </c>
      <c r="C618" s="116">
        <v>240.1</v>
      </c>
      <c r="D618" s="116">
        <v>238.1</v>
      </c>
      <c r="E618" s="116">
        <v>243.5</v>
      </c>
      <c r="F618" s="116">
        <v>240.1</v>
      </c>
      <c r="G618">
        <v>71089</v>
      </c>
      <c r="H618" s="116"/>
      <c r="I618" s="116"/>
      <c r="L618" s="170">
        <v>42913</v>
      </c>
      <c r="M618" s="116">
        <v>240.75</v>
      </c>
      <c r="N618" s="116">
        <v>244.65</v>
      </c>
      <c r="O618" s="116">
        <v>237.95</v>
      </c>
      <c r="P618" s="116">
        <v>243.2</v>
      </c>
      <c r="Q618" s="116">
        <v>240.75</v>
      </c>
      <c r="R618">
        <v>2654226</v>
      </c>
    </row>
    <row r="619" spans="1:18" x14ac:dyDescent="0.25">
      <c r="A619" s="170">
        <v>42914</v>
      </c>
      <c r="B619" s="116">
        <v>246</v>
      </c>
      <c r="C619" s="116">
        <v>244.75</v>
      </c>
      <c r="D619" s="116">
        <v>237.05</v>
      </c>
      <c r="E619" s="116">
        <v>241.9</v>
      </c>
      <c r="F619" s="116">
        <v>244.75</v>
      </c>
      <c r="G619">
        <v>145967</v>
      </c>
      <c r="H619" s="116"/>
      <c r="I619" s="116"/>
      <c r="L619" s="170">
        <v>42914</v>
      </c>
      <c r="M619" s="116">
        <v>245.65</v>
      </c>
      <c r="N619" s="116">
        <v>246.45</v>
      </c>
      <c r="O619" s="116">
        <v>237.05</v>
      </c>
      <c r="P619" s="116">
        <v>240.8</v>
      </c>
      <c r="Q619" s="116">
        <v>245.65</v>
      </c>
      <c r="R619">
        <v>3461166</v>
      </c>
    </row>
    <row r="620" spans="1:18" x14ac:dyDescent="0.25">
      <c r="A620" s="170">
        <v>42915</v>
      </c>
      <c r="B620" s="116">
        <v>248.4</v>
      </c>
      <c r="C620" s="116">
        <v>246.25</v>
      </c>
      <c r="D620" s="116">
        <v>244.5</v>
      </c>
      <c r="E620" s="116">
        <v>244.75</v>
      </c>
      <c r="F620" s="116">
        <v>246.25</v>
      </c>
      <c r="G620">
        <v>101211</v>
      </c>
      <c r="H620" s="116"/>
      <c r="I620" s="116"/>
      <c r="L620" s="170">
        <v>42915</v>
      </c>
      <c r="M620" s="116">
        <v>246.9</v>
      </c>
      <c r="N620" s="116">
        <v>248.9</v>
      </c>
      <c r="O620" s="116">
        <v>244.2</v>
      </c>
      <c r="P620" s="116">
        <v>245.65</v>
      </c>
      <c r="Q620" s="116">
        <v>246.9</v>
      </c>
      <c r="R620">
        <v>6508472</v>
      </c>
    </row>
    <row r="621" spans="1:18" x14ac:dyDescent="0.25">
      <c r="A621" s="170">
        <v>42916</v>
      </c>
      <c r="B621" s="116">
        <v>247.65</v>
      </c>
      <c r="C621" s="116">
        <v>245.85</v>
      </c>
      <c r="D621" s="116">
        <v>244.5</v>
      </c>
      <c r="E621" s="116">
        <v>245.1</v>
      </c>
      <c r="F621" s="116">
        <v>245.85</v>
      </c>
      <c r="G621">
        <v>324236</v>
      </c>
      <c r="H621" s="116"/>
      <c r="I621" s="116"/>
      <c r="L621" s="170">
        <v>42916</v>
      </c>
      <c r="M621" s="116">
        <v>246.55</v>
      </c>
      <c r="N621" s="116">
        <v>247.75</v>
      </c>
      <c r="O621" s="116">
        <v>244.4</v>
      </c>
      <c r="P621" s="116">
        <v>246.4</v>
      </c>
      <c r="Q621" s="116">
        <v>246.55</v>
      </c>
      <c r="R621">
        <v>3444695</v>
      </c>
    </row>
    <row r="622" spans="1:18" x14ac:dyDescent="0.25">
      <c r="A622" s="170">
        <v>42919</v>
      </c>
      <c r="B622" s="116">
        <v>249.5</v>
      </c>
      <c r="C622" s="116">
        <v>247.3</v>
      </c>
      <c r="D622" s="116">
        <v>245.5</v>
      </c>
      <c r="E622" s="116">
        <v>247.9</v>
      </c>
      <c r="F622" s="116">
        <v>247.3</v>
      </c>
      <c r="G622">
        <v>77956</v>
      </c>
      <c r="H622" s="116"/>
      <c r="I622" s="116"/>
      <c r="L622" s="170">
        <v>42919</v>
      </c>
      <c r="M622" s="116">
        <v>247.45</v>
      </c>
      <c r="N622" s="116">
        <v>249.65</v>
      </c>
      <c r="O622" s="116">
        <v>245.6</v>
      </c>
      <c r="P622" s="116">
        <v>246.4</v>
      </c>
      <c r="Q622" s="116">
        <v>247.45</v>
      </c>
      <c r="R622">
        <v>3166023</v>
      </c>
    </row>
    <row r="623" spans="1:18" x14ac:dyDescent="0.25">
      <c r="A623" s="170">
        <v>42920</v>
      </c>
      <c r="B623" s="116">
        <v>253</v>
      </c>
      <c r="C623" s="116">
        <v>248.9</v>
      </c>
      <c r="D623" s="116">
        <v>248</v>
      </c>
      <c r="E623" s="116">
        <v>252</v>
      </c>
      <c r="F623" s="116">
        <v>248.9</v>
      </c>
      <c r="G623">
        <v>180232</v>
      </c>
      <c r="H623" s="116"/>
      <c r="I623" s="116"/>
      <c r="L623" s="170">
        <v>42920</v>
      </c>
      <c r="M623" s="116">
        <v>249.1</v>
      </c>
      <c r="N623" s="116">
        <v>252.7</v>
      </c>
      <c r="O623" s="116">
        <v>248.1</v>
      </c>
      <c r="P623" s="116">
        <v>252</v>
      </c>
      <c r="Q623" s="116">
        <v>249.1</v>
      </c>
      <c r="R623">
        <v>3624710</v>
      </c>
    </row>
    <row r="624" spans="1:18" x14ac:dyDescent="0.25">
      <c r="A624" s="170">
        <v>42921</v>
      </c>
      <c r="B624" s="116">
        <v>253.9</v>
      </c>
      <c r="C624" s="116">
        <v>252.4</v>
      </c>
      <c r="D624" s="116">
        <v>248.55</v>
      </c>
      <c r="E624" s="116">
        <v>249.8</v>
      </c>
      <c r="F624" s="116">
        <v>252.4</v>
      </c>
      <c r="G624">
        <v>87150</v>
      </c>
      <c r="H624" s="116"/>
      <c r="I624" s="116"/>
      <c r="L624" s="170">
        <v>42921</v>
      </c>
      <c r="M624" s="116">
        <v>253.25</v>
      </c>
      <c r="N624" s="116">
        <v>254.5</v>
      </c>
      <c r="O624" s="116">
        <v>248.55</v>
      </c>
      <c r="P624" s="116">
        <v>249.65</v>
      </c>
      <c r="Q624" s="116">
        <v>253.25</v>
      </c>
      <c r="R624">
        <v>2653067</v>
      </c>
    </row>
    <row r="625" spans="1:18" x14ac:dyDescent="0.25">
      <c r="A625" s="170">
        <v>42922</v>
      </c>
      <c r="B625" s="116">
        <v>256.85000000000002</v>
      </c>
      <c r="C625" s="116">
        <v>255.75</v>
      </c>
      <c r="D625" s="116">
        <v>253.25</v>
      </c>
      <c r="E625" s="116">
        <v>255</v>
      </c>
      <c r="F625" s="116">
        <v>255.75</v>
      </c>
      <c r="G625">
        <v>65203</v>
      </c>
      <c r="H625" s="116"/>
      <c r="I625" s="116"/>
      <c r="L625" s="170">
        <v>42922</v>
      </c>
      <c r="M625" s="116">
        <v>256.60000000000002</v>
      </c>
      <c r="N625" s="116">
        <v>258.2</v>
      </c>
      <c r="O625" s="116">
        <v>253.2</v>
      </c>
      <c r="P625" s="116">
        <v>254.8</v>
      </c>
      <c r="Q625" s="116">
        <v>256.60000000000002</v>
      </c>
      <c r="R625">
        <v>2680640</v>
      </c>
    </row>
    <row r="626" spans="1:18" x14ac:dyDescent="0.25">
      <c r="A626" s="170">
        <v>42923</v>
      </c>
      <c r="B626" s="116">
        <v>257</v>
      </c>
      <c r="C626" s="116">
        <v>252.25</v>
      </c>
      <c r="D626" s="116">
        <v>251.6</v>
      </c>
      <c r="E626" s="116">
        <v>257</v>
      </c>
      <c r="F626" s="116">
        <v>252.25</v>
      </c>
      <c r="G626">
        <v>128620</v>
      </c>
      <c r="H626" s="116"/>
      <c r="I626" s="116"/>
      <c r="L626" s="170">
        <v>42923</v>
      </c>
      <c r="M626" s="116">
        <v>253.45</v>
      </c>
      <c r="N626" s="116">
        <v>256.5</v>
      </c>
      <c r="O626" s="116">
        <v>251.35</v>
      </c>
      <c r="P626" s="116">
        <v>256.5</v>
      </c>
      <c r="Q626" s="116">
        <v>253.45</v>
      </c>
      <c r="R626">
        <v>1668483</v>
      </c>
    </row>
    <row r="627" spans="1:18" x14ac:dyDescent="0.25">
      <c r="A627" s="170">
        <v>42926</v>
      </c>
      <c r="B627" s="116">
        <v>256</v>
      </c>
      <c r="C627" s="116">
        <v>254.55</v>
      </c>
      <c r="D627" s="116">
        <v>251</v>
      </c>
      <c r="E627" s="116">
        <v>254</v>
      </c>
      <c r="F627" s="116">
        <v>254.55</v>
      </c>
      <c r="G627">
        <v>1055827</v>
      </c>
      <c r="H627" s="116"/>
      <c r="I627" s="116"/>
      <c r="L627" s="170">
        <v>42926</v>
      </c>
      <c r="M627" s="116">
        <v>254.4</v>
      </c>
      <c r="N627" s="116">
        <v>255.3</v>
      </c>
      <c r="O627" s="116">
        <v>230.75</v>
      </c>
      <c r="P627" s="116">
        <v>253</v>
      </c>
      <c r="Q627" s="116">
        <v>254.4</v>
      </c>
      <c r="R627">
        <v>180006</v>
      </c>
    </row>
    <row r="628" spans="1:18" x14ac:dyDescent="0.25">
      <c r="A628" s="170">
        <v>42927</v>
      </c>
      <c r="B628" s="116">
        <v>257.35000000000002</v>
      </c>
      <c r="C628" s="116">
        <v>255.2</v>
      </c>
      <c r="D628" s="116">
        <v>253.05</v>
      </c>
      <c r="E628" s="116">
        <v>255</v>
      </c>
      <c r="F628" s="116">
        <v>255.2</v>
      </c>
      <c r="G628">
        <v>167761</v>
      </c>
      <c r="H628" s="116"/>
      <c r="I628" s="116"/>
      <c r="L628" s="170">
        <v>42927</v>
      </c>
      <c r="M628" s="116">
        <v>255.15</v>
      </c>
      <c r="N628" s="116">
        <v>257.3</v>
      </c>
      <c r="O628" s="116">
        <v>253.15</v>
      </c>
      <c r="P628" s="116">
        <v>254.6</v>
      </c>
      <c r="Q628" s="116">
        <v>255.15</v>
      </c>
      <c r="R628">
        <v>2464271</v>
      </c>
    </row>
    <row r="629" spans="1:18" x14ac:dyDescent="0.25">
      <c r="A629" s="170">
        <v>42928</v>
      </c>
      <c r="B629" s="116">
        <v>261.95</v>
      </c>
      <c r="C629" s="116">
        <v>261</v>
      </c>
      <c r="D629" s="116">
        <v>256</v>
      </c>
      <c r="E629" s="116">
        <v>256</v>
      </c>
      <c r="F629" s="116">
        <v>261</v>
      </c>
      <c r="G629">
        <v>343466</v>
      </c>
      <c r="H629" s="116"/>
      <c r="I629" s="116"/>
      <c r="L629" s="170">
        <v>42928</v>
      </c>
      <c r="M629" s="116">
        <v>261</v>
      </c>
      <c r="N629" s="116">
        <v>261.8</v>
      </c>
      <c r="O629" s="116">
        <v>256</v>
      </c>
      <c r="P629" s="116">
        <v>256</v>
      </c>
      <c r="Q629" s="116">
        <v>261</v>
      </c>
      <c r="R629">
        <v>1859209</v>
      </c>
    </row>
    <row r="630" spans="1:18" x14ac:dyDescent="0.25">
      <c r="A630" s="170">
        <v>42929</v>
      </c>
      <c r="B630" s="116">
        <v>264</v>
      </c>
      <c r="C630" s="116">
        <v>262.85000000000002</v>
      </c>
      <c r="D630" s="116">
        <v>260.45</v>
      </c>
      <c r="E630" s="116">
        <v>262</v>
      </c>
      <c r="F630" s="116">
        <v>262.85000000000002</v>
      </c>
      <c r="G630">
        <v>149802</v>
      </c>
      <c r="H630" s="116"/>
      <c r="I630" s="116"/>
      <c r="L630" s="170">
        <v>42929</v>
      </c>
      <c r="M630" s="116">
        <v>263.14999999999998</v>
      </c>
      <c r="N630" s="116">
        <v>263.95</v>
      </c>
      <c r="O630" s="116">
        <v>260.35000000000002</v>
      </c>
      <c r="P630" s="116">
        <v>262</v>
      </c>
      <c r="Q630" s="116">
        <v>263.14999999999998</v>
      </c>
      <c r="R630">
        <v>2101852</v>
      </c>
    </row>
    <row r="631" spans="1:18" x14ac:dyDescent="0.25">
      <c r="A631" s="170">
        <v>42930</v>
      </c>
      <c r="B631" s="116">
        <v>263.2</v>
      </c>
      <c r="C631" s="116">
        <v>261.89999999999998</v>
      </c>
      <c r="D631" s="116">
        <v>259.7</v>
      </c>
      <c r="E631" s="116">
        <v>263</v>
      </c>
      <c r="F631" s="116">
        <v>261.89999999999998</v>
      </c>
      <c r="G631">
        <v>65596</v>
      </c>
      <c r="H631" s="116"/>
      <c r="I631" s="116"/>
      <c r="L631" s="170">
        <v>42930</v>
      </c>
      <c r="M631" s="116">
        <v>261.89999999999998</v>
      </c>
      <c r="N631" s="116">
        <v>263.89999999999998</v>
      </c>
      <c r="O631" s="116">
        <v>259.7</v>
      </c>
      <c r="P631" s="116">
        <v>262.89999999999998</v>
      </c>
      <c r="Q631" s="116">
        <v>261.89999999999998</v>
      </c>
      <c r="R631">
        <v>2298401</v>
      </c>
    </row>
    <row r="632" spans="1:18" x14ac:dyDescent="0.25">
      <c r="A632" s="170">
        <v>42933</v>
      </c>
      <c r="B632" s="116">
        <v>267</v>
      </c>
      <c r="C632" s="116">
        <v>265.95</v>
      </c>
      <c r="D632" s="116">
        <v>262</v>
      </c>
      <c r="E632" s="116">
        <v>262</v>
      </c>
      <c r="F632" s="116">
        <v>265.95</v>
      </c>
      <c r="G632">
        <v>65031</v>
      </c>
      <c r="H632" s="116"/>
      <c r="I632" s="116"/>
      <c r="L632" s="170">
        <v>42933</v>
      </c>
      <c r="M632" s="116">
        <v>266.14999999999998</v>
      </c>
      <c r="N632" s="116">
        <v>267.5</v>
      </c>
      <c r="O632" s="116">
        <v>262.3</v>
      </c>
      <c r="P632" s="116">
        <v>262.55</v>
      </c>
      <c r="Q632" s="116">
        <v>266.14999999999998</v>
      </c>
      <c r="R632">
        <v>1049035</v>
      </c>
    </row>
    <row r="633" spans="1:18" x14ac:dyDescent="0.25">
      <c r="A633" s="170">
        <v>42934</v>
      </c>
      <c r="B633" s="116">
        <v>271.14999999999998</v>
      </c>
      <c r="C633" s="116">
        <v>265.45</v>
      </c>
      <c r="D633" s="116">
        <v>264.64999999999998</v>
      </c>
      <c r="E633" s="116">
        <v>266.5</v>
      </c>
      <c r="F633" s="116">
        <v>265.45</v>
      </c>
      <c r="G633">
        <v>110905</v>
      </c>
      <c r="H633" s="116"/>
      <c r="I633" s="116"/>
      <c r="L633" s="170">
        <v>42934</v>
      </c>
      <c r="M633" s="116">
        <v>266.25</v>
      </c>
      <c r="N633" s="116">
        <v>271</v>
      </c>
      <c r="O633" s="116">
        <v>265</v>
      </c>
      <c r="P633" s="116">
        <v>268.39999999999998</v>
      </c>
      <c r="Q633" s="116">
        <v>266.25</v>
      </c>
      <c r="R633">
        <v>2615130</v>
      </c>
    </row>
    <row r="634" spans="1:18" x14ac:dyDescent="0.25">
      <c r="A634" s="170">
        <v>42935</v>
      </c>
      <c r="B634" s="116">
        <v>268</v>
      </c>
      <c r="C634" s="116">
        <v>264.10000000000002</v>
      </c>
      <c r="D634" s="116">
        <v>261.8</v>
      </c>
      <c r="E634" s="116">
        <v>267.5</v>
      </c>
      <c r="F634" s="116">
        <v>264.10000000000002</v>
      </c>
      <c r="G634">
        <v>91635</v>
      </c>
      <c r="H634" s="116"/>
      <c r="I634" s="116"/>
      <c r="L634" s="170">
        <v>42935</v>
      </c>
      <c r="M634" s="116">
        <v>264.60000000000002</v>
      </c>
      <c r="N634" s="116">
        <v>268</v>
      </c>
      <c r="O634" s="116">
        <v>262</v>
      </c>
      <c r="P634" s="116">
        <v>267.05</v>
      </c>
      <c r="Q634" s="116">
        <v>264.60000000000002</v>
      </c>
      <c r="R634">
        <v>2569184</v>
      </c>
    </row>
    <row r="635" spans="1:18" x14ac:dyDescent="0.25">
      <c r="A635" s="170">
        <v>42936</v>
      </c>
      <c r="B635" s="116">
        <v>270.3</v>
      </c>
      <c r="C635" s="116">
        <v>262.10000000000002</v>
      </c>
      <c r="D635" s="116">
        <v>260.8</v>
      </c>
      <c r="E635" s="116">
        <v>265.89999999999998</v>
      </c>
      <c r="F635" s="116">
        <v>262.10000000000002</v>
      </c>
      <c r="G635">
        <v>158421</v>
      </c>
      <c r="H635" s="116"/>
      <c r="I635" s="116"/>
      <c r="L635" s="170">
        <v>42936</v>
      </c>
      <c r="M635" s="116">
        <v>261.60000000000002</v>
      </c>
      <c r="N635" s="116">
        <v>270.8</v>
      </c>
      <c r="O635" s="116">
        <v>260.5</v>
      </c>
      <c r="P635" s="116">
        <v>265</v>
      </c>
      <c r="Q635" s="116">
        <v>261.60000000000002</v>
      </c>
      <c r="R635">
        <v>3702155</v>
      </c>
    </row>
    <row r="636" spans="1:18" x14ac:dyDescent="0.25">
      <c r="A636" s="170">
        <v>42937</v>
      </c>
      <c r="B636" s="116">
        <v>268</v>
      </c>
      <c r="C636" s="116">
        <v>265.3</v>
      </c>
      <c r="D636" s="116">
        <v>260</v>
      </c>
      <c r="E636" s="116">
        <v>265.8</v>
      </c>
      <c r="F636" s="116">
        <v>265.3</v>
      </c>
      <c r="G636">
        <v>67168</v>
      </c>
      <c r="H636" s="116"/>
      <c r="I636" s="116"/>
      <c r="L636" s="170">
        <v>42937</v>
      </c>
      <c r="M636" s="116">
        <v>266.10000000000002</v>
      </c>
      <c r="N636" s="116">
        <v>268.39999999999998</v>
      </c>
      <c r="O636" s="116">
        <v>260.10000000000002</v>
      </c>
      <c r="P636" s="116">
        <v>262.10000000000002</v>
      </c>
      <c r="Q636" s="116">
        <v>266.10000000000002</v>
      </c>
      <c r="R636">
        <v>1399985</v>
      </c>
    </row>
    <row r="637" spans="1:18" x14ac:dyDescent="0.25">
      <c r="A637" s="170">
        <v>42940</v>
      </c>
      <c r="B637" s="116">
        <v>269.85000000000002</v>
      </c>
      <c r="C637" s="116">
        <v>267.8</v>
      </c>
      <c r="D637" s="116">
        <v>264.8</v>
      </c>
      <c r="E637" s="116">
        <v>269.85000000000002</v>
      </c>
      <c r="F637" s="116">
        <v>267.8</v>
      </c>
      <c r="G637">
        <v>130778</v>
      </c>
      <c r="H637" s="116"/>
      <c r="I637" s="116"/>
      <c r="L637" s="170">
        <v>42940</v>
      </c>
      <c r="M637" s="116">
        <v>268.10000000000002</v>
      </c>
      <c r="N637" s="116">
        <v>269</v>
      </c>
      <c r="O637" s="116">
        <v>264.75</v>
      </c>
      <c r="P637" s="116">
        <v>267.7</v>
      </c>
      <c r="Q637" s="116">
        <v>268.10000000000002</v>
      </c>
      <c r="R637">
        <v>1786012</v>
      </c>
    </row>
    <row r="638" spans="1:18" x14ac:dyDescent="0.25">
      <c r="A638" s="170">
        <v>42941</v>
      </c>
      <c r="B638" s="116">
        <v>275</v>
      </c>
      <c r="C638" s="116">
        <v>267.5</v>
      </c>
      <c r="D638" s="116">
        <v>265.3</v>
      </c>
      <c r="E638" s="116">
        <v>275</v>
      </c>
      <c r="F638" s="116">
        <v>267.5</v>
      </c>
      <c r="G638">
        <v>379654</v>
      </c>
      <c r="H638" s="116"/>
      <c r="I638" s="116"/>
      <c r="L638" s="170">
        <v>42941</v>
      </c>
      <c r="M638" s="116">
        <v>267.8</v>
      </c>
      <c r="N638" s="116">
        <v>275</v>
      </c>
      <c r="O638" s="116">
        <v>265.39999999999998</v>
      </c>
      <c r="P638" s="116">
        <v>275</v>
      </c>
      <c r="Q638" s="116">
        <v>267.8</v>
      </c>
      <c r="R638">
        <v>5705127</v>
      </c>
    </row>
    <row r="639" spans="1:18" x14ac:dyDescent="0.25">
      <c r="A639" s="170">
        <v>42942</v>
      </c>
      <c r="B639" s="116">
        <v>267.39999999999998</v>
      </c>
      <c r="C639" s="116">
        <v>264.75</v>
      </c>
      <c r="D639" s="116">
        <v>264.3</v>
      </c>
      <c r="E639" s="116">
        <v>267.39999999999998</v>
      </c>
      <c r="F639" s="116">
        <v>264.75</v>
      </c>
      <c r="G639">
        <v>87824</v>
      </c>
      <c r="H639" s="116"/>
      <c r="I639" s="116"/>
      <c r="L639" s="170">
        <v>42942</v>
      </c>
      <c r="M639" s="116">
        <v>264.89999999999998</v>
      </c>
      <c r="N639" s="116">
        <v>267.64999999999998</v>
      </c>
      <c r="O639" s="116">
        <v>264</v>
      </c>
      <c r="P639" s="116">
        <v>267.45</v>
      </c>
      <c r="Q639" s="116">
        <v>264.89999999999998</v>
      </c>
      <c r="R639">
        <v>1699994</v>
      </c>
    </row>
    <row r="640" spans="1:18" x14ac:dyDescent="0.25">
      <c r="A640" s="170">
        <v>42943</v>
      </c>
      <c r="B640" s="116">
        <v>266.39999999999998</v>
      </c>
      <c r="C640" s="116">
        <v>264.39999999999998</v>
      </c>
      <c r="D640" s="116">
        <v>263.7</v>
      </c>
      <c r="E640" s="116">
        <v>265</v>
      </c>
      <c r="F640" s="116">
        <v>264.39999999999998</v>
      </c>
      <c r="G640">
        <v>39160</v>
      </c>
      <c r="H640" s="116"/>
      <c r="I640" s="116"/>
      <c r="L640" s="170">
        <v>42943</v>
      </c>
      <c r="M640" s="116">
        <v>264.60000000000002</v>
      </c>
      <c r="N640" s="116">
        <v>266.5</v>
      </c>
      <c r="O640" s="116">
        <v>263.8</v>
      </c>
      <c r="P640" s="116">
        <v>264.89999999999998</v>
      </c>
      <c r="Q640" s="116">
        <v>264.60000000000002</v>
      </c>
      <c r="R640">
        <v>2277932</v>
      </c>
    </row>
    <row r="641" spans="1:18" x14ac:dyDescent="0.25">
      <c r="A641" s="170">
        <v>42944</v>
      </c>
      <c r="B641" s="116">
        <v>267.39999999999998</v>
      </c>
      <c r="C641" s="116">
        <v>262.85000000000002</v>
      </c>
      <c r="D641" s="116">
        <v>261.14999999999998</v>
      </c>
      <c r="E641" s="116">
        <v>266</v>
      </c>
      <c r="F641" s="116">
        <v>262.85000000000002</v>
      </c>
      <c r="G641">
        <v>60574</v>
      </c>
      <c r="H641" s="116"/>
      <c r="I641" s="116"/>
      <c r="L641" s="170">
        <v>42944</v>
      </c>
      <c r="M641" s="116">
        <v>262.60000000000002</v>
      </c>
      <c r="N641" s="116">
        <v>267.7</v>
      </c>
      <c r="O641" s="116">
        <v>260.85000000000002</v>
      </c>
      <c r="P641" s="116">
        <v>264.25</v>
      </c>
      <c r="Q641" s="116">
        <v>262.60000000000002</v>
      </c>
      <c r="R641">
        <v>1754006</v>
      </c>
    </row>
    <row r="642" spans="1:18" x14ac:dyDescent="0.25">
      <c r="A642" s="170">
        <v>42947</v>
      </c>
      <c r="B642" s="116">
        <v>264.95</v>
      </c>
      <c r="C642" s="116">
        <v>263.25</v>
      </c>
      <c r="D642" s="116">
        <v>261.75</v>
      </c>
      <c r="E642" s="116">
        <v>262.05</v>
      </c>
      <c r="F642" s="116">
        <v>263.25</v>
      </c>
      <c r="G642">
        <v>115529</v>
      </c>
      <c r="H642" s="116"/>
      <c r="I642" s="116"/>
      <c r="L642" s="170">
        <v>42947</v>
      </c>
      <c r="M642" s="116">
        <v>263.14999999999998</v>
      </c>
      <c r="N642" s="116">
        <v>265</v>
      </c>
      <c r="O642" s="116">
        <v>261.5</v>
      </c>
      <c r="P642" s="116">
        <v>262.5</v>
      </c>
      <c r="Q642" s="116">
        <v>263.14999999999998</v>
      </c>
      <c r="R642">
        <v>1524550</v>
      </c>
    </row>
    <row r="643" spans="1:18" x14ac:dyDescent="0.25">
      <c r="A643" s="170">
        <v>42948</v>
      </c>
      <c r="B643" s="116">
        <v>266.10000000000002</v>
      </c>
      <c r="C643" s="116">
        <v>261.05</v>
      </c>
      <c r="D643" s="116">
        <v>260.14999999999998</v>
      </c>
      <c r="E643" s="116">
        <v>264</v>
      </c>
      <c r="F643" s="116">
        <v>261.05</v>
      </c>
      <c r="G643">
        <v>211895</v>
      </c>
      <c r="H643" s="116"/>
      <c r="I643" s="116"/>
      <c r="L643" s="170">
        <v>42948</v>
      </c>
      <c r="M643" s="116">
        <v>260.8</v>
      </c>
      <c r="N643" s="116">
        <v>266.5</v>
      </c>
      <c r="O643" s="116">
        <v>259.8</v>
      </c>
      <c r="P643" s="116">
        <v>264.39999999999998</v>
      </c>
      <c r="Q643" s="116">
        <v>260.8</v>
      </c>
      <c r="R643">
        <v>2370928</v>
      </c>
    </row>
    <row r="644" spans="1:18" x14ac:dyDescent="0.25">
      <c r="A644" s="170">
        <v>42949</v>
      </c>
      <c r="B644" s="116">
        <v>267</v>
      </c>
      <c r="C644" s="116">
        <v>265.7</v>
      </c>
      <c r="D644" s="116">
        <v>257.85000000000002</v>
      </c>
      <c r="E644" s="116">
        <v>261</v>
      </c>
      <c r="F644" s="116">
        <v>265.7</v>
      </c>
      <c r="G644">
        <v>134536</v>
      </c>
      <c r="H644" s="116"/>
      <c r="I644" s="116"/>
      <c r="L644" s="170">
        <v>42949</v>
      </c>
      <c r="M644" s="116">
        <v>266.60000000000002</v>
      </c>
      <c r="N644" s="116">
        <v>267.89999999999998</v>
      </c>
      <c r="O644" s="116">
        <v>258.10000000000002</v>
      </c>
      <c r="P644" s="116">
        <v>259.89999999999998</v>
      </c>
      <c r="Q644" s="116">
        <v>266.60000000000002</v>
      </c>
      <c r="R644">
        <v>2324968</v>
      </c>
    </row>
    <row r="645" spans="1:18" x14ac:dyDescent="0.25">
      <c r="A645" s="170">
        <v>42950</v>
      </c>
      <c r="B645" s="116">
        <v>272.89999999999998</v>
      </c>
      <c r="C645" s="116">
        <v>272.05</v>
      </c>
      <c r="D645" s="116">
        <v>264.25</v>
      </c>
      <c r="E645" s="116">
        <v>266.39999999999998</v>
      </c>
      <c r="F645" s="116">
        <v>272.05</v>
      </c>
      <c r="G645">
        <v>189188</v>
      </c>
      <c r="H645" s="116"/>
      <c r="I645" s="116"/>
      <c r="L645" s="170">
        <v>42950</v>
      </c>
      <c r="M645" s="116">
        <v>272.10000000000002</v>
      </c>
      <c r="N645" s="116">
        <v>273</v>
      </c>
      <c r="O645" s="116">
        <v>264</v>
      </c>
      <c r="P645" s="116">
        <v>266.5</v>
      </c>
      <c r="Q645" s="116">
        <v>272.10000000000002</v>
      </c>
      <c r="R645">
        <v>3813836</v>
      </c>
    </row>
    <row r="646" spans="1:18" x14ac:dyDescent="0.25">
      <c r="A646" s="170">
        <v>42951</v>
      </c>
      <c r="B646" s="116">
        <v>278</v>
      </c>
      <c r="C646" s="116">
        <v>277.60000000000002</v>
      </c>
      <c r="D646" s="116">
        <v>269.5</v>
      </c>
      <c r="E646" s="116">
        <v>273</v>
      </c>
      <c r="F646" s="116">
        <v>277.60000000000002</v>
      </c>
      <c r="G646">
        <v>209701</v>
      </c>
      <c r="H646" s="116"/>
      <c r="I646" s="116"/>
      <c r="L646" s="170">
        <v>42951</v>
      </c>
      <c r="M646" s="116">
        <v>277.45</v>
      </c>
      <c r="N646" s="116">
        <v>278.2</v>
      </c>
      <c r="O646" s="116">
        <v>269.3</v>
      </c>
      <c r="P646" s="116">
        <v>271.35000000000002</v>
      </c>
      <c r="Q646" s="116">
        <v>277.45</v>
      </c>
      <c r="R646">
        <v>4142004</v>
      </c>
    </row>
    <row r="647" spans="1:18" x14ac:dyDescent="0.25">
      <c r="A647" s="170">
        <v>42954</v>
      </c>
      <c r="B647" s="116">
        <v>282.3</v>
      </c>
      <c r="C647" s="116">
        <v>279.64999999999998</v>
      </c>
      <c r="D647" s="116">
        <v>272.60000000000002</v>
      </c>
      <c r="E647" s="116">
        <v>277.60000000000002</v>
      </c>
      <c r="F647" s="116">
        <v>279.64999999999998</v>
      </c>
      <c r="G647">
        <v>136725</v>
      </c>
      <c r="H647" s="116"/>
      <c r="I647" s="116"/>
      <c r="L647" s="170">
        <v>42954</v>
      </c>
      <c r="M647" s="116">
        <v>279.5</v>
      </c>
      <c r="N647" s="116">
        <v>281.45</v>
      </c>
      <c r="O647" s="116">
        <v>272.5</v>
      </c>
      <c r="P647" s="116">
        <v>276.7</v>
      </c>
      <c r="Q647" s="116">
        <v>279.5</v>
      </c>
      <c r="R647">
        <v>1632831</v>
      </c>
    </row>
    <row r="648" spans="1:18" x14ac:dyDescent="0.25">
      <c r="A648" s="170">
        <v>42955</v>
      </c>
      <c r="B648" s="116">
        <v>280.55</v>
      </c>
      <c r="C648" s="116">
        <v>275</v>
      </c>
      <c r="D648" s="116">
        <v>273.60000000000002</v>
      </c>
      <c r="E648" s="116">
        <v>278.05</v>
      </c>
      <c r="F648" s="116">
        <v>275</v>
      </c>
      <c r="G648">
        <v>146729</v>
      </c>
      <c r="H648" s="116"/>
      <c r="I648" s="116"/>
      <c r="L648" s="170">
        <v>42955</v>
      </c>
      <c r="M648" s="116">
        <v>274.14999999999998</v>
      </c>
      <c r="N648" s="116">
        <v>280.75</v>
      </c>
      <c r="O648" s="116">
        <v>273.35000000000002</v>
      </c>
      <c r="P648" s="116">
        <v>278</v>
      </c>
      <c r="Q648" s="116">
        <v>274.14999999999998</v>
      </c>
      <c r="R648">
        <v>921821</v>
      </c>
    </row>
    <row r="649" spans="1:18" x14ac:dyDescent="0.25">
      <c r="A649" s="170">
        <v>42956</v>
      </c>
      <c r="B649" s="116">
        <v>275</v>
      </c>
      <c r="C649" s="116">
        <v>273.25</v>
      </c>
      <c r="D649" s="116">
        <v>270.25</v>
      </c>
      <c r="E649" s="116">
        <v>275</v>
      </c>
      <c r="F649" s="116">
        <v>273.25</v>
      </c>
      <c r="G649">
        <v>48389</v>
      </c>
      <c r="H649" s="116"/>
      <c r="I649" s="116"/>
      <c r="L649" s="170">
        <v>42956</v>
      </c>
      <c r="M649" s="116">
        <v>273.2</v>
      </c>
      <c r="N649" s="116">
        <v>274.8</v>
      </c>
      <c r="O649" s="116">
        <v>270.25</v>
      </c>
      <c r="P649" s="116">
        <v>272.89999999999998</v>
      </c>
      <c r="Q649" s="116">
        <v>273.2</v>
      </c>
      <c r="R649">
        <v>949202</v>
      </c>
    </row>
    <row r="650" spans="1:18" x14ac:dyDescent="0.25">
      <c r="A650" s="170">
        <v>42957</v>
      </c>
      <c r="B650" s="116">
        <v>272.25</v>
      </c>
      <c r="C650" s="116">
        <v>267.55</v>
      </c>
      <c r="D650" s="116">
        <v>266</v>
      </c>
      <c r="E650" s="116">
        <v>272</v>
      </c>
      <c r="F650" s="116">
        <v>267.55</v>
      </c>
      <c r="G650">
        <v>99326</v>
      </c>
      <c r="H650" s="116"/>
      <c r="I650" s="116"/>
      <c r="L650" s="170">
        <v>42957</v>
      </c>
      <c r="M650" s="116">
        <v>267.45</v>
      </c>
      <c r="N650" s="116">
        <v>273.60000000000002</v>
      </c>
      <c r="O650" s="116">
        <v>266.05</v>
      </c>
      <c r="P650" s="116">
        <v>272</v>
      </c>
      <c r="Q650" s="116">
        <v>267.45</v>
      </c>
      <c r="R650">
        <v>1402846</v>
      </c>
    </row>
    <row r="651" spans="1:18" x14ac:dyDescent="0.25">
      <c r="A651" s="170">
        <v>42958</v>
      </c>
      <c r="B651" s="116">
        <v>268.60000000000002</v>
      </c>
      <c r="C651" s="116">
        <v>263.25</v>
      </c>
      <c r="D651" s="116">
        <v>262.39999999999998</v>
      </c>
      <c r="E651" s="116">
        <v>266.2</v>
      </c>
      <c r="F651" s="116">
        <v>263.25</v>
      </c>
      <c r="G651">
        <v>56731</v>
      </c>
      <c r="H651" s="116"/>
      <c r="I651" s="116"/>
      <c r="L651" s="170">
        <v>42958</v>
      </c>
      <c r="M651" s="116">
        <v>263.35000000000002</v>
      </c>
      <c r="N651" s="116">
        <v>268.5</v>
      </c>
      <c r="O651" s="116">
        <v>262.55</v>
      </c>
      <c r="P651" s="116">
        <v>263.10000000000002</v>
      </c>
      <c r="Q651" s="116">
        <v>263.35000000000002</v>
      </c>
      <c r="R651">
        <v>1515060</v>
      </c>
    </row>
    <row r="652" spans="1:18" x14ac:dyDescent="0.25">
      <c r="A652" s="170">
        <v>42961</v>
      </c>
      <c r="B652" s="116">
        <v>266.55</v>
      </c>
      <c r="C652" s="116">
        <v>265.55</v>
      </c>
      <c r="D652" s="116">
        <v>262.8</v>
      </c>
      <c r="E652" s="116">
        <v>265</v>
      </c>
      <c r="F652" s="116">
        <v>265.55</v>
      </c>
      <c r="G652">
        <v>61280</v>
      </c>
      <c r="H652" s="116"/>
      <c r="I652" s="116"/>
      <c r="L652" s="170">
        <v>42961</v>
      </c>
      <c r="M652" s="116">
        <v>265.10000000000002</v>
      </c>
      <c r="N652" s="116">
        <v>266.39999999999998</v>
      </c>
      <c r="O652" s="116">
        <v>262.75</v>
      </c>
      <c r="P652" s="116">
        <v>264.85000000000002</v>
      </c>
      <c r="Q652" s="116">
        <v>265.10000000000002</v>
      </c>
      <c r="R652">
        <v>2162725</v>
      </c>
    </row>
    <row r="653" spans="1:18" x14ac:dyDescent="0.25">
      <c r="A653" s="170">
        <v>42963</v>
      </c>
      <c r="B653" s="116">
        <v>270.89999999999998</v>
      </c>
      <c r="C653" s="116">
        <v>270.14999999999998</v>
      </c>
      <c r="D653" s="116">
        <v>264.8</v>
      </c>
      <c r="E653" s="116">
        <v>265.60000000000002</v>
      </c>
      <c r="F653" s="116">
        <v>270.14999999999998</v>
      </c>
      <c r="G653">
        <v>64011</v>
      </c>
      <c r="H653" s="116"/>
      <c r="I653" s="116"/>
      <c r="L653" s="170">
        <v>42963</v>
      </c>
      <c r="M653" s="116">
        <v>270.05</v>
      </c>
      <c r="N653" s="116">
        <v>270.75</v>
      </c>
      <c r="O653" s="116">
        <v>264.3</v>
      </c>
      <c r="P653" s="116">
        <v>265.60000000000002</v>
      </c>
      <c r="Q653" s="116">
        <v>270.05</v>
      </c>
      <c r="R653">
        <v>1804763</v>
      </c>
    </row>
    <row r="654" spans="1:18" x14ac:dyDescent="0.25">
      <c r="A654" s="170">
        <v>42964</v>
      </c>
      <c r="B654" s="116">
        <v>274.64999999999998</v>
      </c>
      <c r="C654" s="116">
        <v>270.14999999999998</v>
      </c>
      <c r="D654" s="116">
        <v>269.35000000000002</v>
      </c>
      <c r="E654" s="116">
        <v>270.3</v>
      </c>
      <c r="F654" s="116">
        <v>270.14999999999998</v>
      </c>
      <c r="G654">
        <v>66313</v>
      </c>
      <c r="H654" s="116"/>
      <c r="I654" s="116"/>
      <c r="L654" s="170">
        <v>42964</v>
      </c>
      <c r="M654" s="116">
        <v>270.89999999999998</v>
      </c>
      <c r="N654" s="116">
        <v>274.89999999999998</v>
      </c>
      <c r="O654" s="116">
        <v>269.35000000000002</v>
      </c>
      <c r="P654" s="116">
        <v>273.25</v>
      </c>
      <c r="Q654" s="116">
        <v>270.89999999999998</v>
      </c>
      <c r="R654">
        <v>2464131</v>
      </c>
    </row>
    <row r="655" spans="1:18" x14ac:dyDescent="0.25">
      <c r="A655" s="170">
        <v>42965</v>
      </c>
      <c r="B655" s="116">
        <v>277</v>
      </c>
      <c r="C655" s="116">
        <v>274.75</v>
      </c>
      <c r="D655" s="116">
        <v>267.45</v>
      </c>
      <c r="E655" s="116">
        <v>270.05</v>
      </c>
      <c r="F655" s="116">
        <v>274.75</v>
      </c>
      <c r="G655">
        <v>439945</v>
      </c>
      <c r="H655" s="116"/>
      <c r="I655" s="116"/>
      <c r="L655" s="170">
        <v>42965</v>
      </c>
      <c r="M655" s="116">
        <v>274.95</v>
      </c>
      <c r="N655" s="116">
        <v>276.75</v>
      </c>
      <c r="O655" s="116">
        <v>267.10000000000002</v>
      </c>
      <c r="P655" s="116">
        <v>270.2</v>
      </c>
      <c r="Q655" s="116">
        <v>274.95</v>
      </c>
      <c r="R655">
        <v>2173179</v>
      </c>
    </row>
    <row r="656" spans="1:18" x14ac:dyDescent="0.25">
      <c r="A656" s="170">
        <v>42968</v>
      </c>
      <c r="B656" s="116">
        <v>279.5</v>
      </c>
      <c r="C656" s="116">
        <v>275.95</v>
      </c>
      <c r="D656" s="116">
        <v>272.10000000000002</v>
      </c>
      <c r="E656" s="116">
        <v>275</v>
      </c>
      <c r="F656" s="116">
        <v>275.95</v>
      </c>
      <c r="G656">
        <v>638122</v>
      </c>
      <c r="H656" s="116"/>
      <c r="I656" s="116"/>
      <c r="L656" s="170">
        <v>42968</v>
      </c>
      <c r="M656" s="116">
        <v>274.39999999999998</v>
      </c>
      <c r="N656" s="116">
        <v>277.7</v>
      </c>
      <c r="O656" s="116">
        <v>272.55</v>
      </c>
      <c r="P656" s="116">
        <v>274.7</v>
      </c>
      <c r="Q656" s="116">
        <v>274.39999999999998</v>
      </c>
      <c r="R656">
        <v>1420376</v>
      </c>
    </row>
    <row r="657" spans="1:18" x14ac:dyDescent="0.25">
      <c r="A657" s="170">
        <v>42969</v>
      </c>
      <c r="B657" s="116">
        <v>278</v>
      </c>
      <c r="C657" s="116">
        <v>272.95</v>
      </c>
      <c r="D657" s="116">
        <v>271.7</v>
      </c>
      <c r="E657" s="116">
        <v>277</v>
      </c>
      <c r="F657" s="116">
        <v>272.95</v>
      </c>
      <c r="G657">
        <v>89460</v>
      </c>
      <c r="H657" s="116"/>
      <c r="I657" s="116"/>
      <c r="L657" s="170">
        <v>42969</v>
      </c>
      <c r="M657" s="116">
        <v>273.14999999999998</v>
      </c>
      <c r="N657" s="116">
        <v>276.89999999999998</v>
      </c>
      <c r="O657" s="116">
        <v>271.5</v>
      </c>
      <c r="P657" s="116">
        <v>276.89999999999998</v>
      </c>
      <c r="Q657" s="116">
        <v>273.14999999999998</v>
      </c>
      <c r="R657">
        <v>1561082</v>
      </c>
    </row>
    <row r="658" spans="1:18" x14ac:dyDescent="0.25">
      <c r="A658" s="170">
        <v>42970</v>
      </c>
      <c r="B658" s="116">
        <v>276.64999999999998</v>
      </c>
      <c r="C658" s="116">
        <v>276.05</v>
      </c>
      <c r="D658" s="116">
        <v>273.39999999999998</v>
      </c>
      <c r="E658" s="116">
        <v>274.35000000000002</v>
      </c>
      <c r="F658" s="116">
        <v>276.05</v>
      </c>
      <c r="G658">
        <v>42225</v>
      </c>
      <c r="H658" s="116"/>
      <c r="I658" s="116"/>
      <c r="L658" s="170">
        <v>42970</v>
      </c>
      <c r="M658" s="116">
        <v>276.64999999999998</v>
      </c>
      <c r="N658" s="116">
        <v>277.39999999999998</v>
      </c>
      <c r="O658" s="116">
        <v>272.60000000000002</v>
      </c>
      <c r="P658" s="116">
        <v>274</v>
      </c>
      <c r="Q658" s="116">
        <v>276.64999999999998</v>
      </c>
      <c r="R658">
        <v>1018756</v>
      </c>
    </row>
    <row r="659" spans="1:18" x14ac:dyDescent="0.25">
      <c r="A659" s="170">
        <v>42971</v>
      </c>
      <c r="B659" s="116">
        <v>278.2</v>
      </c>
      <c r="C659" s="116">
        <v>275.14999999999998</v>
      </c>
      <c r="D659" s="116">
        <v>273.3</v>
      </c>
      <c r="E659" s="116">
        <v>277.95</v>
      </c>
      <c r="F659" s="116">
        <v>275.14999999999998</v>
      </c>
      <c r="G659">
        <v>45156</v>
      </c>
      <c r="H659" s="116"/>
      <c r="I659" s="116"/>
      <c r="L659" s="170">
        <v>42971</v>
      </c>
      <c r="M659" s="116">
        <v>275.39999999999998</v>
      </c>
      <c r="N659" s="116">
        <v>278</v>
      </c>
      <c r="O659" s="116">
        <v>273.2</v>
      </c>
      <c r="P659" s="116">
        <v>277.2</v>
      </c>
      <c r="Q659" s="116">
        <v>275.39999999999998</v>
      </c>
      <c r="R659">
        <v>1073190</v>
      </c>
    </row>
    <row r="660" spans="1:18" x14ac:dyDescent="0.25">
      <c r="A660" s="170">
        <v>42975</v>
      </c>
      <c r="B660" s="116">
        <v>281.64999999999998</v>
      </c>
      <c r="C660" s="116">
        <v>280.05</v>
      </c>
      <c r="D660" s="116">
        <v>275.05</v>
      </c>
      <c r="E660" s="116">
        <v>277</v>
      </c>
      <c r="F660" s="116">
        <v>280.05</v>
      </c>
      <c r="G660">
        <v>144702</v>
      </c>
      <c r="H660" s="116"/>
      <c r="I660" s="116"/>
      <c r="L660" s="170">
        <v>42975</v>
      </c>
      <c r="M660" s="116">
        <v>279.35000000000002</v>
      </c>
      <c r="N660" s="116">
        <v>281.89999999999998</v>
      </c>
      <c r="O660" s="116">
        <v>274.60000000000002</v>
      </c>
      <c r="P660" s="116">
        <v>277.2</v>
      </c>
      <c r="Q660" s="116">
        <v>279.35000000000002</v>
      </c>
      <c r="R660">
        <v>2031129</v>
      </c>
    </row>
    <row r="661" spans="1:18" x14ac:dyDescent="0.25">
      <c r="A661" s="170">
        <v>42976</v>
      </c>
      <c r="B661" s="116">
        <v>279.95</v>
      </c>
      <c r="C661" s="116">
        <v>275.10000000000002</v>
      </c>
      <c r="D661" s="116">
        <v>273.89999999999998</v>
      </c>
      <c r="E661" s="116">
        <v>279.95</v>
      </c>
      <c r="F661" s="116">
        <v>275.10000000000002</v>
      </c>
      <c r="G661">
        <v>121755</v>
      </c>
      <c r="H661" s="116"/>
      <c r="I661" s="116"/>
      <c r="L661" s="170">
        <v>42976</v>
      </c>
      <c r="M661" s="116">
        <v>275</v>
      </c>
      <c r="N661" s="116">
        <v>278.85000000000002</v>
      </c>
      <c r="O661" s="116">
        <v>273.60000000000002</v>
      </c>
      <c r="P661" s="116">
        <v>278.7</v>
      </c>
      <c r="Q661" s="116">
        <v>275</v>
      </c>
      <c r="R661">
        <v>2313805</v>
      </c>
    </row>
    <row r="662" spans="1:18" x14ac:dyDescent="0.25">
      <c r="A662" s="170">
        <v>42977</v>
      </c>
      <c r="B662" s="116">
        <v>281.7</v>
      </c>
      <c r="C662" s="116">
        <v>280.39999999999998</v>
      </c>
      <c r="D662" s="116">
        <v>277</v>
      </c>
      <c r="E662" s="116">
        <v>277.8</v>
      </c>
      <c r="F662" s="116">
        <v>280.39999999999998</v>
      </c>
      <c r="G662">
        <v>98428</v>
      </c>
      <c r="H662" s="116"/>
      <c r="I662" s="116"/>
      <c r="L662" s="170">
        <v>42977</v>
      </c>
      <c r="M662" s="116">
        <v>280.14999999999998</v>
      </c>
      <c r="N662" s="116">
        <v>281.85000000000002</v>
      </c>
      <c r="O662" s="116">
        <v>277.14999999999998</v>
      </c>
      <c r="P662" s="116">
        <v>278.05</v>
      </c>
      <c r="Q662" s="116">
        <v>280.14999999999998</v>
      </c>
      <c r="R662">
        <v>1271563</v>
      </c>
    </row>
    <row r="663" spans="1:18" x14ac:dyDescent="0.25">
      <c r="A663" s="170">
        <v>42978</v>
      </c>
      <c r="B663" s="116">
        <v>282</v>
      </c>
      <c r="C663" s="116">
        <v>280.60000000000002</v>
      </c>
      <c r="D663" s="116">
        <v>278.8</v>
      </c>
      <c r="E663" s="116">
        <v>281</v>
      </c>
      <c r="F663" s="116">
        <v>280.60000000000002</v>
      </c>
      <c r="G663">
        <v>141167</v>
      </c>
      <c r="H663" s="116"/>
      <c r="I663" s="116"/>
      <c r="L663" s="170">
        <v>42978</v>
      </c>
      <c r="M663" s="116">
        <v>280.35000000000002</v>
      </c>
      <c r="N663" s="116">
        <v>282</v>
      </c>
      <c r="O663" s="116">
        <v>278.5</v>
      </c>
      <c r="P663" s="116">
        <v>282</v>
      </c>
      <c r="Q663" s="116">
        <v>280.35000000000002</v>
      </c>
      <c r="R663">
        <v>2076018</v>
      </c>
    </row>
    <row r="664" spans="1:18" x14ac:dyDescent="0.25">
      <c r="A664" s="170">
        <v>42979</v>
      </c>
      <c r="B664" s="116">
        <v>284.7</v>
      </c>
      <c r="C664" s="116">
        <v>282.3</v>
      </c>
      <c r="D664" s="116">
        <v>281</v>
      </c>
      <c r="E664" s="116">
        <v>281</v>
      </c>
      <c r="F664" s="116">
        <v>282.3</v>
      </c>
      <c r="G664">
        <v>145728</v>
      </c>
      <c r="H664" s="116"/>
      <c r="I664" s="116"/>
      <c r="L664" s="170">
        <v>42979</v>
      </c>
      <c r="M664" s="116">
        <v>282.60000000000002</v>
      </c>
      <c r="N664" s="116">
        <v>284.95</v>
      </c>
      <c r="O664" s="116">
        <v>280.55</v>
      </c>
      <c r="P664" s="116">
        <v>281.89999999999998</v>
      </c>
      <c r="Q664" s="116">
        <v>282.60000000000002</v>
      </c>
      <c r="R664">
        <v>1197940</v>
      </c>
    </row>
    <row r="665" spans="1:18" x14ac:dyDescent="0.25">
      <c r="A665" s="170">
        <v>42982</v>
      </c>
      <c r="B665" s="116">
        <v>284</v>
      </c>
      <c r="C665" s="116">
        <v>276.45</v>
      </c>
      <c r="D665" s="116">
        <v>275.05</v>
      </c>
      <c r="E665" s="116">
        <v>282.3</v>
      </c>
      <c r="F665" s="116">
        <v>276.45</v>
      </c>
      <c r="G665">
        <v>112583</v>
      </c>
      <c r="H665" s="116"/>
      <c r="I665" s="116"/>
      <c r="L665" s="170">
        <v>42982</v>
      </c>
      <c r="M665" s="116">
        <v>276.8</v>
      </c>
      <c r="N665" s="116">
        <v>283.39999999999998</v>
      </c>
      <c r="O665" s="116">
        <v>275.10000000000002</v>
      </c>
      <c r="P665" s="116">
        <v>282.35000000000002</v>
      </c>
      <c r="Q665" s="116">
        <v>276.8</v>
      </c>
      <c r="R665">
        <v>2196967</v>
      </c>
    </row>
    <row r="666" spans="1:18" x14ac:dyDescent="0.25">
      <c r="A666" s="170">
        <v>42983</v>
      </c>
      <c r="B666" s="116">
        <v>282.75</v>
      </c>
      <c r="C666" s="116">
        <v>281.85000000000002</v>
      </c>
      <c r="D666" s="116">
        <v>274.5</v>
      </c>
      <c r="E666" s="116">
        <v>277</v>
      </c>
      <c r="F666" s="116">
        <v>281.85000000000002</v>
      </c>
      <c r="G666">
        <v>169666</v>
      </c>
      <c r="H666" s="116"/>
      <c r="I666" s="116"/>
      <c r="L666" s="170">
        <v>42983</v>
      </c>
      <c r="M666" s="116">
        <v>282.45</v>
      </c>
      <c r="N666" s="116">
        <v>283.05</v>
      </c>
      <c r="O666" s="116">
        <v>274.5</v>
      </c>
      <c r="P666" s="116">
        <v>276.85000000000002</v>
      </c>
      <c r="Q666" s="116">
        <v>282.45</v>
      </c>
      <c r="R666">
        <v>2029499</v>
      </c>
    </row>
    <row r="667" spans="1:18" x14ac:dyDescent="0.25">
      <c r="A667" s="170">
        <v>42984</v>
      </c>
      <c r="B667" s="116">
        <v>286.39999999999998</v>
      </c>
      <c r="C667" s="116">
        <v>283.39999999999998</v>
      </c>
      <c r="D667" s="116">
        <v>280.2</v>
      </c>
      <c r="E667" s="116">
        <v>284</v>
      </c>
      <c r="F667" s="116">
        <v>283.39999999999998</v>
      </c>
      <c r="G667">
        <v>178175</v>
      </c>
      <c r="H667" s="116"/>
      <c r="I667" s="116"/>
      <c r="L667" s="170">
        <v>42984</v>
      </c>
      <c r="M667" s="116">
        <v>282.60000000000002</v>
      </c>
      <c r="N667" s="116">
        <v>286.8</v>
      </c>
      <c r="O667" s="116">
        <v>280.14999999999998</v>
      </c>
      <c r="P667" s="116">
        <v>281.39999999999998</v>
      </c>
      <c r="Q667" s="116">
        <v>282.60000000000002</v>
      </c>
      <c r="R667">
        <v>2217173</v>
      </c>
    </row>
    <row r="668" spans="1:18" x14ac:dyDescent="0.25">
      <c r="A668" s="170">
        <v>42985</v>
      </c>
      <c r="B668" s="116">
        <v>285</v>
      </c>
      <c r="C668" s="116">
        <v>281.39999999999998</v>
      </c>
      <c r="D668" s="116">
        <v>280.5</v>
      </c>
      <c r="E668" s="116">
        <v>283.39999999999998</v>
      </c>
      <c r="F668" s="116">
        <v>281.39999999999998</v>
      </c>
      <c r="G668">
        <v>73140</v>
      </c>
      <c r="H668" s="116"/>
      <c r="I668" s="116"/>
      <c r="L668" s="170">
        <v>42985</v>
      </c>
      <c r="M668" s="116">
        <v>281.05</v>
      </c>
      <c r="N668" s="116">
        <v>285.39999999999998</v>
      </c>
      <c r="O668" s="116">
        <v>280.39999999999998</v>
      </c>
      <c r="P668" s="116">
        <v>283.60000000000002</v>
      </c>
      <c r="Q668" s="116">
        <v>281.05</v>
      </c>
      <c r="R668">
        <v>1675064</v>
      </c>
    </row>
    <row r="669" spans="1:18" x14ac:dyDescent="0.25">
      <c r="A669" s="170">
        <v>42986</v>
      </c>
      <c r="B669" s="116">
        <v>284.10000000000002</v>
      </c>
      <c r="C669" s="116">
        <v>281.55</v>
      </c>
      <c r="D669" s="116">
        <v>279.85000000000002</v>
      </c>
      <c r="E669" s="116">
        <v>282</v>
      </c>
      <c r="F669" s="116">
        <v>281.55</v>
      </c>
      <c r="G669">
        <v>57553</v>
      </c>
      <c r="H669" s="116"/>
      <c r="I669" s="116"/>
      <c r="L669" s="170">
        <v>42986</v>
      </c>
      <c r="M669" s="116">
        <v>282.55</v>
      </c>
      <c r="N669" s="116">
        <v>284.55</v>
      </c>
      <c r="O669" s="116">
        <v>280.35000000000002</v>
      </c>
      <c r="P669" s="116">
        <v>284.55</v>
      </c>
      <c r="Q669" s="116">
        <v>282.55</v>
      </c>
      <c r="R669">
        <v>1275740</v>
      </c>
    </row>
    <row r="670" spans="1:18" x14ac:dyDescent="0.25">
      <c r="A670" s="170">
        <v>42989</v>
      </c>
      <c r="B670" s="116">
        <v>287.39999999999998</v>
      </c>
      <c r="C670" s="116">
        <v>285.10000000000002</v>
      </c>
      <c r="D670" s="116">
        <v>282</v>
      </c>
      <c r="E670" s="116">
        <v>283.25</v>
      </c>
      <c r="F670" s="116">
        <v>285.10000000000002</v>
      </c>
      <c r="G670">
        <v>93813</v>
      </c>
      <c r="H670" s="116"/>
      <c r="I670" s="116"/>
      <c r="L670" s="170">
        <v>42989</v>
      </c>
      <c r="M670" s="116">
        <v>285.10000000000002</v>
      </c>
      <c r="N670" s="116">
        <v>288</v>
      </c>
      <c r="O670" s="116">
        <v>282.10000000000002</v>
      </c>
      <c r="P670" s="116">
        <v>282.10000000000002</v>
      </c>
      <c r="Q670" s="116">
        <v>285.10000000000002</v>
      </c>
      <c r="R670">
        <v>1599816</v>
      </c>
    </row>
    <row r="671" spans="1:18" x14ac:dyDescent="0.25">
      <c r="A671" s="170">
        <v>42990</v>
      </c>
      <c r="B671" s="116">
        <v>289.75</v>
      </c>
      <c r="C671" s="116">
        <v>288.85000000000002</v>
      </c>
      <c r="D671" s="116">
        <v>285.2</v>
      </c>
      <c r="E671" s="116">
        <v>285.2</v>
      </c>
      <c r="F671" s="116">
        <v>288.85000000000002</v>
      </c>
      <c r="G671">
        <v>108385</v>
      </c>
      <c r="H671" s="116"/>
      <c r="I671" s="116"/>
      <c r="L671" s="170">
        <v>42990</v>
      </c>
      <c r="M671" s="116">
        <v>288.8</v>
      </c>
      <c r="N671" s="116">
        <v>289.39999999999998</v>
      </c>
      <c r="O671" s="116">
        <v>284.64999999999998</v>
      </c>
      <c r="P671" s="116">
        <v>285.5</v>
      </c>
      <c r="Q671" s="116">
        <v>288.8</v>
      </c>
      <c r="R671">
        <v>1258233</v>
      </c>
    </row>
    <row r="672" spans="1:18" x14ac:dyDescent="0.25">
      <c r="A672" s="170">
        <v>42991</v>
      </c>
      <c r="B672" s="116">
        <v>291.3</v>
      </c>
      <c r="C672" s="116">
        <v>285.7</v>
      </c>
      <c r="D672" s="116">
        <v>284</v>
      </c>
      <c r="E672" s="116">
        <v>288</v>
      </c>
      <c r="F672" s="116">
        <v>285.7</v>
      </c>
      <c r="G672">
        <v>132535</v>
      </c>
      <c r="H672" s="116"/>
      <c r="I672" s="116"/>
      <c r="L672" s="170">
        <v>42991</v>
      </c>
      <c r="M672" s="116">
        <v>285.75</v>
      </c>
      <c r="N672" s="116">
        <v>291.5</v>
      </c>
      <c r="O672" s="116">
        <v>283.75</v>
      </c>
      <c r="P672" s="116">
        <v>288.5</v>
      </c>
      <c r="Q672" s="116">
        <v>285.75</v>
      </c>
      <c r="R672">
        <v>1322504</v>
      </c>
    </row>
    <row r="673" spans="1:18" x14ac:dyDescent="0.25">
      <c r="A673" s="170">
        <v>42992</v>
      </c>
      <c r="B673" s="116">
        <v>287.7</v>
      </c>
      <c r="C673" s="116">
        <v>284.35000000000002</v>
      </c>
      <c r="D673" s="116">
        <v>283.3</v>
      </c>
      <c r="E673" s="116">
        <v>285.89999999999998</v>
      </c>
      <c r="F673" s="116">
        <v>284.35000000000002</v>
      </c>
      <c r="G673">
        <v>33825</v>
      </c>
      <c r="H673" s="116"/>
      <c r="I673" s="116"/>
      <c r="L673" s="170">
        <v>42992</v>
      </c>
      <c r="M673" s="116">
        <v>284.7</v>
      </c>
      <c r="N673" s="116">
        <v>287.8</v>
      </c>
      <c r="O673" s="116">
        <v>283.55</v>
      </c>
      <c r="P673" s="116">
        <v>285</v>
      </c>
      <c r="Q673" s="116">
        <v>284.7</v>
      </c>
      <c r="R673">
        <v>791428</v>
      </c>
    </row>
    <row r="674" spans="1:18" x14ac:dyDescent="0.25">
      <c r="A674" s="170">
        <v>42993</v>
      </c>
      <c r="B674" s="116">
        <v>285.8</v>
      </c>
      <c r="C674" s="116">
        <v>283.85000000000002</v>
      </c>
      <c r="D674" s="116">
        <v>280.7</v>
      </c>
      <c r="E674" s="116">
        <v>283.5</v>
      </c>
      <c r="F674" s="116">
        <v>283.85000000000002</v>
      </c>
      <c r="G674">
        <v>43465</v>
      </c>
      <c r="H674" s="116"/>
      <c r="I674" s="116"/>
      <c r="L674" s="170">
        <v>42993</v>
      </c>
      <c r="M674" s="116">
        <v>284.35000000000002</v>
      </c>
      <c r="N674" s="116">
        <v>286.5</v>
      </c>
      <c r="O674" s="116">
        <v>280.5</v>
      </c>
      <c r="P674" s="116">
        <v>283.89999999999998</v>
      </c>
      <c r="Q674" s="116">
        <v>284.35000000000002</v>
      </c>
      <c r="R674">
        <v>1184804</v>
      </c>
    </row>
    <row r="675" spans="1:18" x14ac:dyDescent="0.25">
      <c r="A675" s="170">
        <v>42996</v>
      </c>
      <c r="B675" s="116">
        <v>286.7</v>
      </c>
      <c r="C675" s="116">
        <v>282.10000000000002</v>
      </c>
      <c r="D675" s="116">
        <v>281.05</v>
      </c>
      <c r="E675" s="116">
        <v>284</v>
      </c>
      <c r="F675" s="116">
        <v>282.10000000000002</v>
      </c>
      <c r="G675">
        <v>23312</v>
      </c>
      <c r="H675" s="116"/>
      <c r="I675" s="116"/>
      <c r="L675" s="170">
        <v>42996</v>
      </c>
      <c r="M675" s="116">
        <v>282.3</v>
      </c>
      <c r="N675" s="116">
        <v>286.95</v>
      </c>
      <c r="O675" s="116">
        <v>281.5</v>
      </c>
      <c r="P675" s="116">
        <v>285.5</v>
      </c>
      <c r="Q675" s="116">
        <v>282.3</v>
      </c>
      <c r="R675">
        <v>916191</v>
      </c>
    </row>
    <row r="676" spans="1:18" x14ac:dyDescent="0.25">
      <c r="A676" s="170">
        <v>42997</v>
      </c>
      <c r="B676" s="116">
        <v>286.60000000000002</v>
      </c>
      <c r="C676" s="116">
        <v>284.2</v>
      </c>
      <c r="D676" s="116">
        <v>281.7</v>
      </c>
      <c r="E676" s="116">
        <v>283</v>
      </c>
      <c r="F676" s="116">
        <v>284.2</v>
      </c>
      <c r="G676">
        <v>85406</v>
      </c>
      <c r="H676" s="116"/>
      <c r="I676" s="116"/>
      <c r="L676" s="170">
        <v>42997</v>
      </c>
      <c r="M676" s="116">
        <v>285.10000000000002</v>
      </c>
      <c r="N676" s="116">
        <v>287</v>
      </c>
      <c r="O676" s="116">
        <v>281.5</v>
      </c>
      <c r="P676" s="116">
        <v>285.5</v>
      </c>
      <c r="Q676" s="116">
        <v>285.10000000000002</v>
      </c>
      <c r="R676">
        <v>1731903</v>
      </c>
    </row>
    <row r="677" spans="1:18" x14ac:dyDescent="0.25">
      <c r="A677" s="170">
        <v>42998</v>
      </c>
      <c r="B677" s="116">
        <v>287.39999999999998</v>
      </c>
      <c r="C677" s="116">
        <v>280.10000000000002</v>
      </c>
      <c r="D677" s="116">
        <v>279.14999999999998</v>
      </c>
      <c r="E677" s="116">
        <v>286.95</v>
      </c>
      <c r="F677" s="116">
        <v>280.10000000000002</v>
      </c>
      <c r="G677">
        <v>38802</v>
      </c>
      <c r="H677" s="116"/>
      <c r="I677" s="116"/>
      <c r="L677" s="170">
        <v>42998</v>
      </c>
      <c r="M677" s="116">
        <v>279.89999999999998</v>
      </c>
      <c r="N677" s="116">
        <v>286</v>
      </c>
      <c r="O677" s="116">
        <v>278.35000000000002</v>
      </c>
      <c r="P677" s="116">
        <v>286</v>
      </c>
      <c r="Q677" s="116">
        <v>279.89999999999998</v>
      </c>
      <c r="R677">
        <v>2413483</v>
      </c>
    </row>
    <row r="678" spans="1:18" x14ac:dyDescent="0.25">
      <c r="A678" s="170">
        <v>42999</v>
      </c>
      <c r="B678" s="116">
        <v>279.39999999999998</v>
      </c>
      <c r="C678" s="116">
        <v>276.05</v>
      </c>
      <c r="D678" s="116">
        <v>274.2</v>
      </c>
      <c r="E678" s="116">
        <v>279</v>
      </c>
      <c r="F678" s="116">
        <v>276.05</v>
      </c>
      <c r="G678">
        <v>40532</v>
      </c>
      <c r="H678" s="116"/>
      <c r="I678" s="116"/>
      <c r="L678" s="170">
        <v>42999</v>
      </c>
      <c r="M678" s="116">
        <v>276.75</v>
      </c>
      <c r="N678" s="116">
        <v>279.7</v>
      </c>
      <c r="O678" s="116">
        <v>274.10000000000002</v>
      </c>
      <c r="P678" s="116">
        <v>279.5</v>
      </c>
      <c r="Q678" s="116">
        <v>276.75</v>
      </c>
      <c r="R678">
        <v>2685318</v>
      </c>
    </row>
    <row r="679" spans="1:18" x14ac:dyDescent="0.25">
      <c r="A679" s="170">
        <v>43000</v>
      </c>
      <c r="B679" s="116">
        <v>275.10000000000002</v>
      </c>
      <c r="C679" s="116">
        <v>268.55</v>
      </c>
      <c r="D679" s="116">
        <v>266.5</v>
      </c>
      <c r="E679" s="116">
        <v>275.10000000000002</v>
      </c>
      <c r="F679" s="116">
        <v>268.55</v>
      </c>
      <c r="G679">
        <v>30974</v>
      </c>
      <c r="H679" s="116"/>
      <c r="I679" s="116"/>
      <c r="L679" s="170">
        <v>43000</v>
      </c>
      <c r="M679" s="116">
        <v>269.89999999999998</v>
      </c>
      <c r="N679" s="116">
        <v>275.25</v>
      </c>
      <c r="O679" s="116">
        <v>268</v>
      </c>
      <c r="P679" s="116">
        <v>275.25</v>
      </c>
      <c r="Q679" s="116">
        <v>269.89999999999998</v>
      </c>
      <c r="R679">
        <v>3292766</v>
      </c>
    </row>
    <row r="680" spans="1:18" x14ac:dyDescent="0.25">
      <c r="A680" s="170">
        <v>43003</v>
      </c>
      <c r="B680" s="116">
        <v>269.75</v>
      </c>
      <c r="C680" s="116">
        <v>262.75</v>
      </c>
      <c r="D680" s="116">
        <v>259.95</v>
      </c>
      <c r="E680" s="116">
        <v>268.55</v>
      </c>
      <c r="F680" s="116">
        <v>262.75</v>
      </c>
      <c r="G680">
        <v>163654</v>
      </c>
      <c r="H680" s="116"/>
      <c r="I680" s="116"/>
      <c r="L680" s="170">
        <v>43003</v>
      </c>
      <c r="M680" s="116">
        <v>262.25</v>
      </c>
      <c r="N680" s="116">
        <v>269.89999999999998</v>
      </c>
      <c r="O680" s="116">
        <v>260.10000000000002</v>
      </c>
      <c r="P680" s="116">
        <v>269</v>
      </c>
      <c r="Q680" s="116">
        <v>262.25</v>
      </c>
      <c r="R680">
        <v>3633108</v>
      </c>
    </row>
    <row r="681" spans="1:18" x14ac:dyDescent="0.25">
      <c r="A681" s="170">
        <v>43004</v>
      </c>
      <c r="B681" s="116">
        <v>263.45</v>
      </c>
      <c r="C681" s="116">
        <v>260.95</v>
      </c>
      <c r="D681" s="116">
        <v>260</v>
      </c>
      <c r="E681" s="116">
        <v>262.89999999999998</v>
      </c>
      <c r="F681" s="116">
        <v>260.95</v>
      </c>
      <c r="G681">
        <v>37658</v>
      </c>
      <c r="H681" s="116"/>
      <c r="I681" s="116"/>
      <c r="L681" s="170">
        <v>43004</v>
      </c>
      <c r="M681" s="116">
        <v>261.3</v>
      </c>
      <c r="N681" s="116">
        <v>263.7</v>
      </c>
      <c r="O681" s="116">
        <v>260</v>
      </c>
      <c r="P681" s="116">
        <v>263</v>
      </c>
      <c r="Q681" s="116">
        <v>261.3</v>
      </c>
      <c r="R681">
        <v>1308037</v>
      </c>
    </row>
    <row r="682" spans="1:18" x14ac:dyDescent="0.25">
      <c r="A682" s="170">
        <v>43005</v>
      </c>
      <c r="B682" s="116">
        <v>267.75</v>
      </c>
      <c r="C682" s="116">
        <v>261.64999999999998</v>
      </c>
      <c r="D682" s="116">
        <v>260.10000000000002</v>
      </c>
      <c r="E682" s="116">
        <v>261.89999999999998</v>
      </c>
      <c r="F682" s="116">
        <v>261.64999999999998</v>
      </c>
      <c r="G682">
        <v>534939</v>
      </c>
      <c r="H682" s="116"/>
      <c r="I682" s="116"/>
      <c r="L682" s="170">
        <v>43005</v>
      </c>
      <c r="M682" s="116">
        <v>262.39999999999998</v>
      </c>
      <c r="N682" s="116">
        <v>268</v>
      </c>
      <c r="O682" s="116">
        <v>260.10000000000002</v>
      </c>
      <c r="P682" s="116">
        <v>262.95</v>
      </c>
      <c r="Q682" s="116">
        <v>262.39999999999998</v>
      </c>
      <c r="R682">
        <v>4003318</v>
      </c>
    </row>
    <row r="683" spans="1:18" x14ac:dyDescent="0.25">
      <c r="A683" s="170">
        <v>43006</v>
      </c>
      <c r="B683" s="116">
        <v>269.8</v>
      </c>
      <c r="C683" s="116">
        <v>268.10000000000002</v>
      </c>
      <c r="D683" s="116">
        <v>260.10000000000002</v>
      </c>
      <c r="E683" s="116">
        <v>261.3</v>
      </c>
      <c r="F683" s="116">
        <v>268.10000000000002</v>
      </c>
      <c r="G683">
        <v>70595</v>
      </c>
      <c r="H683" s="116"/>
      <c r="I683" s="116"/>
      <c r="L683" s="170">
        <v>43006</v>
      </c>
      <c r="M683" s="116">
        <v>268.05</v>
      </c>
      <c r="N683" s="116">
        <v>270.64999999999998</v>
      </c>
      <c r="O683" s="116">
        <v>260</v>
      </c>
      <c r="P683" s="116">
        <v>261.10000000000002</v>
      </c>
      <c r="Q683" s="116">
        <v>268.05</v>
      </c>
      <c r="R683">
        <v>5296128</v>
      </c>
    </row>
    <row r="684" spans="1:18" x14ac:dyDescent="0.25">
      <c r="A684" s="170">
        <v>43007</v>
      </c>
      <c r="B684" s="116">
        <v>274</v>
      </c>
      <c r="C684" s="116">
        <v>266</v>
      </c>
      <c r="D684" s="116">
        <v>264.75</v>
      </c>
      <c r="E684" s="116">
        <v>268.10000000000002</v>
      </c>
      <c r="F684" s="116">
        <v>266</v>
      </c>
      <c r="G684">
        <v>49385</v>
      </c>
      <c r="H684" s="116"/>
      <c r="I684" s="116"/>
      <c r="L684" s="170">
        <v>43007</v>
      </c>
      <c r="M684" s="116">
        <v>266.45</v>
      </c>
      <c r="N684" s="116">
        <v>274</v>
      </c>
      <c r="O684" s="116">
        <v>265</v>
      </c>
      <c r="P684" s="116">
        <v>268.14999999999998</v>
      </c>
      <c r="Q684" s="116">
        <v>266.45</v>
      </c>
      <c r="R684">
        <v>2334479</v>
      </c>
    </row>
    <row r="685" spans="1:18" x14ac:dyDescent="0.25">
      <c r="A685" s="170">
        <v>43011</v>
      </c>
      <c r="B685" s="116">
        <v>271</v>
      </c>
      <c r="C685" s="116">
        <v>268.85000000000002</v>
      </c>
      <c r="D685" s="116">
        <v>266</v>
      </c>
      <c r="E685" s="116">
        <v>266</v>
      </c>
      <c r="F685" s="116">
        <v>268.85000000000002</v>
      </c>
      <c r="G685">
        <v>30481</v>
      </c>
      <c r="H685" s="116"/>
      <c r="I685" s="116"/>
      <c r="L685" s="170">
        <v>43011</v>
      </c>
      <c r="M685" s="116">
        <v>268.35000000000002</v>
      </c>
      <c r="N685" s="116">
        <v>271.7</v>
      </c>
      <c r="O685" s="116">
        <v>266.05</v>
      </c>
      <c r="P685" s="116">
        <v>268.3</v>
      </c>
      <c r="Q685" s="116">
        <v>268.35000000000002</v>
      </c>
      <c r="R685">
        <v>1314526</v>
      </c>
    </row>
    <row r="686" spans="1:18" x14ac:dyDescent="0.25">
      <c r="A686" s="170">
        <v>43012</v>
      </c>
      <c r="B686" s="116">
        <v>271.95</v>
      </c>
      <c r="C686" s="116">
        <v>268.7</v>
      </c>
      <c r="D686" s="116">
        <v>266.5</v>
      </c>
      <c r="E686" s="116">
        <v>270</v>
      </c>
      <c r="F686" s="116">
        <v>268.7</v>
      </c>
      <c r="G686">
        <v>49828</v>
      </c>
      <c r="H686" s="116"/>
      <c r="I686" s="116"/>
      <c r="L686" s="170">
        <v>43012</v>
      </c>
      <c r="M686" s="116">
        <v>269.55</v>
      </c>
      <c r="N686" s="116">
        <v>271</v>
      </c>
      <c r="O686" s="116">
        <v>266.35000000000002</v>
      </c>
      <c r="P686" s="116">
        <v>268.2</v>
      </c>
      <c r="Q686" s="116">
        <v>269.55</v>
      </c>
      <c r="R686">
        <v>1029485</v>
      </c>
    </row>
    <row r="687" spans="1:18" x14ac:dyDescent="0.25">
      <c r="A687" s="170">
        <v>43013</v>
      </c>
      <c r="B687" s="116">
        <v>275</v>
      </c>
      <c r="C687" s="116">
        <v>274.25</v>
      </c>
      <c r="D687" s="116">
        <v>269.60000000000002</v>
      </c>
      <c r="E687" s="116">
        <v>269.8</v>
      </c>
      <c r="F687" s="116">
        <v>274.25</v>
      </c>
      <c r="G687">
        <v>51690</v>
      </c>
      <c r="H687" s="116"/>
      <c r="I687" s="116"/>
      <c r="L687" s="170">
        <v>43013</v>
      </c>
      <c r="M687" s="116">
        <v>273.95</v>
      </c>
      <c r="N687" s="116">
        <v>275</v>
      </c>
      <c r="O687" s="116">
        <v>269.64999999999998</v>
      </c>
      <c r="P687" s="116">
        <v>270.05</v>
      </c>
      <c r="Q687" s="116">
        <v>273.95</v>
      </c>
      <c r="R687">
        <v>2205375</v>
      </c>
    </row>
    <row r="688" spans="1:18" x14ac:dyDescent="0.25">
      <c r="A688" s="170">
        <v>43014</v>
      </c>
      <c r="B688" s="116">
        <v>280</v>
      </c>
      <c r="C688" s="116">
        <v>278.35000000000002</v>
      </c>
      <c r="D688" s="116">
        <v>274.35000000000002</v>
      </c>
      <c r="E688" s="116">
        <v>274.5</v>
      </c>
      <c r="F688" s="116">
        <v>278.35000000000002</v>
      </c>
      <c r="G688">
        <v>57829</v>
      </c>
      <c r="H688" s="116"/>
      <c r="I688" s="116"/>
      <c r="L688" s="170">
        <v>43014</v>
      </c>
      <c r="M688" s="116">
        <v>278.75</v>
      </c>
      <c r="N688" s="116">
        <v>280.5</v>
      </c>
      <c r="O688" s="116">
        <v>273.8</v>
      </c>
      <c r="P688" s="116">
        <v>275.10000000000002</v>
      </c>
      <c r="Q688" s="116">
        <v>278.75</v>
      </c>
      <c r="R688">
        <v>2113361</v>
      </c>
    </row>
    <row r="689" spans="1:18" x14ac:dyDescent="0.25">
      <c r="A689" s="170">
        <v>43017</v>
      </c>
      <c r="B689" s="116">
        <v>281.35000000000002</v>
      </c>
      <c r="C689" s="116">
        <v>279.35000000000002</v>
      </c>
      <c r="D689" s="116">
        <v>277.89999999999998</v>
      </c>
      <c r="E689" s="116">
        <v>278.75</v>
      </c>
      <c r="F689" s="116">
        <v>279.35000000000002</v>
      </c>
      <c r="G689">
        <v>65076</v>
      </c>
      <c r="H689" s="116"/>
      <c r="I689" s="116"/>
      <c r="L689" s="170">
        <v>43017</v>
      </c>
      <c r="M689" s="116">
        <v>280.25</v>
      </c>
      <c r="N689" s="116">
        <v>282.35000000000002</v>
      </c>
      <c r="O689" s="116">
        <v>276.10000000000002</v>
      </c>
      <c r="P689" s="116">
        <v>276.10000000000002</v>
      </c>
      <c r="Q689" s="116">
        <v>280.25</v>
      </c>
      <c r="R689">
        <v>2399561</v>
      </c>
    </row>
    <row r="690" spans="1:18" x14ac:dyDescent="0.25">
      <c r="A690" s="170">
        <v>43018</v>
      </c>
      <c r="B690" s="116">
        <v>281.5</v>
      </c>
      <c r="C690" s="116">
        <v>278</v>
      </c>
      <c r="D690" s="116">
        <v>276.5</v>
      </c>
      <c r="E690" s="116">
        <v>281.5</v>
      </c>
      <c r="F690" s="116">
        <v>278</v>
      </c>
      <c r="G690">
        <v>32488</v>
      </c>
      <c r="H690" s="116"/>
      <c r="I690" s="116"/>
      <c r="L690" s="170">
        <v>43018</v>
      </c>
      <c r="M690" s="116">
        <v>277.64999999999998</v>
      </c>
      <c r="N690" s="116">
        <v>280.89999999999998</v>
      </c>
      <c r="O690" s="116">
        <v>276.60000000000002</v>
      </c>
      <c r="P690" s="116">
        <v>280.39999999999998</v>
      </c>
      <c r="Q690" s="116">
        <v>277.64999999999998</v>
      </c>
      <c r="R690">
        <v>1111212</v>
      </c>
    </row>
    <row r="691" spans="1:18" x14ac:dyDescent="0.25">
      <c r="A691" s="170">
        <v>43019</v>
      </c>
      <c r="B691" s="116">
        <v>279.2</v>
      </c>
      <c r="C691" s="116">
        <v>274.05</v>
      </c>
      <c r="D691" s="116">
        <v>272</v>
      </c>
      <c r="E691" s="116">
        <v>279.2</v>
      </c>
      <c r="F691" s="116">
        <v>274.05</v>
      </c>
      <c r="G691">
        <v>21652</v>
      </c>
      <c r="H691" s="116"/>
      <c r="I691" s="116"/>
      <c r="L691" s="170">
        <v>43019</v>
      </c>
      <c r="M691" s="116">
        <v>274</v>
      </c>
      <c r="N691" s="116">
        <v>279.5</v>
      </c>
      <c r="O691" s="116">
        <v>272</v>
      </c>
      <c r="P691" s="116">
        <v>279.14999999999998</v>
      </c>
      <c r="Q691" s="116">
        <v>274</v>
      </c>
      <c r="R691">
        <v>915071</v>
      </c>
    </row>
    <row r="692" spans="1:18" x14ac:dyDescent="0.25">
      <c r="A692" s="170">
        <v>43020</v>
      </c>
      <c r="B692" s="116">
        <v>277.89999999999998</v>
      </c>
      <c r="C692" s="116">
        <v>277.55</v>
      </c>
      <c r="D692" s="116">
        <v>272.7</v>
      </c>
      <c r="E692" s="116">
        <v>274.5</v>
      </c>
      <c r="F692" s="116">
        <v>277.55</v>
      </c>
      <c r="G692">
        <v>16184</v>
      </c>
      <c r="H692" s="116"/>
      <c r="I692" s="116"/>
      <c r="L692" s="170">
        <v>43020</v>
      </c>
      <c r="M692" s="116">
        <v>277.39999999999998</v>
      </c>
      <c r="N692" s="116">
        <v>277.89999999999998</v>
      </c>
      <c r="O692" s="116">
        <v>272.45</v>
      </c>
      <c r="P692" s="116">
        <v>274.95</v>
      </c>
      <c r="Q692" s="116">
        <v>277.39999999999998</v>
      </c>
      <c r="R692">
        <v>773049</v>
      </c>
    </row>
    <row r="693" spans="1:18" x14ac:dyDescent="0.25">
      <c r="A693" s="170">
        <v>43021</v>
      </c>
      <c r="B693" s="116">
        <v>279.45</v>
      </c>
      <c r="C693" s="116">
        <v>277.45</v>
      </c>
      <c r="D693" s="116">
        <v>275.95</v>
      </c>
      <c r="E693" s="116">
        <v>276.55</v>
      </c>
      <c r="F693" s="116">
        <v>277.45</v>
      </c>
      <c r="G693">
        <v>42657</v>
      </c>
      <c r="H693" s="116"/>
      <c r="I693" s="116"/>
      <c r="L693" s="170">
        <v>43021</v>
      </c>
      <c r="M693" s="116">
        <v>277.55</v>
      </c>
      <c r="N693" s="116">
        <v>279.60000000000002</v>
      </c>
      <c r="O693" s="116">
        <v>275.64999999999998</v>
      </c>
      <c r="P693" s="116">
        <v>276</v>
      </c>
      <c r="Q693" s="116">
        <v>277.55</v>
      </c>
      <c r="R693">
        <v>1798301</v>
      </c>
    </row>
    <row r="694" spans="1:18" x14ac:dyDescent="0.25">
      <c r="A694" s="170">
        <v>43024</v>
      </c>
      <c r="B694" s="116">
        <v>281.25</v>
      </c>
      <c r="C694" s="116">
        <v>279.39999999999998</v>
      </c>
      <c r="D694" s="116">
        <v>274.14999999999998</v>
      </c>
      <c r="E694" s="116">
        <v>277</v>
      </c>
      <c r="F694" s="116">
        <v>279.39999999999998</v>
      </c>
      <c r="G694">
        <v>68079</v>
      </c>
      <c r="H694" s="116"/>
      <c r="I694" s="116"/>
      <c r="L694" s="170">
        <v>43024</v>
      </c>
      <c r="M694" s="116">
        <v>279.8</v>
      </c>
      <c r="N694" s="116">
        <v>281.39999999999998</v>
      </c>
      <c r="O694" s="116">
        <v>277.64999999999998</v>
      </c>
      <c r="P694" s="116">
        <v>279.39999999999998</v>
      </c>
      <c r="Q694" s="116">
        <v>279.8</v>
      </c>
      <c r="R694">
        <v>1535618</v>
      </c>
    </row>
    <row r="695" spans="1:18" x14ac:dyDescent="0.25">
      <c r="A695" s="170">
        <v>43025</v>
      </c>
      <c r="B695" s="116">
        <v>283.3</v>
      </c>
      <c r="C695" s="116">
        <v>281.14999999999998</v>
      </c>
      <c r="D695" s="116">
        <v>277.85000000000002</v>
      </c>
      <c r="E695" s="116">
        <v>277.85000000000002</v>
      </c>
      <c r="F695" s="116">
        <v>281.14999999999998</v>
      </c>
      <c r="G695">
        <v>98631</v>
      </c>
      <c r="H695" s="116"/>
      <c r="I695" s="116"/>
      <c r="L695" s="170">
        <v>43025</v>
      </c>
      <c r="M695" s="116">
        <v>280.85000000000002</v>
      </c>
      <c r="N695" s="116">
        <v>283.39999999999998</v>
      </c>
      <c r="O695" s="116">
        <v>277.75</v>
      </c>
      <c r="P695" s="116">
        <v>279</v>
      </c>
      <c r="Q695" s="116">
        <v>280.85000000000002</v>
      </c>
      <c r="R695">
        <v>1548583</v>
      </c>
    </row>
    <row r="696" spans="1:18" x14ac:dyDescent="0.25">
      <c r="A696" s="170">
        <v>43026</v>
      </c>
      <c r="B696" s="116">
        <v>282.14999999999998</v>
      </c>
      <c r="C696" s="116">
        <v>278.60000000000002</v>
      </c>
      <c r="D696" s="116">
        <v>277.8</v>
      </c>
      <c r="E696" s="116">
        <v>282.14999999999998</v>
      </c>
      <c r="F696" s="116">
        <v>278.60000000000002</v>
      </c>
      <c r="G696">
        <v>20710</v>
      </c>
      <c r="H696" s="116"/>
      <c r="I696" s="116"/>
      <c r="L696" s="170">
        <v>43026</v>
      </c>
      <c r="M696" s="116">
        <v>277.89999999999998</v>
      </c>
      <c r="N696" s="116">
        <v>282.14999999999998</v>
      </c>
      <c r="O696" s="116">
        <v>276.39999999999998</v>
      </c>
      <c r="P696" s="116">
        <v>281.25</v>
      </c>
      <c r="Q696" s="116">
        <v>277.89999999999998</v>
      </c>
      <c r="R696">
        <v>1225832</v>
      </c>
    </row>
    <row r="697" spans="1:18" x14ac:dyDescent="0.25">
      <c r="A697" s="170">
        <v>43027</v>
      </c>
      <c r="B697" s="116">
        <v>280</v>
      </c>
      <c r="C697" s="116">
        <v>275.05</v>
      </c>
      <c r="D697" s="116">
        <v>272.14999999999998</v>
      </c>
      <c r="E697" s="116">
        <v>280</v>
      </c>
      <c r="F697" s="116">
        <v>275.05</v>
      </c>
      <c r="G697">
        <v>18718</v>
      </c>
      <c r="H697" s="116"/>
      <c r="I697" s="116"/>
      <c r="L697" s="170">
        <v>43027</v>
      </c>
      <c r="M697" s="116">
        <v>274.05</v>
      </c>
      <c r="N697" s="116">
        <v>279.7</v>
      </c>
      <c r="O697" s="116">
        <v>271.95</v>
      </c>
      <c r="P697" s="116">
        <v>277.5</v>
      </c>
      <c r="Q697" s="116">
        <v>274.05</v>
      </c>
      <c r="R697">
        <v>143094</v>
      </c>
    </row>
    <row r="698" spans="1:18" x14ac:dyDescent="0.25">
      <c r="A698" s="170">
        <v>43031</v>
      </c>
      <c r="B698" s="116">
        <v>283</v>
      </c>
      <c r="C698" s="116">
        <v>281.75</v>
      </c>
      <c r="D698" s="116">
        <v>274.25</v>
      </c>
      <c r="E698" s="116">
        <v>274.95</v>
      </c>
      <c r="F698" s="116">
        <v>281.75</v>
      </c>
      <c r="G698">
        <v>102736</v>
      </c>
      <c r="H698" s="116"/>
      <c r="I698" s="116"/>
      <c r="L698" s="170">
        <v>43031</v>
      </c>
      <c r="M698" s="116">
        <v>281.8</v>
      </c>
      <c r="N698" s="116">
        <v>282.95</v>
      </c>
      <c r="O698" s="116">
        <v>274.2</v>
      </c>
      <c r="P698" s="116">
        <v>274.2</v>
      </c>
      <c r="Q698" s="116">
        <v>281.8</v>
      </c>
      <c r="R698">
        <v>3075417</v>
      </c>
    </row>
    <row r="699" spans="1:18" x14ac:dyDescent="0.25">
      <c r="A699" s="170">
        <v>43032</v>
      </c>
      <c r="B699" s="116">
        <v>286.75</v>
      </c>
      <c r="C699" s="116">
        <v>282.25</v>
      </c>
      <c r="D699" s="116">
        <v>280.45</v>
      </c>
      <c r="E699" s="116">
        <v>282.7</v>
      </c>
      <c r="F699" s="116">
        <v>282.25</v>
      </c>
      <c r="G699">
        <v>113372</v>
      </c>
      <c r="H699" s="116"/>
      <c r="I699" s="116"/>
      <c r="L699" s="170">
        <v>43032</v>
      </c>
      <c r="M699" s="116">
        <v>282.2</v>
      </c>
      <c r="N699" s="116">
        <v>286.89999999999998</v>
      </c>
      <c r="O699" s="116">
        <v>281.35000000000002</v>
      </c>
      <c r="P699" s="116">
        <v>284</v>
      </c>
      <c r="Q699" s="116">
        <v>282.2</v>
      </c>
      <c r="R699">
        <v>2847254</v>
      </c>
    </row>
    <row r="700" spans="1:18" x14ac:dyDescent="0.25">
      <c r="A700" s="170">
        <v>43033</v>
      </c>
      <c r="B700" s="116">
        <v>286.7</v>
      </c>
      <c r="C700" s="116">
        <v>281.60000000000002</v>
      </c>
      <c r="D700" s="116">
        <v>280.39999999999998</v>
      </c>
      <c r="E700" s="116">
        <v>284.95</v>
      </c>
      <c r="F700" s="116">
        <v>281.60000000000002</v>
      </c>
      <c r="G700">
        <v>111226</v>
      </c>
      <c r="H700" s="116"/>
      <c r="I700" s="116"/>
      <c r="L700" s="170">
        <v>43033</v>
      </c>
      <c r="M700" s="116">
        <v>281.75</v>
      </c>
      <c r="N700" s="116">
        <v>285.8</v>
      </c>
      <c r="O700" s="116">
        <v>280.39999999999998</v>
      </c>
      <c r="P700" s="116">
        <v>284.05</v>
      </c>
      <c r="Q700" s="116">
        <v>281.75</v>
      </c>
      <c r="R700">
        <v>2019634</v>
      </c>
    </row>
    <row r="701" spans="1:18" x14ac:dyDescent="0.25">
      <c r="A701" s="170">
        <v>43034</v>
      </c>
      <c r="B701" s="116">
        <v>283.3</v>
      </c>
      <c r="C701" s="116">
        <v>276.14999999999998</v>
      </c>
      <c r="D701" s="116">
        <v>274.05</v>
      </c>
      <c r="E701" s="116">
        <v>283.3</v>
      </c>
      <c r="F701" s="116">
        <v>276.14999999999998</v>
      </c>
      <c r="G701">
        <v>707958</v>
      </c>
      <c r="H701" s="116"/>
      <c r="I701" s="116"/>
      <c r="L701" s="170">
        <v>43034</v>
      </c>
      <c r="M701" s="116">
        <v>276.45</v>
      </c>
      <c r="N701" s="116">
        <v>282.8</v>
      </c>
      <c r="O701" s="116">
        <v>273.35000000000002</v>
      </c>
      <c r="P701" s="116">
        <v>282.10000000000002</v>
      </c>
      <c r="Q701" s="116">
        <v>276.45</v>
      </c>
      <c r="R701">
        <v>2537382</v>
      </c>
    </row>
    <row r="702" spans="1:18" x14ac:dyDescent="0.25">
      <c r="A702" s="170">
        <v>43035</v>
      </c>
      <c r="B702" s="116">
        <v>280</v>
      </c>
      <c r="C702" s="116">
        <v>279.2</v>
      </c>
      <c r="D702" s="116">
        <v>276.7</v>
      </c>
      <c r="E702" s="116">
        <v>279</v>
      </c>
      <c r="F702" s="116">
        <v>279.2</v>
      </c>
      <c r="G702">
        <v>551404</v>
      </c>
      <c r="H702" s="116"/>
      <c r="I702" s="116"/>
      <c r="L702" s="170">
        <v>43035</v>
      </c>
      <c r="M702" s="116">
        <v>278.89999999999998</v>
      </c>
      <c r="N702" s="116">
        <v>280</v>
      </c>
      <c r="O702" s="116">
        <v>276.45</v>
      </c>
      <c r="P702" s="116">
        <v>278.45</v>
      </c>
      <c r="Q702" s="116">
        <v>278.89999999999998</v>
      </c>
      <c r="R702">
        <v>1799125</v>
      </c>
    </row>
    <row r="703" spans="1:18" x14ac:dyDescent="0.25">
      <c r="A703" s="170">
        <v>43038</v>
      </c>
      <c r="B703" s="116">
        <v>286.25</v>
      </c>
      <c r="C703" s="116">
        <v>283.14999999999998</v>
      </c>
      <c r="D703" s="116">
        <v>276</v>
      </c>
      <c r="E703" s="116">
        <v>276</v>
      </c>
      <c r="F703" s="116">
        <v>283.14999999999998</v>
      </c>
      <c r="G703">
        <v>175886</v>
      </c>
      <c r="H703" s="116"/>
      <c r="I703" s="116"/>
      <c r="L703" s="170">
        <v>43038</v>
      </c>
      <c r="M703" s="116">
        <v>283.55</v>
      </c>
      <c r="N703" s="116">
        <v>286.35000000000002</v>
      </c>
      <c r="O703" s="116">
        <v>278.5</v>
      </c>
      <c r="P703" s="116">
        <v>279</v>
      </c>
      <c r="Q703" s="116">
        <v>283.55</v>
      </c>
      <c r="R703">
        <v>1982624</v>
      </c>
    </row>
    <row r="704" spans="1:18" x14ac:dyDescent="0.25">
      <c r="A704" s="170">
        <v>43039</v>
      </c>
      <c r="B704" s="116">
        <v>288.64999999999998</v>
      </c>
      <c r="C704" s="116">
        <v>281.75</v>
      </c>
      <c r="D704" s="116">
        <v>281.10000000000002</v>
      </c>
      <c r="E704" s="116">
        <v>283.7</v>
      </c>
      <c r="F704" s="116">
        <v>281.75</v>
      </c>
      <c r="G704">
        <v>142149</v>
      </c>
      <c r="H704" s="116"/>
      <c r="I704" s="116"/>
      <c r="L704" s="170">
        <v>43039</v>
      </c>
      <c r="M704" s="116">
        <v>281.5</v>
      </c>
      <c r="N704" s="116">
        <v>288.8</v>
      </c>
      <c r="O704" s="116">
        <v>280.75</v>
      </c>
      <c r="P704" s="116">
        <v>282.95</v>
      </c>
      <c r="Q704" s="116">
        <v>281.5</v>
      </c>
      <c r="R704">
        <v>3084319</v>
      </c>
    </row>
    <row r="705" spans="1:18" x14ac:dyDescent="0.25">
      <c r="A705" s="170">
        <v>43040</v>
      </c>
      <c r="B705" s="116">
        <v>287</v>
      </c>
      <c r="C705" s="116">
        <v>282.75</v>
      </c>
      <c r="D705" s="116">
        <v>282.2</v>
      </c>
      <c r="E705" s="116">
        <v>282.55</v>
      </c>
      <c r="F705" s="116">
        <v>282.75</v>
      </c>
      <c r="G705">
        <v>72269</v>
      </c>
      <c r="H705" s="116"/>
      <c r="I705" s="116"/>
      <c r="L705" s="170">
        <v>43040</v>
      </c>
      <c r="M705" s="116">
        <v>283.05</v>
      </c>
      <c r="N705" s="116">
        <v>287.5</v>
      </c>
      <c r="O705" s="116">
        <v>282.05</v>
      </c>
      <c r="P705" s="116">
        <v>282.10000000000002</v>
      </c>
      <c r="Q705" s="116">
        <v>283.05</v>
      </c>
      <c r="R705">
        <v>2056294</v>
      </c>
    </row>
    <row r="706" spans="1:18" x14ac:dyDescent="0.25">
      <c r="A706" s="170">
        <v>43041</v>
      </c>
      <c r="B706" s="116">
        <v>285.35000000000002</v>
      </c>
      <c r="C706" s="116">
        <v>279.55</v>
      </c>
      <c r="D706" s="116">
        <v>278.89999999999998</v>
      </c>
      <c r="E706" s="116">
        <v>284.45</v>
      </c>
      <c r="F706" s="116">
        <v>279.55</v>
      </c>
      <c r="G706">
        <v>114110</v>
      </c>
      <c r="H706" s="116"/>
      <c r="I706" s="116"/>
      <c r="L706" s="170">
        <v>43041</v>
      </c>
      <c r="M706" s="116">
        <v>279.55</v>
      </c>
      <c r="N706" s="116">
        <v>285.7</v>
      </c>
      <c r="O706" s="116">
        <v>278.95</v>
      </c>
      <c r="P706" s="116">
        <v>284.45</v>
      </c>
      <c r="Q706" s="116">
        <v>279.55</v>
      </c>
      <c r="R706">
        <v>1519341</v>
      </c>
    </row>
    <row r="707" spans="1:18" x14ac:dyDescent="0.25">
      <c r="A707" s="170">
        <v>43042</v>
      </c>
      <c r="B707" s="116">
        <v>284</v>
      </c>
      <c r="C707" s="116">
        <v>282.25</v>
      </c>
      <c r="D707" s="116">
        <v>280.25</v>
      </c>
      <c r="E707" s="116">
        <v>280.39999999999998</v>
      </c>
      <c r="F707" s="116">
        <v>282.25</v>
      </c>
      <c r="G707">
        <v>51131</v>
      </c>
      <c r="H707" s="116"/>
      <c r="I707" s="116"/>
      <c r="L707" s="170">
        <v>43042</v>
      </c>
      <c r="M707" s="116">
        <v>282.60000000000002</v>
      </c>
      <c r="N707" s="116">
        <v>283.60000000000002</v>
      </c>
      <c r="O707" s="116">
        <v>280</v>
      </c>
      <c r="P707" s="116">
        <v>280</v>
      </c>
      <c r="Q707" s="116">
        <v>282.60000000000002</v>
      </c>
      <c r="R707">
        <v>1336410</v>
      </c>
    </row>
    <row r="708" spans="1:18" x14ac:dyDescent="0.25">
      <c r="A708" s="170">
        <v>43045</v>
      </c>
      <c r="B708" s="116">
        <v>283</v>
      </c>
      <c r="C708" s="116">
        <v>280.25</v>
      </c>
      <c r="D708" s="116">
        <v>277.8</v>
      </c>
      <c r="E708" s="116">
        <v>283</v>
      </c>
      <c r="F708" s="116">
        <v>280.25</v>
      </c>
      <c r="G708">
        <v>163975</v>
      </c>
      <c r="H708" s="116"/>
      <c r="I708" s="116"/>
      <c r="L708" s="170">
        <v>43045</v>
      </c>
      <c r="M708" s="116">
        <v>280.05</v>
      </c>
      <c r="N708" s="116">
        <v>282.45</v>
      </c>
      <c r="O708" s="116">
        <v>277.64999999999998</v>
      </c>
      <c r="P708" s="116">
        <v>282</v>
      </c>
      <c r="Q708" s="116">
        <v>280.05</v>
      </c>
      <c r="R708">
        <v>2012960</v>
      </c>
    </row>
    <row r="709" spans="1:18" x14ac:dyDescent="0.25">
      <c r="A709" s="170">
        <v>43046</v>
      </c>
      <c r="B709" s="116">
        <v>283.35000000000002</v>
      </c>
      <c r="C709" s="116">
        <v>276.25</v>
      </c>
      <c r="D709" s="116">
        <v>273.55</v>
      </c>
      <c r="E709" s="116">
        <v>281</v>
      </c>
      <c r="F709" s="116">
        <v>276.25</v>
      </c>
      <c r="G709">
        <v>306874</v>
      </c>
      <c r="H709" s="116"/>
      <c r="I709" s="116"/>
      <c r="L709" s="170">
        <v>43046</v>
      </c>
      <c r="M709" s="116">
        <v>276.64999999999998</v>
      </c>
      <c r="N709" s="116">
        <v>283.39999999999998</v>
      </c>
      <c r="O709" s="116">
        <v>274.64999999999998</v>
      </c>
      <c r="P709" s="116">
        <v>280.55</v>
      </c>
      <c r="Q709" s="116">
        <v>276.64999999999998</v>
      </c>
      <c r="R709">
        <v>2025509</v>
      </c>
    </row>
    <row r="710" spans="1:18" x14ac:dyDescent="0.25">
      <c r="A710" s="170">
        <v>43047</v>
      </c>
      <c r="B710" s="116">
        <v>279.3</v>
      </c>
      <c r="C710" s="116">
        <v>273.64999999999998</v>
      </c>
      <c r="D710" s="116">
        <v>272.5</v>
      </c>
      <c r="E710" s="116">
        <v>278.89999999999998</v>
      </c>
      <c r="F710" s="116">
        <v>273.64999999999998</v>
      </c>
      <c r="G710">
        <v>74679</v>
      </c>
      <c r="H710" s="116"/>
      <c r="I710" s="116"/>
      <c r="L710" s="170">
        <v>43047</v>
      </c>
      <c r="M710" s="116">
        <v>273.5</v>
      </c>
      <c r="N710" s="116">
        <v>279.7</v>
      </c>
      <c r="O710" s="116">
        <v>272.45</v>
      </c>
      <c r="P710" s="116">
        <v>276.5</v>
      </c>
      <c r="Q710" s="116">
        <v>273.5</v>
      </c>
      <c r="R710">
        <v>1707405</v>
      </c>
    </row>
    <row r="711" spans="1:18" x14ac:dyDescent="0.25">
      <c r="A711" s="170">
        <v>43048</v>
      </c>
      <c r="B711" s="116">
        <v>277.89999999999998</v>
      </c>
      <c r="C711" s="116">
        <v>270.5</v>
      </c>
      <c r="D711" s="116">
        <v>269.5</v>
      </c>
      <c r="E711" s="116">
        <v>277.89999999999998</v>
      </c>
      <c r="F711" s="116">
        <v>270.5</v>
      </c>
      <c r="G711">
        <v>715598</v>
      </c>
      <c r="H711" s="116"/>
      <c r="I711" s="116"/>
      <c r="L711" s="170">
        <v>43048</v>
      </c>
      <c r="M711" s="116">
        <v>271</v>
      </c>
      <c r="N711" s="116">
        <v>277.45</v>
      </c>
      <c r="O711" s="116">
        <v>270.10000000000002</v>
      </c>
      <c r="P711" s="116">
        <v>272.85000000000002</v>
      </c>
      <c r="Q711" s="116">
        <v>271</v>
      </c>
      <c r="R711">
        <v>1331818</v>
      </c>
    </row>
    <row r="712" spans="1:18" x14ac:dyDescent="0.25">
      <c r="A712" s="170">
        <v>43049</v>
      </c>
      <c r="B712" s="116">
        <v>273.7</v>
      </c>
      <c r="C712" s="116">
        <v>269.45</v>
      </c>
      <c r="D712" s="116">
        <v>268</v>
      </c>
      <c r="E712" s="116">
        <v>268</v>
      </c>
      <c r="F712" s="116">
        <v>269.45</v>
      </c>
      <c r="G712">
        <v>30910</v>
      </c>
      <c r="H712" s="116"/>
      <c r="I712" s="116"/>
      <c r="L712" s="170">
        <v>43049</v>
      </c>
      <c r="M712" s="116">
        <v>270.10000000000002</v>
      </c>
      <c r="N712" s="116">
        <v>274</v>
      </c>
      <c r="O712" s="116">
        <v>268.5</v>
      </c>
      <c r="P712" s="116">
        <v>269.5</v>
      </c>
      <c r="Q712" s="116">
        <v>270.10000000000002</v>
      </c>
      <c r="R712">
        <v>1686868</v>
      </c>
    </row>
    <row r="713" spans="1:18" x14ac:dyDescent="0.25">
      <c r="A713" s="170">
        <v>43052</v>
      </c>
      <c r="B713" s="116">
        <v>273.7</v>
      </c>
      <c r="C713" s="116">
        <v>270.75</v>
      </c>
      <c r="D713" s="116">
        <v>269.39999999999998</v>
      </c>
      <c r="E713" s="116">
        <v>271</v>
      </c>
      <c r="F713" s="116">
        <v>270.75</v>
      </c>
      <c r="G713">
        <v>57052</v>
      </c>
      <c r="H713" s="116"/>
      <c r="I713" s="116"/>
      <c r="L713" s="170">
        <v>43052</v>
      </c>
      <c r="M713" s="116">
        <v>271.2</v>
      </c>
      <c r="N713" s="116">
        <v>274.35000000000002</v>
      </c>
      <c r="O713" s="116">
        <v>269.05</v>
      </c>
      <c r="P713" s="116">
        <v>270.89999999999998</v>
      </c>
      <c r="Q713" s="116">
        <v>271.2</v>
      </c>
      <c r="R713">
        <v>1685529</v>
      </c>
    </row>
    <row r="714" spans="1:18" x14ac:dyDescent="0.25">
      <c r="A714" s="170">
        <v>43053</v>
      </c>
      <c r="B714" s="116">
        <v>274.89999999999998</v>
      </c>
      <c r="C714" s="116">
        <v>271.39999999999998</v>
      </c>
      <c r="D714" s="116">
        <v>269.7</v>
      </c>
      <c r="E714" s="116">
        <v>270.75</v>
      </c>
      <c r="F714" s="116">
        <v>271.39999999999998</v>
      </c>
      <c r="G714">
        <v>42655</v>
      </c>
      <c r="H714" s="116"/>
      <c r="I714" s="116"/>
      <c r="L714" s="170">
        <v>43053</v>
      </c>
      <c r="M714" s="116">
        <v>271.35000000000002</v>
      </c>
      <c r="N714" s="116">
        <v>275.35000000000002</v>
      </c>
      <c r="O714" s="116">
        <v>269.2</v>
      </c>
      <c r="P714" s="116">
        <v>271</v>
      </c>
      <c r="Q714" s="116">
        <v>271.35000000000002</v>
      </c>
      <c r="R714">
        <v>1691237</v>
      </c>
    </row>
    <row r="715" spans="1:18" x14ac:dyDescent="0.25">
      <c r="A715" s="170">
        <v>43054</v>
      </c>
      <c r="B715" s="116">
        <v>278.5</v>
      </c>
      <c r="C715" s="116">
        <v>276</v>
      </c>
      <c r="D715" s="116">
        <v>272.05</v>
      </c>
      <c r="E715" s="116">
        <v>272.05</v>
      </c>
      <c r="F715" s="116">
        <v>276</v>
      </c>
      <c r="G715">
        <v>375212</v>
      </c>
      <c r="H715" s="116"/>
      <c r="I715" s="116"/>
      <c r="L715" s="170">
        <v>43054</v>
      </c>
      <c r="M715" s="116">
        <v>276.14999999999998</v>
      </c>
      <c r="N715" s="116">
        <v>278</v>
      </c>
      <c r="O715" s="116">
        <v>271.3</v>
      </c>
      <c r="P715" s="116">
        <v>271.35000000000002</v>
      </c>
      <c r="Q715" s="116">
        <v>276.14999999999998</v>
      </c>
      <c r="R715">
        <v>3970046</v>
      </c>
    </row>
    <row r="716" spans="1:18" x14ac:dyDescent="0.25">
      <c r="A716" s="170">
        <v>43055</v>
      </c>
      <c r="B716" s="116">
        <v>281.8</v>
      </c>
      <c r="C716" s="116">
        <v>274.95</v>
      </c>
      <c r="D716" s="116">
        <v>273.64999999999998</v>
      </c>
      <c r="E716" s="116">
        <v>278.5</v>
      </c>
      <c r="F716" s="116">
        <v>274.95</v>
      </c>
      <c r="G716">
        <v>252047</v>
      </c>
      <c r="H716" s="116"/>
      <c r="I716" s="116"/>
      <c r="L716" s="170">
        <v>43055</v>
      </c>
      <c r="M716" s="116">
        <v>275.14999999999998</v>
      </c>
      <c r="N716" s="116">
        <v>281.8</v>
      </c>
      <c r="O716" s="116">
        <v>274.55</v>
      </c>
      <c r="P716" s="116">
        <v>279.45</v>
      </c>
      <c r="Q716" s="116">
        <v>275.14999999999998</v>
      </c>
      <c r="R716">
        <v>2588111</v>
      </c>
    </row>
    <row r="717" spans="1:18" x14ac:dyDescent="0.25">
      <c r="A717" s="170">
        <v>43056</v>
      </c>
      <c r="B717" s="116">
        <v>279.5</v>
      </c>
      <c r="C717" s="116">
        <v>274.45</v>
      </c>
      <c r="D717" s="116">
        <v>273.10000000000002</v>
      </c>
      <c r="E717" s="116">
        <v>278.25</v>
      </c>
      <c r="F717" s="116">
        <v>274.45</v>
      </c>
      <c r="G717">
        <v>126364</v>
      </c>
      <c r="H717" s="116"/>
      <c r="I717" s="116"/>
      <c r="L717" s="170">
        <v>43056</v>
      </c>
      <c r="M717" s="116">
        <v>274.5</v>
      </c>
      <c r="N717" s="116">
        <v>279.89999999999998</v>
      </c>
      <c r="O717" s="116">
        <v>273.5</v>
      </c>
      <c r="P717" s="116">
        <v>278.14999999999998</v>
      </c>
      <c r="Q717" s="116">
        <v>274.5</v>
      </c>
      <c r="R717">
        <v>1670648</v>
      </c>
    </row>
    <row r="718" spans="1:18" x14ac:dyDescent="0.25">
      <c r="A718" s="170">
        <v>43059</v>
      </c>
      <c r="B718" s="116">
        <v>272.75</v>
      </c>
      <c r="C718" s="116">
        <v>265</v>
      </c>
      <c r="D718" s="116">
        <v>263.7</v>
      </c>
      <c r="E718" s="116">
        <v>271.95</v>
      </c>
      <c r="F718" s="116">
        <v>265</v>
      </c>
      <c r="G718">
        <v>158497</v>
      </c>
      <c r="H718" s="116"/>
      <c r="I718" s="116"/>
      <c r="L718" s="170">
        <v>43059</v>
      </c>
      <c r="M718" s="116">
        <v>264.7</v>
      </c>
      <c r="N718" s="116">
        <v>272.8</v>
      </c>
      <c r="O718" s="116">
        <v>263</v>
      </c>
      <c r="P718" s="116">
        <v>272.8</v>
      </c>
      <c r="Q718" s="116">
        <v>264.7</v>
      </c>
      <c r="R718">
        <v>3261832</v>
      </c>
    </row>
    <row r="719" spans="1:18" x14ac:dyDescent="0.25">
      <c r="A719" s="170">
        <v>43060</v>
      </c>
      <c r="B719" s="116">
        <v>267.55</v>
      </c>
      <c r="C719" s="116">
        <v>261.75</v>
      </c>
      <c r="D719" s="116">
        <v>261.10000000000002</v>
      </c>
      <c r="E719" s="116">
        <v>266.5</v>
      </c>
      <c r="F719" s="116">
        <v>261.75</v>
      </c>
      <c r="G719">
        <v>108766</v>
      </c>
      <c r="H719" s="116"/>
      <c r="I719" s="116"/>
      <c r="L719" s="170">
        <v>43060</v>
      </c>
      <c r="M719" s="116">
        <v>261.64999999999998</v>
      </c>
      <c r="N719" s="116">
        <v>267.39999999999998</v>
      </c>
      <c r="O719" s="116">
        <v>260.85000000000002</v>
      </c>
      <c r="P719" s="116">
        <v>264.5</v>
      </c>
      <c r="Q719" s="116">
        <v>261.64999999999998</v>
      </c>
      <c r="R719">
        <v>3037842</v>
      </c>
    </row>
    <row r="720" spans="1:18" x14ac:dyDescent="0.25">
      <c r="A720" s="170">
        <v>43061</v>
      </c>
      <c r="B720" s="116">
        <v>267.39999999999998</v>
      </c>
      <c r="C720" s="116">
        <v>265.75</v>
      </c>
      <c r="D720" s="116">
        <v>262.10000000000002</v>
      </c>
      <c r="E720" s="116">
        <v>262.10000000000002</v>
      </c>
      <c r="F720" s="116">
        <v>265.75</v>
      </c>
      <c r="G720">
        <v>56980</v>
      </c>
      <c r="H720" s="116"/>
      <c r="I720" s="116"/>
      <c r="L720" s="170">
        <v>43061</v>
      </c>
      <c r="M720" s="116">
        <v>265.60000000000002</v>
      </c>
      <c r="N720" s="116">
        <v>267.39999999999998</v>
      </c>
      <c r="O720" s="116">
        <v>262.14999999999998</v>
      </c>
      <c r="P720" s="116">
        <v>263.39999999999998</v>
      </c>
      <c r="Q720" s="116">
        <v>265.60000000000002</v>
      </c>
      <c r="R720">
        <v>2773825</v>
      </c>
    </row>
    <row r="721" spans="1:18" x14ac:dyDescent="0.25">
      <c r="A721" s="170">
        <v>43062</v>
      </c>
      <c r="B721" s="116">
        <v>269.5</v>
      </c>
      <c r="C721" s="116">
        <v>264.89999999999998</v>
      </c>
      <c r="D721" s="116">
        <v>264</v>
      </c>
      <c r="E721" s="116">
        <v>265</v>
      </c>
      <c r="F721" s="116">
        <v>264.89999999999998</v>
      </c>
      <c r="G721">
        <v>157192</v>
      </c>
      <c r="H721" s="116"/>
      <c r="I721" s="116"/>
      <c r="L721" s="170">
        <v>43062</v>
      </c>
      <c r="M721" s="116">
        <v>264.95</v>
      </c>
      <c r="N721" s="116">
        <v>269.5</v>
      </c>
      <c r="O721" s="116">
        <v>264.10000000000002</v>
      </c>
      <c r="P721" s="116">
        <v>267.25</v>
      </c>
      <c r="Q721" s="116">
        <v>264.95</v>
      </c>
      <c r="R721">
        <v>2837249</v>
      </c>
    </row>
    <row r="722" spans="1:18" x14ac:dyDescent="0.25">
      <c r="A722" s="170">
        <v>43063</v>
      </c>
      <c r="B722" s="116">
        <v>267.64999999999998</v>
      </c>
      <c r="C722" s="116">
        <v>265.05</v>
      </c>
      <c r="D722" s="116">
        <v>264.05</v>
      </c>
      <c r="E722" s="116">
        <v>265.8</v>
      </c>
      <c r="F722" s="116">
        <v>265.05</v>
      </c>
      <c r="G722">
        <v>40595</v>
      </c>
      <c r="H722" s="116"/>
      <c r="I722" s="116"/>
      <c r="L722" s="170">
        <v>43063</v>
      </c>
      <c r="M722" s="116">
        <v>264.95</v>
      </c>
      <c r="N722" s="116">
        <v>268.10000000000002</v>
      </c>
      <c r="O722" s="116">
        <v>264.5</v>
      </c>
      <c r="P722" s="116">
        <v>265.95</v>
      </c>
      <c r="Q722" s="116">
        <v>264.95</v>
      </c>
      <c r="R722">
        <v>1999089</v>
      </c>
    </row>
    <row r="723" spans="1:18" x14ac:dyDescent="0.25">
      <c r="A723" s="170">
        <v>43066</v>
      </c>
      <c r="B723" s="116">
        <v>265.89999999999998</v>
      </c>
      <c r="C723" s="116">
        <v>262.39999999999998</v>
      </c>
      <c r="D723" s="116">
        <v>261.75</v>
      </c>
      <c r="E723" s="116">
        <v>265</v>
      </c>
      <c r="F723" s="116">
        <v>262.39999999999998</v>
      </c>
      <c r="G723">
        <v>43942</v>
      </c>
      <c r="H723" s="116"/>
      <c r="I723" s="116"/>
      <c r="L723" s="170">
        <v>43066</v>
      </c>
      <c r="M723" s="116">
        <v>262.39999999999998</v>
      </c>
      <c r="N723" s="116">
        <v>266</v>
      </c>
      <c r="O723" s="116">
        <v>261.64999999999998</v>
      </c>
      <c r="P723" s="116">
        <v>264.5</v>
      </c>
      <c r="Q723" s="116">
        <v>262.39999999999998</v>
      </c>
      <c r="R723">
        <v>2787181</v>
      </c>
    </row>
    <row r="724" spans="1:18" x14ac:dyDescent="0.25">
      <c r="A724" s="170">
        <v>43067</v>
      </c>
      <c r="B724" s="116">
        <v>265.39999999999998</v>
      </c>
      <c r="C724" s="116">
        <v>263.35000000000002</v>
      </c>
      <c r="D724" s="116">
        <v>262.2</v>
      </c>
      <c r="E724" s="116">
        <v>263.14999999999998</v>
      </c>
      <c r="F724" s="116">
        <v>263.35000000000002</v>
      </c>
      <c r="G724">
        <v>84993</v>
      </c>
      <c r="H724" s="116"/>
      <c r="I724" s="116"/>
      <c r="L724" s="170">
        <v>43067</v>
      </c>
      <c r="M724" s="116">
        <v>263.05</v>
      </c>
      <c r="N724" s="116">
        <v>265.64999999999998</v>
      </c>
      <c r="O724" s="116">
        <v>262</v>
      </c>
      <c r="P724" s="116">
        <v>263.05</v>
      </c>
      <c r="Q724" s="116">
        <v>263.05</v>
      </c>
      <c r="R724">
        <v>1485419</v>
      </c>
    </row>
    <row r="725" spans="1:18" x14ac:dyDescent="0.25">
      <c r="A725" s="170">
        <v>43068</v>
      </c>
      <c r="B725" s="116">
        <v>265.64999999999998</v>
      </c>
      <c r="C725" s="116">
        <v>262.75</v>
      </c>
      <c r="D725" s="116">
        <v>261</v>
      </c>
      <c r="E725" s="116">
        <v>263</v>
      </c>
      <c r="F725" s="116">
        <v>262.75</v>
      </c>
      <c r="G725">
        <v>44541</v>
      </c>
      <c r="H725" s="116"/>
      <c r="I725" s="116"/>
      <c r="L725" s="170">
        <v>43068</v>
      </c>
      <c r="M725" s="116">
        <v>263.05</v>
      </c>
      <c r="N725" s="116">
        <v>265.8</v>
      </c>
      <c r="O725" s="116">
        <v>262.3</v>
      </c>
      <c r="P725" s="116">
        <v>263.3</v>
      </c>
      <c r="Q725" s="116">
        <v>263.05</v>
      </c>
      <c r="R725">
        <v>1398926</v>
      </c>
    </row>
    <row r="726" spans="1:18" x14ac:dyDescent="0.25">
      <c r="A726" s="170">
        <v>43069</v>
      </c>
      <c r="B726" s="116">
        <v>264.5</v>
      </c>
      <c r="C726" s="116">
        <v>262.60000000000002</v>
      </c>
      <c r="D726" s="116">
        <v>259.45</v>
      </c>
      <c r="E726" s="116">
        <v>262.89999999999998</v>
      </c>
      <c r="F726" s="116">
        <v>262.60000000000002</v>
      </c>
      <c r="G726">
        <v>71163</v>
      </c>
      <c r="H726" s="116"/>
      <c r="I726" s="116"/>
      <c r="L726" s="170">
        <v>43069</v>
      </c>
      <c r="M726" s="116">
        <v>262.5</v>
      </c>
      <c r="N726" s="116">
        <v>264.85000000000002</v>
      </c>
      <c r="O726" s="116">
        <v>259.25</v>
      </c>
      <c r="P726" s="116">
        <v>262.45</v>
      </c>
      <c r="Q726" s="116">
        <v>262.5</v>
      </c>
      <c r="R726">
        <v>2858463</v>
      </c>
    </row>
    <row r="727" spans="1:18" x14ac:dyDescent="0.25">
      <c r="A727" s="170">
        <v>43070</v>
      </c>
      <c r="B727" s="116">
        <v>268.14999999999998</v>
      </c>
      <c r="C727" s="116">
        <v>263.60000000000002</v>
      </c>
      <c r="D727" s="116">
        <v>262.3</v>
      </c>
      <c r="E727" s="116">
        <v>264.05</v>
      </c>
      <c r="F727" s="116">
        <v>263.60000000000002</v>
      </c>
      <c r="G727">
        <v>136438</v>
      </c>
      <c r="H727" s="116"/>
      <c r="I727" s="116"/>
      <c r="L727" s="170">
        <v>43070</v>
      </c>
      <c r="M727" s="116">
        <v>263.55</v>
      </c>
      <c r="N727" s="116">
        <v>268.25</v>
      </c>
      <c r="O727" s="116">
        <v>262.3</v>
      </c>
      <c r="P727" s="116">
        <v>263.64999999999998</v>
      </c>
      <c r="Q727" s="116">
        <v>263.55</v>
      </c>
      <c r="R727">
        <v>2069676</v>
      </c>
    </row>
    <row r="728" spans="1:18" x14ac:dyDescent="0.25">
      <c r="A728" s="170">
        <v>43073</v>
      </c>
      <c r="B728" s="116">
        <v>267.5</v>
      </c>
      <c r="C728" s="116">
        <v>261.05</v>
      </c>
      <c r="D728" s="116">
        <v>259.60000000000002</v>
      </c>
      <c r="E728" s="116">
        <v>267.5</v>
      </c>
      <c r="F728" s="116">
        <v>261.05</v>
      </c>
      <c r="G728">
        <v>86554</v>
      </c>
      <c r="H728" s="116"/>
      <c r="I728" s="116"/>
      <c r="L728" s="170">
        <v>43073</v>
      </c>
      <c r="M728" s="116">
        <v>261.10000000000002</v>
      </c>
      <c r="N728" s="116">
        <v>266.10000000000002</v>
      </c>
      <c r="O728" s="116">
        <v>259.45</v>
      </c>
      <c r="P728" s="116">
        <v>265</v>
      </c>
      <c r="Q728" s="116">
        <v>261.10000000000002</v>
      </c>
      <c r="R728">
        <v>1260611</v>
      </c>
    </row>
    <row r="729" spans="1:18" x14ac:dyDescent="0.25">
      <c r="A729" s="170">
        <v>43074</v>
      </c>
      <c r="B729" s="116">
        <v>262.14999999999998</v>
      </c>
      <c r="C729" s="116">
        <v>260.14999999999998</v>
      </c>
      <c r="D729" s="116">
        <v>256.60000000000002</v>
      </c>
      <c r="E729" s="116">
        <v>260</v>
      </c>
      <c r="F729" s="116">
        <v>260.14999999999998</v>
      </c>
      <c r="G729">
        <v>110807</v>
      </c>
      <c r="H729" s="116"/>
      <c r="I729" s="116"/>
      <c r="L729" s="170">
        <v>43074</v>
      </c>
      <c r="M729" s="116">
        <v>260.45</v>
      </c>
      <c r="N729" s="116">
        <v>262</v>
      </c>
      <c r="O729" s="116">
        <v>256.25</v>
      </c>
      <c r="P729" s="116">
        <v>261</v>
      </c>
      <c r="Q729" s="116">
        <v>260.45</v>
      </c>
      <c r="R729">
        <v>2016019</v>
      </c>
    </row>
    <row r="730" spans="1:18" x14ac:dyDescent="0.25">
      <c r="A730" s="170">
        <v>43075</v>
      </c>
      <c r="B730" s="116">
        <v>263</v>
      </c>
      <c r="C730" s="116">
        <v>261.25</v>
      </c>
      <c r="D730" s="116">
        <v>258.10000000000002</v>
      </c>
      <c r="E730" s="116">
        <v>260.25</v>
      </c>
      <c r="F730" s="116">
        <v>261.25</v>
      </c>
      <c r="G730">
        <v>55588</v>
      </c>
      <c r="H730" s="116"/>
      <c r="I730" s="116"/>
      <c r="L730" s="170">
        <v>43075</v>
      </c>
      <c r="M730" s="116">
        <v>261.7</v>
      </c>
      <c r="N730" s="116">
        <v>263.25</v>
      </c>
      <c r="O730" s="116">
        <v>257.7</v>
      </c>
      <c r="P730" s="116">
        <v>259.89999999999998</v>
      </c>
      <c r="Q730" s="116">
        <v>261.7</v>
      </c>
      <c r="R730">
        <v>3182304</v>
      </c>
    </row>
    <row r="731" spans="1:18" x14ac:dyDescent="0.25">
      <c r="A731" s="170">
        <v>43076</v>
      </c>
      <c r="B731" s="116">
        <v>266.5</v>
      </c>
      <c r="C731" s="116">
        <v>265.7</v>
      </c>
      <c r="D731" s="116">
        <v>261.5</v>
      </c>
      <c r="E731" s="116">
        <v>262.8</v>
      </c>
      <c r="F731" s="116">
        <v>265.7</v>
      </c>
      <c r="G731">
        <v>76421</v>
      </c>
      <c r="H731" s="116"/>
      <c r="I731" s="116"/>
      <c r="L731" s="170">
        <v>43076</v>
      </c>
      <c r="M731" s="116">
        <v>265.85000000000002</v>
      </c>
      <c r="N731" s="116">
        <v>266.7</v>
      </c>
      <c r="O731" s="116">
        <v>261.45</v>
      </c>
      <c r="P731" s="116">
        <v>262.7</v>
      </c>
      <c r="Q731" s="116">
        <v>265.85000000000002</v>
      </c>
      <c r="R731">
        <v>1345304</v>
      </c>
    </row>
    <row r="732" spans="1:18" x14ac:dyDescent="0.25">
      <c r="A732" s="170">
        <v>43077</v>
      </c>
      <c r="B732" s="116">
        <v>268.7</v>
      </c>
      <c r="C732" s="116">
        <v>267.64999999999998</v>
      </c>
      <c r="D732" s="116">
        <v>263.95</v>
      </c>
      <c r="E732" s="116">
        <v>265.64999999999998</v>
      </c>
      <c r="F732" s="116">
        <v>267.64999999999998</v>
      </c>
      <c r="G732">
        <v>55179</v>
      </c>
      <c r="H732" s="116"/>
      <c r="I732" s="116"/>
      <c r="L732" s="170">
        <v>43077</v>
      </c>
      <c r="M732" s="116">
        <v>268.10000000000002</v>
      </c>
      <c r="N732" s="116">
        <v>270</v>
      </c>
      <c r="O732" s="116">
        <v>263.7</v>
      </c>
      <c r="P732" s="116">
        <v>265.7</v>
      </c>
      <c r="Q732" s="116">
        <v>268.10000000000002</v>
      </c>
      <c r="R732">
        <v>1272951</v>
      </c>
    </row>
    <row r="733" spans="1:18" x14ac:dyDescent="0.25">
      <c r="A733" s="170">
        <v>43080</v>
      </c>
      <c r="B733" s="116">
        <v>270.64999999999998</v>
      </c>
      <c r="C733" s="116">
        <v>268.7</v>
      </c>
      <c r="D733" s="116">
        <v>268.14999999999998</v>
      </c>
      <c r="E733" s="116">
        <v>269.10000000000002</v>
      </c>
      <c r="F733" s="116">
        <v>268.7</v>
      </c>
      <c r="G733">
        <v>44026</v>
      </c>
      <c r="H733" s="116"/>
      <c r="I733" s="116"/>
      <c r="L733" s="170">
        <v>43080</v>
      </c>
      <c r="M733" s="116">
        <v>269.10000000000002</v>
      </c>
      <c r="N733" s="116">
        <v>270.95</v>
      </c>
      <c r="O733" s="116">
        <v>268.5</v>
      </c>
      <c r="P733" s="116">
        <v>269.5</v>
      </c>
      <c r="Q733" s="116">
        <v>269.10000000000002</v>
      </c>
      <c r="R733">
        <v>1199568</v>
      </c>
    </row>
    <row r="734" spans="1:18" x14ac:dyDescent="0.25">
      <c r="A734" s="170">
        <v>43081</v>
      </c>
      <c r="B734" s="116">
        <v>269.7</v>
      </c>
      <c r="C734" s="116">
        <v>265.35000000000002</v>
      </c>
      <c r="D734" s="116">
        <v>264.3</v>
      </c>
      <c r="E734" s="116">
        <v>269.7</v>
      </c>
      <c r="F734" s="116">
        <v>265.35000000000002</v>
      </c>
      <c r="G734">
        <v>45316</v>
      </c>
      <c r="H734" s="116"/>
      <c r="I734" s="116"/>
      <c r="L734" s="170">
        <v>43081</v>
      </c>
      <c r="M734" s="116">
        <v>265.3</v>
      </c>
      <c r="N734" s="116">
        <v>269.64999999999998</v>
      </c>
      <c r="O734" s="116">
        <v>264.14999999999998</v>
      </c>
      <c r="P734" s="116">
        <v>268.5</v>
      </c>
      <c r="Q734" s="116">
        <v>265.3</v>
      </c>
      <c r="R734">
        <v>2006310</v>
      </c>
    </row>
    <row r="735" spans="1:18" x14ac:dyDescent="0.25">
      <c r="A735" s="170">
        <v>43082</v>
      </c>
      <c r="B735" s="116">
        <v>270.60000000000002</v>
      </c>
      <c r="C735" s="116">
        <v>264.85000000000002</v>
      </c>
      <c r="D735" s="116">
        <v>263.60000000000002</v>
      </c>
      <c r="E735" s="116">
        <v>265</v>
      </c>
      <c r="F735" s="116">
        <v>264.85000000000002</v>
      </c>
      <c r="G735">
        <v>96924</v>
      </c>
      <c r="H735" s="116"/>
      <c r="I735" s="116"/>
      <c r="L735" s="170">
        <v>43082</v>
      </c>
      <c r="M735" s="116">
        <v>264.10000000000002</v>
      </c>
      <c r="N735" s="116">
        <v>270.3</v>
      </c>
      <c r="O735" s="116">
        <v>263.25</v>
      </c>
      <c r="P735" s="116">
        <v>265.8</v>
      </c>
      <c r="Q735" s="116">
        <v>264.10000000000002</v>
      </c>
      <c r="R735">
        <v>3204666</v>
      </c>
    </row>
    <row r="736" spans="1:18" x14ac:dyDescent="0.25">
      <c r="A736" s="170">
        <v>43083</v>
      </c>
      <c r="B736" s="116">
        <v>266.64999999999998</v>
      </c>
      <c r="C736" s="116">
        <v>264.64999999999998</v>
      </c>
      <c r="D736" s="116">
        <v>260.05</v>
      </c>
      <c r="E736" s="116">
        <v>265.25</v>
      </c>
      <c r="F736" s="116">
        <v>264.64999999999998</v>
      </c>
      <c r="G736">
        <v>46648</v>
      </c>
      <c r="H736" s="116"/>
      <c r="I736" s="116"/>
      <c r="L736" s="170">
        <v>43083</v>
      </c>
      <c r="M736" s="116">
        <v>264.75</v>
      </c>
      <c r="N736" s="116">
        <v>267</v>
      </c>
      <c r="O736" s="116">
        <v>259.60000000000002</v>
      </c>
      <c r="P736" s="116">
        <v>266.39999999999998</v>
      </c>
      <c r="Q736" s="116">
        <v>264.75</v>
      </c>
      <c r="R736">
        <v>1666551</v>
      </c>
    </row>
    <row r="737" spans="1:18" x14ac:dyDescent="0.25">
      <c r="A737" s="170">
        <v>43084</v>
      </c>
      <c r="B737" s="116">
        <v>267.5</v>
      </c>
      <c r="C737" s="116">
        <v>264.10000000000002</v>
      </c>
      <c r="D737" s="116">
        <v>263.25</v>
      </c>
      <c r="E737" s="116">
        <v>267.5</v>
      </c>
      <c r="F737" s="116">
        <v>264.10000000000002</v>
      </c>
      <c r="G737">
        <v>56900</v>
      </c>
      <c r="H737" s="116"/>
      <c r="I737" s="116"/>
      <c r="L737" s="170">
        <v>43084</v>
      </c>
      <c r="M737" s="116">
        <v>264.39999999999998</v>
      </c>
      <c r="N737" s="116">
        <v>267.55</v>
      </c>
      <c r="O737" s="116">
        <v>263.3</v>
      </c>
      <c r="P737" s="116">
        <v>267</v>
      </c>
      <c r="Q737" s="116">
        <v>264.39999999999998</v>
      </c>
      <c r="R737">
        <v>1808962</v>
      </c>
    </row>
    <row r="738" spans="1:18" x14ac:dyDescent="0.25">
      <c r="A738" s="170">
        <v>43087</v>
      </c>
      <c r="B738" s="116">
        <v>266.5</v>
      </c>
      <c r="C738" s="116">
        <v>264.3</v>
      </c>
      <c r="D738" s="116">
        <v>257.3</v>
      </c>
      <c r="E738" s="116">
        <v>262.2</v>
      </c>
      <c r="F738" s="116">
        <v>264.3</v>
      </c>
      <c r="G738">
        <v>112548</v>
      </c>
      <c r="H738" s="116"/>
      <c r="I738" s="116"/>
      <c r="L738" s="170">
        <v>43087</v>
      </c>
      <c r="M738" s="116">
        <v>264</v>
      </c>
      <c r="N738" s="116">
        <v>266.55</v>
      </c>
      <c r="O738" s="116">
        <v>255</v>
      </c>
      <c r="P738" s="116">
        <v>262.95</v>
      </c>
      <c r="Q738" s="116">
        <v>264</v>
      </c>
      <c r="R738">
        <v>1221276</v>
      </c>
    </row>
    <row r="739" spans="1:18" x14ac:dyDescent="0.25">
      <c r="A739" s="170">
        <v>43088</v>
      </c>
      <c r="B739" s="116">
        <v>270.8</v>
      </c>
      <c r="C739" s="116">
        <v>269.95</v>
      </c>
      <c r="D739" s="116">
        <v>263.89999999999998</v>
      </c>
      <c r="E739" s="116">
        <v>263.89999999999998</v>
      </c>
      <c r="F739" s="116">
        <v>269.95</v>
      </c>
      <c r="G739">
        <v>77528</v>
      </c>
      <c r="H739" s="116"/>
      <c r="I739" s="116"/>
      <c r="L739" s="170">
        <v>43088</v>
      </c>
      <c r="M739" s="116">
        <v>270.64999999999998</v>
      </c>
      <c r="N739" s="116">
        <v>272</v>
      </c>
      <c r="O739" s="116">
        <v>264</v>
      </c>
      <c r="P739" s="116">
        <v>264</v>
      </c>
      <c r="Q739" s="116">
        <v>270.64999999999998</v>
      </c>
      <c r="R739">
        <v>1565382</v>
      </c>
    </row>
    <row r="740" spans="1:18" x14ac:dyDescent="0.25">
      <c r="A740" s="170">
        <v>43089</v>
      </c>
      <c r="B740" s="116">
        <v>271.39999999999998</v>
      </c>
      <c r="C740" s="116">
        <v>267.45</v>
      </c>
      <c r="D740" s="116">
        <v>267.05</v>
      </c>
      <c r="E740" s="116">
        <v>270.95</v>
      </c>
      <c r="F740" s="116">
        <v>267.45</v>
      </c>
      <c r="G740">
        <v>54043</v>
      </c>
      <c r="H740" s="116"/>
      <c r="I740" s="116"/>
      <c r="L740" s="170">
        <v>43089</v>
      </c>
      <c r="M740" s="116">
        <v>267.45</v>
      </c>
      <c r="N740" s="116">
        <v>272.39999999999998</v>
      </c>
      <c r="O740" s="116">
        <v>267.14999999999998</v>
      </c>
      <c r="P740" s="116">
        <v>272.39999999999998</v>
      </c>
      <c r="Q740" s="116">
        <v>267.45</v>
      </c>
      <c r="R740">
        <v>1553248</v>
      </c>
    </row>
    <row r="741" spans="1:18" x14ac:dyDescent="0.25">
      <c r="A741" s="170">
        <v>43090</v>
      </c>
      <c r="B741" s="116">
        <v>271.35000000000002</v>
      </c>
      <c r="C741" s="116">
        <v>268.5</v>
      </c>
      <c r="D741" s="116">
        <v>267.25</v>
      </c>
      <c r="E741" s="116">
        <v>267.25</v>
      </c>
      <c r="F741" s="116">
        <v>268.5</v>
      </c>
      <c r="G741">
        <v>33234</v>
      </c>
      <c r="H741" s="116"/>
      <c r="I741" s="116"/>
      <c r="L741" s="170">
        <v>43090</v>
      </c>
      <c r="M741" s="116">
        <v>268.60000000000002</v>
      </c>
      <c r="N741" s="116">
        <v>272</v>
      </c>
      <c r="O741" s="116">
        <v>266.10000000000002</v>
      </c>
      <c r="P741" s="116">
        <v>268</v>
      </c>
      <c r="Q741" s="116">
        <v>268.60000000000002</v>
      </c>
      <c r="R741">
        <v>1597801</v>
      </c>
    </row>
    <row r="742" spans="1:18" x14ac:dyDescent="0.25">
      <c r="A742" s="170">
        <v>43091</v>
      </c>
      <c r="B742" s="116">
        <v>269.14999999999998</v>
      </c>
      <c r="C742" s="116">
        <v>267.5</v>
      </c>
      <c r="D742" s="116">
        <v>266.8</v>
      </c>
      <c r="E742" s="116">
        <v>268.5</v>
      </c>
      <c r="F742" s="116">
        <v>267.5</v>
      </c>
      <c r="G742">
        <v>20926</v>
      </c>
      <c r="H742" s="116"/>
      <c r="I742" s="116"/>
      <c r="L742" s="170">
        <v>43091</v>
      </c>
      <c r="M742" s="116">
        <v>267.60000000000002</v>
      </c>
      <c r="N742" s="116">
        <v>269.60000000000002</v>
      </c>
      <c r="O742" s="116">
        <v>266.64999999999998</v>
      </c>
      <c r="P742" s="116">
        <v>269.60000000000002</v>
      </c>
      <c r="Q742" s="116">
        <v>267.60000000000002</v>
      </c>
      <c r="R742">
        <v>1112049</v>
      </c>
    </row>
    <row r="743" spans="1:18" x14ac:dyDescent="0.25">
      <c r="A743" s="170">
        <v>43095</v>
      </c>
      <c r="B743" s="116">
        <v>272.7</v>
      </c>
      <c r="C743" s="116">
        <v>272.14999999999998</v>
      </c>
      <c r="D743" s="116">
        <v>266</v>
      </c>
      <c r="E743" s="116">
        <v>266</v>
      </c>
      <c r="F743" s="116">
        <v>272.14999999999998</v>
      </c>
      <c r="G743">
        <v>72424</v>
      </c>
      <c r="H743" s="116"/>
      <c r="I743" s="116"/>
      <c r="L743" s="170">
        <v>43095</v>
      </c>
      <c r="M743" s="116">
        <v>273.3</v>
      </c>
      <c r="N743" s="116">
        <v>274</v>
      </c>
      <c r="O743" s="116">
        <v>266.7</v>
      </c>
      <c r="P743" s="116">
        <v>267.5</v>
      </c>
      <c r="Q743" s="116">
        <v>273.3</v>
      </c>
      <c r="R743">
        <v>2217661</v>
      </c>
    </row>
    <row r="744" spans="1:18" x14ac:dyDescent="0.25">
      <c r="A744" s="170">
        <v>43096</v>
      </c>
      <c r="B744" s="116">
        <v>273.35000000000002</v>
      </c>
      <c r="C744" s="116">
        <v>270.75</v>
      </c>
      <c r="D744" s="116">
        <v>268.5</v>
      </c>
      <c r="E744" s="116">
        <v>273</v>
      </c>
      <c r="F744" s="116">
        <v>270.75</v>
      </c>
      <c r="G744">
        <v>85068</v>
      </c>
      <c r="H744" s="116"/>
      <c r="I744" s="116"/>
      <c r="L744" s="170">
        <v>43096</v>
      </c>
      <c r="M744" s="116">
        <v>271.3</v>
      </c>
      <c r="N744" s="116">
        <v>273.75</v>
      </c>
      <c r="O744" s="116">
        <v>268.39999999999998</v>
      </c>
      <c r="P744" s="116">
        <v>273.5</v>
      </c>
      <c r="Q744" s="116">
        <v>271.3</v>
      </c>
      <c r="R744">
        <v>1652849</v>
      </c>
    </row>
    <row r="745" spans="1:18" x14ac:dyDescent="0.25">
      <c r="A745" s="170">
        <v>43097</v>
      </c>
      <c r="B745" s="116">
        <v>273.3</v>
      </c>
      <c r="C745" s="116">
        <v>271.05</v>
      </c>
      <c r="D745" s="116">
        <v>268.95</v>
      </c>
      <c r="E745" s="116">
        <v>271.25</v>
      </c>
      <c r="F745" s="116">
        <v>271.05</v>
      </c>
      <c r="G745">
        <v>99567</v>
      </c>
      <c r="H745" s="116"/>
      <c r="I745" s="116"/>
      <c r="L745" s="170">
        <v>43097</v>
      </c>
      <c r="M745" s="116">
        <v>271.60000000000002</v>
      </c>
      <c r="N745" s="116">
        <v>273.5</v>
      </c>
      <c r="O745" s="116">
        <v>268.8</v>
      </c>
      <c r="P745" s="116">
        <v>272</v>
      </c>
      <c r="Q745" s="116">
        <v>271.60000000000002</v>
      </c>
      <c r="R745">
        <v>1463113</v>
      </c>
    </row>
    <row r="746" spans="1:18" x14ac:dyDescent="0.25">
      <c r="A746" s="170">
        <v>43098</v>
      </c>
      <c r="B746" s="116">
        <v>273.8</v>
      </c>
      <c r="C746" s="116">
        <v>271.2</v>
      </c>
      <c r="D746" s="116">
        <v>270.5</v>
      </c>
      <c r="E746" s="116">
        <v>273</v>
      </c>
      <c r="F746" s="116">
        <v>271.2</v>
      </c>
      <c r="G746">
        <v>67927</v>
      </c>
      <c r="H746" s="116"/>
      <c r="I746" s="116"/>
      <c r="L746" s="170">
        <v>43098</v>
      </c>
      <c r="M746" s="116">
        <v>272.05</v>
      </c>
      <c r="N746" s="116">
        <v>274</v>
      </c>
      <c r="O746" s="116">
        <v>270.55</v>
      </c>
      <c r="P746" s="116">
        <v>272.39999999999998</v>
      </c>
      <c r="Q746" s="116">
        <v>272.05</v>
      </c>
      <c r="R746">
        <v>1948608</v>
      </c>
    </row>
    <row r="747" spans="1:18" x14ac:dyDescent="0.25">
      <c r="A747" s="170">
        <v>43101</v>
      </c>
      <c r="B747" s="116">
        <v>273</v>
      </c>
      <c r="C747" s="116">
        <v>267.55</v>
      </c>
      <c r="D747" s="116">
        <v>265</v>
      </c>
      <c r="E747" s="116">
        <v>272.55</v>
      </c>
      <c r="F747" s="116">
        <v>267.55</v>
      </c>
      <c r="G747">
        <v>48099</v>
      </c>
      <c r="H747" s="116"/>
      <c r="I747" s="116"/>
      <c r="L747" s="170">
        <v>43101</v>
      </c>
      <c r="M747" s="116">
        <v>268.05</v>
      </c>
      <c r="N747" s="116">
        <v>273.10000000000002</v>
      </c>
      <c r="O747" s="116">
        <v>264.35000000000002</v>
      </c>
      <c r="P747" s="116">
        <v>271.10000000000002</v>
      </c>
      <c r="Q747" s="116">
        <v>268.05</v>
      </c>
      <c r="R747">
        <v>1408955</v>
      </c>
    </row>
    <row r="748" spans="1:18" x14ac:dyDescent="0.25">
      <c r="A748" s="170">
        <v>43102</v>
      </c>
      <c r="B748" s="116">
        <v>271.05</v>
      </c>
      <c r="C748" s="116">
        <v>267.64999999999998</v>
      </c>
      <c r="D748" s="116">
        <v>265.25</v>
      </c>
      <c r="E748" s="116">
        <v>271</v>
      </c>
      <c r="F748" s="116">
        <v>267.64999999999998</v>
      </c>
      <c r="G748">
        <v>60386</v>
      </c>
      <c r="H748" s="116"/>
      <c r="I748" s="116"/>
      <c r="L748" s="170">
        <v>43102</v>
      </c>
      <c r="M748" s="116">
        <v>268.14999999999998</v>
      </c>
      <c r="N748" s="116">
        <v>270.3</v>
      </c>
      <c r="O748" s="116">
        <v>265.10000000000002</v>
      </c>
      <c r="P748" s="116">
        <v>270</v>
      </c>
      <c r="Q748" s="116">
        <v>268.14999999999998</v>
      </c>
      <c r="R748">
        <v>981714</v>
      </c>
    </row>
    <row r="749" spans="1:18" x14ac:dyDescent="0.25">
      <c r="A749" s="170">
        <v>43103</v>
      </c>
      <c r="B749" s="116">
        <v>273.10000000000002</v>
      </c>
      <c r="C749" s="116">
        <v>272.25</v>
      </c>
      <c r="D749" s="116">
        <v>267.55</v>
      </c>
      <c r="E749" s="116">
        <v>267.85000000000002</v>
      </c>
      <c r="F749" s="116">
        <v>272.25</v>
      </c>
      <c r="G749">
        <v>107268</v>
      </c>
      <c r="H749" s="116"/>
      <c r="I749" s="116"/>
      <c r="L749" s="170">
        <v>43103</v>
      </c>
      <c r="M749" s="116">
        <v>272.60000000000002</v>
      </c>
      <c r="N749" s="116">
        <v>273.3</v>
      </c>
      <c r="O749" s="116">
        <v>267.35000000000002</v>
      </c>
      <c r="P749" s="116">
        <v>268.39999999999998</v>
      </c>
      <c r="Q749" s="116">
        <v>272.60000000000002</v>
      </c>
      <c r="R749">
        <v>1906004</v>
      </c>
    </row>
    <row r="750" spans="1:18" x14ac:dyDescent="0.25">
      <c r="A750" s="170">
        <v>43104</v>
      </c>
      <c r="B750" s="116">
        <v>274.75</v>
      </c>
      <c r="C750" s="116">
        <v>273.95</v>
      </c>
      <c r="D750" s="116">
        <v>271</v>
      </c>
      <c r="E750" s="116">
        <v>273.45</v>
      </c>
      <c r="F750" s="116">
        <v>273.95</v>
      </c>
      <c r="G750">
        <v>109986</v>
      </c>
      <c r="H750" s="116"/>
      <c r="I750" s="116"/>
      <c r="L750" s="170">
        <v>43104</v>
      </c>
      <c r="M750" s="116">
        <v>273.45</v>
      </c>
      <c r="N750" s="116">
        <v>274.39999999999998</v>
      </c>
      <c r="O750" s="116">
        <v>270.7</v>
      </c>
      <c r="P750" s="116">
        <v>271.60000000000002</v>
      </c>
      <c r="Q750" s="116">
        <v>273.45</v>
      </c>
      <c r="R750">
        <v>2142231</v>
      </c>
    </row>
    <row r="751" spans="1:18" x14ac:dyDescent="0.25">
      <c r="A751" s="170">
        <v>43105</v>
      </c>
      <c r="B751" s="116">
        <v>277.5</v>
      </c>
      <c r="C751" s="116">
        <v>274</v>
      </c>
      <c r="D751" s="116">
        <v>272.39999999999998</v>
      </c>
      <c r="E751" s="116">
        <v>275.5</v>
      </c>
      <c r="F751" s="116">
        <v>274</v>
      </c>
      <c r="G751">
        <v>60702</v>
      </c>
      <c r="H751" s="116"/>
      <c r="I751" s="116"/>
      <c r="L751" s="170">
        <v>43105</v>
      </c>
      <c r="M751" s="116">
        <v>273.89999999999998</v>
      </c>
      <c r="N751" s="116">
        <v>277.60000000000002</v>
      </c>
      <c r="O751" s="116">
        <v>272.25</v>
      </c>
      <c r="P751" s="116">
        <v>274.5</v>
      </c>
      <c r="Q751" s="116">
        <v>273.89999999999998</v>
      </c>
      <c r="R751">
        <v>1304360</v>
      </c>
    </row>
    <row r="752" spans="1:18" x14ac:dyDescent="0.25">
      <c r="A752" s="170">
        <v>43108</v>
      </c>
      <c r="B752" s="116">
        <v>280</v>
      </c>
      <c r="C752" s="116">
        <v>274.25</v>
      </c>
      <c r="D752" s="116">
        <v>271.95</v>
      </c>
      <c r="E752" s="116">
        <v>272</v>
      </c>
      <c r="F752" s="116">
        <v>274.25</v>
      </c>
      <c r="G752">
        <v>42741</v>
      </c>
      <c r="H752" s="116"/>
      <c r="I752" s="116"/>
      <c r="L752" s="170">
        <v>43108</v>
      </c>
      <c r="M752" s="116">
        <v>274.60000000000002</v>
      </c>
      <c r="N752" s="116">
        <v>275.39999999999998</v>
      </c>
      <c r="O752" s="116">
        <v>271.35000000000002</v>
      </c>
      <c r="P752" s="116">
        <v>272.25</v>
      </c>
      <c r="Q752" s="116">
        <v>274.60000000000002</v>
      </c>
      <c r="R752">
        <v>1215089</v>
      </c>
    </row>
    <row r="753" spans="1:18" x14ac:dyDescent="0.25">
      <c r="A753" s="170">
        <v>43109</v>
      </c>
      <c r="B753" s="116">
        <v>279.35000000000002</v>
      </c>
      <c r="C753" s="116">
        <v>276.85000000000002</v>
      </c>
      <c r="D753" s="116">
        <v>272.7</v>
      </c>
      <c r="E753" s="116">
        <v>274.10000000000002</v>
      </c>
      <c r="F753" s="116">
        <v>276.85000000000002</v>
      </c>
      <c r="G753">
        <v>138188</v>
      </c>
      <c r="H753" s="116"/>
      <c r="I753" s="116"/>
      <c r="L753" s="170">
        <v>43109</v>
      </c>
      <c r="M753" s="116">
        <v>277.14999999999998</v>
      </c>
      <c r="N753" s="116">
        <v>279.35000000000002</v>
      </c>
      <c r="O753" s="116">
        <v>272.60000000000002</v>
      </c>
      <c r="P753" s="116">
        <v>275.39999999999998</v>
      </c>
      <c r="Q753" s="116">
        <v>277.14999999999998</v>
      </c>
      <c r="R753">
        <v>3305059</v>
      </c>
    </row>
    <row r="754" spans="1:18" x14ac:dyDescent="0.25">
      <c r="A754" s="170">
        <v>43110</v>
      </c>
      <c r="B754" s="116">
        <v>277.2</v>
      </c>
      <c r="C754" s="116">
        <v>276.05</v>
      </c>
      <c r="D754" s="116">
        <v>273.5</v>
      </c>
      <c r="E754" s="116">
        <v>277.05</v>
      </c>
      <c r="F754" s="116">
        <v>276.05</v>
      </c>
      <c r="G754">
        <v>100078</v>
      </c>
      <c r="H754" s="116"/>
      <c r="I754" s="116"/>
      <c r="L754" s="170">
        <v>43110</v>
      </c>
      <c r="M754" s="116">
        <v>276.10000000000002</v>
      </c>
      <c r="N754" s="116">
        <v>278</v>
      </c>
      <c r="O754" s="116">
        <v>273.39999999999998</v>
      </c>
      <c r="P754" s="116">
        <v>278</v>
      </c>
      <c r="Q754" s="116">
        <v>276.10000000000002</v>
      </c>
      <c r="R754">
        <v>1860881</v>
      </c>
    </row>
    <row r="755" spans="1:18" x14ac:dyDescent="0.25">
      <c r="A755" s="170">
        <v>43111</v>
      </c>
      <c r="B755" s="116">
        <v>279</v>
      </c>
      <c r="C755" s="116">
        <v>272.25</v>
      </c>
      <c r="D755" s="116">
        <v>271.7</v>
      </c>
      <c r="E755" s="116">
        <v>279</v>
      </c>
      <c r="F755" s="116">
        <v>272.25</v>
      </c>
      <c r="G755">
        <v>165240</v>
      </c>
      <c r="H755" s="116"/>
      <c r="I755" s="116"/>
      <c r="L755" s="170">
        <v>43111</v>
      </c>
      <c r="M755" s="116">
        <v>271.75</v>
      </c>
      <c r="N755" s="116">
        <v>278.89999999999998</v>
      </c>
      <c r="O755" s="116">
        <v>271</v>
      </c>
      <c r="P755" s="116">
        <v>278.5</v>
      </c>
      <c r="Q755" s="116">
        <v>271.75</v>
      </c>
      <c r="R755">
        <v>2869698</v>
      </c>
    </row>
    <row r="756" spans="1:18" x14ac:dyDescent="0.25">
      <c r="A756" s="170">
        <v>43112</v>
      </c>
      <c r="B756" s="116">
        <v>274.2</v>
      </c>
      <c r="C756" s="116">
        <v>269.64999999999998</v>
      </c>
      <c r="D756" s="116">
        <v>268.10000000000002</v>
      </c>
      <c r="E756" s="116">
        <v>272</v>
      </c>
      <c r="F756" s="116">
        <v>269.64999999999998</v>
      </c>
      <c r="G756">
        <v>50254</v>
      </c>
      <c r="H756" s="116"/>
      <c r="I756" s="116"/>
      <c r="L756" s="170">
        <v>43112</v>
      </c>
      <c r="M756" s="116">
        <v>269.39999999999998</v>
      </c>
      <c r="N756" s="116">
        <v>274.39999999999998</v>
      </c>
      <c r="O756" s="116">
        <v>267.7</v>
      </c>
      <c r="P756" s="116">
        <v>271.10000000000002</v>
      </c>
      <c r="Q756" s="116">
        <v>269.39999999999998</v>
      </c>
      <c r="R756">
        <v>2131954</v>
      </c>
    </row>
    <row r="757" spans="1:18" x14ac:dyDescent="0.25">
      <c r="A757" s="170">
        <v>43115</v>
      </c>
      <c r="B757" s="116">
        <v>277.95</v>
      </c>
      <c r="C757" s="116">
        <v>277.05</v>
      </c>
      <c r="D757" s="116">
        <v>269.3</v>
      </c>
      <c r="E757" s="116">
        <v>269.64999999999998</v>
      </c>
      <c r="F757" s="116">
        <v>277.05</v>
      </c>
      <c r="G757">
        <v>186640</v>
      </c>
      <c r="H757" s="116"/>
      <c r="I757" s="116"/>
      <c r="L757" s="170">
        <v>43115</v>
      </c>
      <c r="M757" s="116">
        <v>276.95</v>
      </c>
      <c r="N757" s="116">
        <v>278.2</v>
      </c>
      <c r="O757" s="116">
        <v>269.39999999999998</v>
      </c>
      <c r="P757" s="116">
        <v>270.10000000000002</v>
      </c>
      <c r="Q757" s="116">
        <v>276.95</v>
      </c>
      <c r="R757">
        <v>2520552</v>
      </c>
    </row>
    <row r="758" spans="1:18" x14ac:dyDescent="0.25">
      <c r="A758" s="170">
        <v>43116</v>
      </c>
      <c r="B758" s="116">
        <v>279.5</v>
      </c>
      <c r="C758" s="116">
        <v>276.60000000000002</v>
      </c>
      <c r="D758" s="116">
        <v>275.39999999999998</v>
      </c>
      <c r="E758" s="116">
        <v>277.60000000000002</v>
      </c>
      <c r="F758" s="116">
        <v>276.60000000000002</v>
      </c>
      <c r="G758">
        <v>157039</v>
      </c>
      <c r="H758" s="116"/>
      <c r="I758" s="116"/>
      <c r="L758" s="170">
        <v>43116</v>
      </c>
      <c r="M758" s="116">
        <v>277.85000000000002</v>
      </c>
      <c r="N758" s="116">
        <v>280</v>
      </c>
      <c r="O758" s="116">
        <v>275.10000000000002</v>
      </c>
      <c r="P758" s="116">
        <v>278.10000000000002</v>
      </c>
      <c r="Q758" s="116">
        <v>277.85000000000002</v>
      </c>
      <c r="R758">
        <v>2689358</v>
      </c>
    </row>
    <row r="759" spans="1:18" x14ac:dyDescent="0.25">
      <c r="A759" s="170">
        <v>43117</v>
      </c>
      <c r="B759" s="116">
        <v>277.7</v>
      </c>
      <c r="C759" s="116">
        <v>276.45</v>
      </c>
      <c r="D759" s="116">
        <v>273</v>
      </c>
      <c r="E759" s="116">
        <v>275.14999999999998</v>
      </c>
      <c r="F759" s="116">
        <v>276.45</v>
      </c>
      <c r="G759">
        <v>47008</v>
      </c>
      <c r="H759" s="116"/>
      <c r="I759" s="116"/>
      <c r="L759" s="170">
        <v>43117</v>
      </c>
      <c r="M759" s="116">
        <v>277.14999999999998</v>
      </c>
      <c r="N759" s="116">
        <v>278.95</v>
      </c>
      <c r="O759" s="116">
        <v>272.85000000000002</v>
      </c>
      <c r="P759" s="116">
        <v>275.35000000000002</v>
      </c>
      <c r="Q759" s="116">
        <v>277.14999999999998</v>
      </c>
      <c r="R759">
        <v>2384660</v>
      </c>
    </row>
    <row r="760" spans="1:18" x14ac:dyDescent="0.25">
      <c r="A760" s="170">
        <v>43118</v>
      </c>
      <c r="B760" s="116">
        <v>277.60000000000002</v>
      </c>
      <c r="C760" s="116">
        <v>275.95</v>
      </c>
      <c r="D760" s="116">
        <v>274.10000000000002</v>
      </c>
      <c r="E760" s="116">
        <v>277</v>
      </c>
      <c r="F760" s="116">
        <v>275.95</v>
      </c>
      <c r="G760">
        <v>72994</v>
      </c>
      <c r="H760" s="116"/>
      <c r="I760" s="116"/>
      <c r="L760" s="170">
        <v>43118</v>
      </c>
      <c r="M760" s="116">
        <v>275.64999999999998</v>
      </c>
      <c r="N760" s="116">
        <v>278</v>
      </c>
      <c r="O760" s="116">
        <v>273.55</v>
      </c>
      <c r="P760" s="116">
        <v>277.5</v>
      </c>
      <c r="Q760" s="116">
        <v>275.64999999999998</v>
      </c>
      <c r="R760">
        <v>1271915</v>
      </c>
    </row>
    <row r="761" spans="1:18" x14ac:dyDescent="0.25">
      <c r="A761" s="170">
        <v>43119</v>
      </c>
      <c r="B761" s="116">
        <v>276.8</v>
      </c>
      <c r="C761" s="116">
        <v>268.5</v>
      </c>
      <c r="D761" s="116">
        <v>266.45</v>
      </c>
      <c r="E761" s="116">
        <v>272.8</v>
      </c>
      <c r="F761" s="116">
        <v>268.5</v>
      </c>
      <c r="G761">
        <v>123868</v>
      </c>
      <c r="H761" s="116"/>
      <c r="I761" s="116"/>
      <c r="L761" s="170">
        <v>43119</v>
      </c>
      <c r="M761" s="116">
        <v>268.60000000000002</v>
      </c>
      <c r="N761" s="116">
        <v>276.55</v>
      </c>
      <c r="O761" s="116">
        <v>266.39999999999998</v>
      </c>
      <c r="P761" s="116">
        <v>276</v>
      </c>
      <c r="Q761" s="116">
        <v>268.60000000000002</v>
      </c>
      <c r="R761">
        <v>1942776</v>
      </c>
    </row>
    <row r="762" spans="1:18" x14ac:dyDescent="0.25">
      <c r="A762" s="170">
        <v>43122</v>
      </c>
      <c r="B762" s="116">
        <v>275</v>
      </c>
      <c r="C762" s="116">
        <v>268.8</v>
      </c>
      <c r="D762" s="116">
        <v>265.55</v>
      </c>
      <c r="E762" s="116">
        <v>275</v>
      </c>
      <c r="F762" s="116">
        <v>268.8</v>
      </c>
      <c r="G762">
        <v>48322</v>
      </c>
      <c r="H762" s="116"/>
      <c r="I762" s="116"/>
      <c r="L762" s="170">
        <v>43122</v>
      </c>
      <c r="M762" s="116">
        <v>268.45</v>
      </c>
      <c r="N762" s="116">
        <v>269.2</v>
      </c>
      <c r="O762" s="116">
        <v>265.3</v>
      </c>
      <c r="P762" s="116">
        <v>269</v>
      </c>
      <c r="Q762" s="116">
        <v>268.45</v>
      </c>
      <c r="R762">
        <v>1955296</v>
      </c>
    </row>
    <row r="763" spans="1:18" x14ac:dyDescent="0.25">
      <c r="A763" s="170">
        <v>43123</v>
      </c>
      <c r="B763" s="116">
        <v>268.85000000000002</v>
      </c>
      <c r="C763" s="116">
        <v>263</v>
      </c>
      <c r="D763" s="116">
        <v>262.5</v>
      </c>
      <c r="E763" s="116">
        <v>268.85000000000002</v>
      </c>
      <c r="F763" s="116">
        <v>263</v>
      </c>
      <c r="G763">
        <v>1578581</v>
      </c>
      <c r="H763" s="116"/>
      <c r="I763" s="116"/>
      <c r="L763" s="170">
        <v>43123</v>
      </c>
      <c r="M763" s="116">
        <v>262.7</v>
      </c>
      <c r="N763" s="116">
        <v>269.39999999999998</v>
      </c>
      <c r="O763" s="116">
        <v>262</v>
      </c>
      <c r="P763" s="116">
        <v>268.45</v>
      </c>
      <c r="Q763" s="116">
        <v>262.7</v>
      </c>
      <c r="R763">
        <v>3127752</v>
      </c>
    </row>
    <row r="764" spans="1:18" x14ac:dyDescent="0.25">
      <c r="A764" s="170">
        <v>43124</v>
      </c>
      <c r="B764" s="116">
        <v>265.5</v>
      </c>
      <c r="C764" s="116">
        <v>260.3</v>
      </c>
      <c r="D764" s="116">
        <v>259.75</v>
      </c>
      <c r="E764" s="116">
        <v>263.5</v>
      </c>
      <c r="F764" s="116">
        <v>260.3</v>
      </c>
      <c r="G764">
        <v>105717</v>
      </c>
      <c r="H764" s="116"/>
      <c r="I764" s="116"/>
      <c r="L764" s="170">
        <v>43124</v>
      </c>
      <c r="M764" s="116">
        <v>260.14999999999998</v>
      </c>
      <c r="N764" s="116">
        <v>265.5</v>
      </c>
      <c r="O764" s="116">
        <v>259.35000000000002</v>
      </c>
      <c r="P764" s="116">
        <v>262.95</v>
      </c>
      <c r="Q764" s="116">
        <v>260.14999999999998</v>
      </c>
      <c r="R764">
        <v>2345935</v>
      </c>
    </row>
    <row r="765" spans="1:18" x14ac:dyDescent="0.25">
      <c r="A765" s="170">
        <v>43125</v>
      </c>
      <c r="B765" s="116">
        <v>264.8</v>
      </c>
      <c r="C765" s="116">
        <v>263.14999999999998</v>
      </c>
      <c r="D765" s="116">
        <v>259.8</v>
      </c>
      <c r="E765" s="116">
        <v>260.75</v>
      </c>
      <c r="F765" s="116">
        <v>263.14999999999998</v>
      </c>
      <c r="G765">
        <v>100776</v>
      </c>
      <c r="H765" s="116"/>
      <c r="I765" s="116"/>
      <c r="L765" s="170">
        <v>43125</v>
      </c>
      <c r="M765" s="116">
        <v>263</v>
      </c>
      <c r="N765" s="116">
        <v>264.5</v>
      </c>
      <c r="O765" s="116">
        <v>259.60000000000002</v>
      </c>
      <c r="P765" s="116">
        <v>260.8</v>
      </c>
      <c r="Q765" s="116">
        <v>263</v>
      </c>
      <c r="R765">
        <v>3313959</v>
      </c>
    </row>
    <row r="766" spans="1:18" x14ac:dyDescent="0.25">
      <c r="A766" s="170">
        <v>43129</v>
      </c>
      <c r="B766" s="116">
        <v>265.89999999999998</v>
      </c>
      <c r="C766" s="116">
        <v>263.60000000000002</v>
      </c>
      <c r="D766" s="116">
        <v>260.55</v>
      </c>
      <c r="E766" s="116">
        <v>260.55</v>
      </c>
      <c r="F766" s="116">
        <v>263.60000000000002</v>
      </c>
      <c r="G766">
        <v>59892</v>
      </c>
      <c r="H766" s="116"/>
      <c r="I766" s="116"/>
      <c r="L766" s="170">
        <v>43129</v>
      </c>
      <c r="M766" s="116">
        <v>263.64999999999998</v>
      </c>
      <c r="N766" s="116">
        <v>266.39999999999998</v>
      </c>
      <c r="O766" s="116">
        <v>260.60000000000002</v>
      </c>
      <c r="P766" s="116">
        <v>263.95</v>
      </c>
      <c r="Q766" s="116">
        <v>263.64999999999998</v>
      </c>
      <c r="R766">
        <v>1420895</v>
      </c>
    </row>
    <row r="767" spans="1:18" x14ac:dyDescent="0.25">
      <c r="A767" s="170">
        <v>43130</v>
      </c>
      <c r="B767" s="116">
        <v>263.39999999999998</v>
      </c>
      <c r="C767" s="116">
        <v>260.95</v>
      </c>
      <c r="D767" s="116">
        <v>258.7</v>
      </c>
      <c r="E767" s="116">
        <v>261.14999999999998</v>
      </c>
      <c r="F767" s="116">
        <v>260.95</v>
      </c>
      <c r="G767">
        <v>70283</v>
      </c>
      <c r="H767" s="116"/>
      <c r="I767" s="116"/>
      <c r="L767" s="170">
        <v>43130</v>
      </c>
      <c r="M767" s="116">
        <v>261.5</v>
      </c>
      <c r="N767" s="116">
        <v>263.75</v>
      </c>
      <c r="O767" s="116">
        <v>258.39999999999998</v>
      </c>
      <c r="P767" s="116">
        <v>261.8</v>
      </c>
      <c r="Q767" s="116">
        <v>261.5</v>
      </c>
      <c r="R767">
        <v>1787102</v>
      </c>
    </row>
    <row r="768" spans="1:18" x14ac:dyDescent="0.25">
      <c r="A768" s="170">
        <v>43131</v>
      </c>
      <c r="B768" s="116">
        <v>262.39999999999998</v>
      </c>
      <c r="C768" s="116">
        <v>261.05</v>
      </c>
      <c r="D768" s="116">
        <v>257.3</v>
      </c>
      <c r="E768" s="116">
        <v>261.7</v>
      </c>
      <c r="F768" s="116">
        <v>261.05</v>
      </c>
      <c r="G768">
        <v>53822</v>
      </c>
      <c r="H768" s="116"/>
      <c r="I768" s="116"/>
      <c r="L768" s="170">
        <v>43131</v>
      </c>
      <c r="M768" s="116">
        <v>261.8</v>
      </c>
      <c r="N768" s="116">
        <v>263.3</v>
      </c>
      <c r="O768" s="116">
        <v>257.14999999999998</v>
      </c>
      <c r="P768" s="116">
        <v>261.7</v>
      </c>
      <c r="Q768" s="116">
        <v>261.8</v>
      </c>
      <c r="R768">
        <v>2708846</v>
      </c>
    </row>
    <row r="769" spans="1:18" x14ac:dyDescent="0.25">
      <c r="A769" s="170">
        <v>43132</v>
      </c>
      <c r="B769" s="116">
        <v>268.60000000000002</v>
      </c>
      <c r="C769" s="116">
        <v>264.85000000000002</v>
      </c>
      <c r="D769" s="116">
        <v>260.39999999999998</v>
      </c>
      <c r="E769" s="116">
        <v>263.10000000000002</v>
      </c>
      <c r="F769" s="116">
        <v>264.85000000000002</v>
      </c>
      <c r="G769">
        <v>138828</v>
      </c>
      <c r="H769" s="116"/>
      <c r="I769" s="116"/>
      <c r="L769" s="170">
        <v>43132</v>
      </c>
      <c r="M769" s="116">
        <v>266.45</v>
      </c>
      <c r="N769" s="116">
        <v>269.5</v>
      </c>
      <c r="O769" s="116">
        <v>260.89999999999998</v>
      </c>
      <c r="P769" s="116">
        <v>263.39999999999998</v>
      </c>
      <c r="Q769" s="116">
        <v>266.45</v>
      </c>
      <c r="R769">
        <v>3355964</v>
      </c>
    </row>
    <row r="770" spans="1:18" x14ac:dyDescent="0.25">
      <c r="A770" s="170">
        <v>43133</v>
      </c>
      <c r="B770" s="116">
        <v>264.85000000000002</v>
      </c>
      <c r="C770" s="116">
        <v>259.3</v>
      </c>
      <c r="D770" s="116">
        <v>257.39999999999998</v>
      </c>
      <c r="E770" s="116">
        <v>263.05</v>
      </c>
      <c r="F770" s="116">
        <v>259.3</v>
      </c>
      <c r="G770">
        <v>142461</v>
      </c>
      <c r="H770" s="116"/>
      <c r="I770" s="116"/>
      <c r="L770" s="170">
        <v>43133</v>
      </c>
      <c r="M770" s="116">
        <v>259.55</v>
      </c>
      <c r="N770" s="116">
        <v>265.45</v>
      </c>
      <c r="O770" s="116">
        <v>257.10000000000002</v>
      </c>
      <c r="P770" s="116">
        <v>264.3</v>
      </c>
      <c r="Q770" s="116">
        <v>259.55</v>
      </c>
      <c r="R770">
        <v>3017102</v>
      </c>
    </row>
    <row r="771" spans="1:18" x14ac:dyDescent="0.25">
      <c r="A771" s="170">
        <v>43136</v>
      </c>
      <c r="B771" s="116">
        <v>261.7</v>
      </c>
      <c r="C771" s="116">
        <v>259.2</v>
      </c>
      <c r="D771" s="116">
        <v>252.25</v>
      </c>
      <c r="E771" s="116">
        <v>256</v>
      </c>
      <c r="F771" s="116">
        <v>259.2</v>
      </c>
      <c r="G771">
        <v>66567</v>
      </c>
      <c r="H771" s="116"/>
      <c r="I771" s="116"/>
      <c r="L771" s="170">
        <v>43136</v>
      </c>
      <c r="M771" s="116">
        <v>259.10000000000002</v>
      </c>
      <c r="N771" s="116">
        <v>260</v>
      </c>
      <c r="O771" s="116">
        <v>252.05</v>
      </c>
      <c r="P771" s="116">
        <v>257</v>
      </c>
      <c r="Q771" s="116">
        <v>259.10000000000002</v>
      </c>
      <c r="R771">
        <v>2745947</v>
      </c>
    </row>
    <row r="772" spans="1:18" x14ac:dyDescent="0.25">
      <c r="A772" s="170">
        <v>43137</v>
      </c>
      <c r="B772" s="116">
        <v>256.05</v>
      </c>
      <c r="C772" s="116">
        <v>255</v>
      </c>
      <c r="D772" s="116">
        <v>247.65</v>
      </c>
      <c r="E772" s="116">
        <v>256</v>
      </c>
      <c r="F772" s="116">
        <v>255</v>
      </c>
      <c r="G772">
        <v>101060</v>
      </c>
      <c r="H772" s="116"/>
      <c r="I772" s="116"/>
      <c r="L772" s="170">
        <v>43137</v>
      </c>
      <c r="M772" s="116">
        <v>255.3</v>
      </c>
      <c r="N772" s="116">
        <v>256.39999999999998</v>
      </c>
      <c r="O772" s="116">
        <v>247.5</v>
      </c>
      <c r="P772" s="116">
        <v>250.05</v>
      </c>
      <c r="Q772" s="116">
        <v>255.3</v>
      </c>
      <c r="R772">
        <v>1907347</v>
      </c>
    </row>
    <row r="773" spans="1:18" x14ac:dyDescent="0.25">
      <c r="A773" s="170">
        <v>43138</v>
      </c>
      <c r="B773" s="116">
        <v>257.95</v>
      </c>
      <c r="C773" s="116">
        <v>245.4</v>
      </c>
      <c r="D773" s="116">
        <v>240.15</v>
      </c>
      <c r="E773" s="116">
        <v>255</v>
      </c>
      <c r="F773" s="116">
        <v>245.4</v>
      </c>
      <c r="G773">
        <v>207963</v>
      </c>
      <c r="H773" s="116"/>
      <c r="I773" s="116"/>
      <c r="L773" s="170">
        <v>43138</v>
      </c>
      <c r="M773" s="116">
        <v>248.3</v>
      </c>
      <c r="N773" s="116">
        <v>257.95</v>
      </c>
      <c r="O773" s="116">
        <v>246.55</v>
      </c>
      <c r="P773" s="116">
        <v>255.3</v>
      </c>
      <c r="Q773" s="116">
        <v>248.3</v>
      </c>
      <c r="R773">
        <v>3906454</v>
      </c>
    </row>
    <row r="774" spans="1:18" x14ac:dyDescent="0.25">
      <c r="A774" s="170">
        <v>43139</v>
      </c>
      <c r="B774" s="116">
        <v>266</v>
      </c>
      <c r="C774" s="116">
        <v>261.64999999999998</v>
      </c>
      <c r="D774" s="116">
        <v>245.7</v>
      </c>
      <c r="E774" s="116">
        <v>247</v>
      </c>
      <c r="F774" s="116">
        <v>261.64999999999998</v>
      </c>
      <c r="G774">
        <v>139645</v>
      </c>
      <c r="H774" s="116"/>
      <c r="I774" s="116"/>
      <c r="L774" s="170">
        <v>43139</v>
      </c>
      <c r="M774" s="116">
        <v>261.89999999999998</v>
      </c>
      <c r="N774" s="116">
        <v>266.39999999999998</v>
      </c>
      <c r="O774" s="116">
        <v>245.55</v>
      </c>
      <c r="P774" s="116">
        <v>247.8</v>
      </c>
      <c r="Q774" s="116">
        <v>261.89999999999998</v>
      </c>
      <c r="R774">
        <v>4063203</v>
      </c>
    </row>
    <row r="775" spans="1:18" x14ac:dyDescent="0.25">
      <c r="A775" s="170">
        <v>43140</v>
      </c>
      <c r="B775" s="116">
        <v>262</v>
      </c>
      <c r="C775" s="116">
        <v>258.5</v>
      </c>
      <c r="D775" s="116">
        <v>255.35</v>
      </c>
      <c r="E775" s="116">
        <v>256.8</v>
      </c>
      <c r="F775" s="116">
        <v>258.5</v>
      </c>
      <c r="G775">
        <v>103283</v>
      </c>
      <c r="H775" s="116"/>
      <c r="I775" s="116"/>
      <c r="L775" s="170">
        <v>43140</v>
      </c>
      <c r="M775" s="116">
        <v>258.89999999999998</v>
      </c>
      <c r="N775" s="116">
        <v>261.7</v>
      </c>
      <c r="O775" s="116">
        <v>255.1</v>
      </c>
      <c r="P775" s="116">
        <v>258.5</v>
      </c>
      <c r="Q775" s="116">
        <v>258.89999999999998</v>
      </c>
      <c r="R775">
        <v>1742418</v>
      </c>
    </row>
    <row r="776" spans="1:18" x14ac:dyDescent="0.25">
      <c r="A776" s="170">
        <v>43143</v>
      </c>
      <c r="B776" s="116">
        <v>263.05</v>
      </c>
      <c r="C776" s="116">
        <v>257.10000000000002</v>
      </c>
      <c r="D776" s="116">
        <v>256.05</v>
      </c>
      <c r="E776" s="116">
        <v>256.55</v>
      </c>
      <c r="F776" s="116">
        <v>257.10000000000002</v>
      </c>
      <c r="G776">
        <v>75456</v>
      </c>
      <c r="H776" s="116"/>
      <c r="I776" s="116"/>
      <c r="L776" s="170">
        <v>43143</v>
      </c>
      <c r="M776" s="116">
        <v>256.89999999999998</v>
      </c>
      <c r="N776" s="116">
        <v>263.10000000000002</v>
      </c>
      <c r="O776" s="116">
        <v>255.65</v>
      </c>
      <c r="P776" s="116">
        <v>260.2</v>
      </c>
      <c r="Q776" s="116">
        <v>256.89999999999998</v>
      </c>
      <c r="R776">
        <v>1200752</v>
      </c>
    </row>
    <row r="777" spans="1:18" x14ac:dyDescent="0.25">
      <c r="A777" s="170">
        <v>43145</v>
      </c>
      <c r="B777" s="116">
        <v>258.5</v>
      </c>
      <c r="C777" s="116">
        <v>254</v>
      </c>
      <c r="D777" s="116">
        <v>253</v>
      </c>
      <c r="E777" s="116">
        <v>257.10000000000002</v>
      </c>
      <c r="F777" s="116">
        <v>254</v>
      </c>
      <c r="G777">
        <v>55188</v>
      </c>
      <c r="H777" s="116"/>
      <c r="I777" s="116"/>
      <c r="L777" s="170">
        <v>43145</v>
      </c>
      <c r="M777" s="116">
        <v>254.15</v>
      </c>
      <c r="N777" s="116">
        <v>258.39999999999998</v>
      </c>
      <c r="O777" s="116">
        <v>252.8</v>
      </c>
      <c r="P777" s="116">
        <v>257.60000000000002</v>
      </c>
      <c r="Q777" s="116">
        <v>254.15</v>
      </c>
      <c r="R777">
        <v>1060437</v>
      </c>
    </row>
    <row r="778" spans="1:18" x14ac:dyDescent="0.25">
      <c r="A778" s="170">
        <v>43146</v>
      </c>
      <c r="B778" s="116">
        <v>262.35000000000002</v>
      </c>
      <c r="C778" s="116">
        <v>253.4</v>
      </c>
      <c r="D778" s="116">
        <v>251.05</v>
      </c>
      <c r="E778" s="116">
        <v>254.6</v>
      </c>
      <c r="F778" s="116">
        <v>253.4</v>
      </c>
      <c r="G778">
        <v>236118</v>
      </c>
      <c r="H778" s="116"/>
      <c r="I778" s="116"/>
      <c r="L778" s="170">
        <v>43146</v>
      </c>
      <c r="M778" s="116">
        <v>253.4</v>
      </c>
      <c r="N778" s="116">
        <v>257.85000000000002</v>
      </c>
      <c r="O778" s="116">
        <v>251.7</v>
      </c>
      <c r="P778" s="116">
        <v>254.9</v>
      </c>
      <c r="Q778" s="116">
        <v>253.4</v>
      </c>
      <c r="R778">
        <v>1620357</v>
      </c>
    </row>
    <row r="779" spans="1:18" x14ac:dyDescent="0.25">
      <c r="A779" s="170">
        <v>43147</v>
      </c>
      <c r="B779" s="116">
        <v>261.60000000000002</v>
      </c>
      <c r="C779" s="116">
        <v>257.25</v>
      </c>
      <c r="D779" s="116">
        <v>253</v>
      </c>
      <c r="E779" s="116">
        <v>253.5</v>
      </c>
      <c r="F779" s="116">
        <v>257.25</v>
      </c>
      <c r="G779">
        <v>351071</v>
      </c>
      <c r="H779" s="116"/>
      <c r="I779" s="116"/>
      <c r="L779" s="170">
        <v>43147</v>
      </c>
      <c r="M779" s="116">
        <v>257.05</v>
      </c>
      <c r="N779" s="116">
        <v>261.5</v>
      </c>
      <c r="O779" s="116">
        <v>254.3</v>
      </c>
      <c r="P779" s="116">
        <v>254.3</v>
      </c>
      <c r="Q779" s="116">
        <v>257.05</v>
      </c>
      <c r="R779">
        <v>4870752</v>
      </c>
    </row>
    <row r="780" spans="1:18" x14ac:dyDescent="0.25">
      <c r="A780" s="170">
        <v>43150</v>
      </c>
      <c r="B780" s="116">
        <v>260.60000000000002</v>
      </c>
      <c r="C780" s="116">
        <v>257.75</v>
      </c>
      <c r="D780" s="116">
        <v>255.2</v>
      </c>
      <c r="E780" s="116">
        <v>259.89999999999998</v>
      </c>
      <c r="F780" s="116">
        <v>257.75</v>
      </c>
      <c r="G780">
        <v>178210</v>
      </c>
      <c r="H780" s="116"/>
      <c r="I780" s="116"/>
      <c r="L780" s="170">
        <v>43150</v>
      </c>
      <c r="M780" s="116">
        <v>257.55</v>
      </c>
      <c r="N780" s="116">
        <v>260.85000000000002</v>
      </c>
      <c r="O780" s="116">
        <v>255.1</v>
      </c>
      <c r="P780" s="116">
        <v>257.5</v>
      </c>
      <c r="Q780" s="116">
        <v>257.55</v>
      </c>
      <c r="R780">
        <v>2519233</v>
      </c>
    </row>
    <row r="781" spans="1:18" x14ac:dyDescent="0.25">
      <c r="A781" s="170">
        <v>43151</v>
      </c>
      <c r="B781" s="116">
        <v>267.7</v>
      </c>
      <c r="C781" s="116">
        <v>263.10000000000002</v>
      </c>
      <c r="D781" s="116">
        <v>256.89999999999998</v>
      </c>
      <c r="E781" s="116">
        <v>258.8</v>
      </c>
      <c r="F781" s="116">
        <v>263.10000000000002</v>
      </c>
      <c r="G781">
        <v>435811</v>
      </c>
      <c r="H781" s="116"/>
      <c r="I781" s="116"/>
      <c r="L781" s="170">
        <v>43151</v>
      </c>
      <c r="M781" s="116">
        <v>263.7</v>
      </c>
      <c r="N781" s="116">
        <v>269.7</v>
      </c>
      <c r="O781" s="116">
        <v>257.10000000000002</v>
      </c>
      <c r="P781" s="116">
        <v>259.39999999999998</v>
      </c>
      <c r="Q781" s="116">
        <v>263.7</v>
      </c>
      <c r="R781">
        <v>7529895</v>
      </c>
    </row>
    <row r="782" spans="1:18" x14ac:dyDescent="0.25">
      <c r="A782" s="170">
        <v>43152</v>
      </c>
      <c r="B782" s="116">
        <v>269</v>
      </c>
      <c r="C782" s="116">
        <v>261.64999999999998</v>
      </c>
      <c r="D782" s="116">
        <v>260.25</v>
      </c>
      <c r="E782" s="116">
        <v>268.8</v>
      </c>
      <c r="F782" s="116">
        <v>261.64999999999998</v>
      </c>
      <c r="G782">
        <v>212143</v>
      </c>
      <c r="H782" s="116"/>
      <c r="I782" s="116"/>
      <c r="L782" s="170">
        <v>43152</v>
      </c>
      <c r="M782" s="116">
        <v>261.7</v>
      </c>
      <c r="N782" s="116">
        <v>268.85000000000002</v>
      </c>
      <c r="O782" s="116">
        <v>260.10000000000002</v>
      </c>
      <c r="P782" s="116">
        <v>268</v>
      </c>
      <c r="Q782" s="116">
        <v>261.7</v>
      </c>
      <c r="R782">
        <v>6498774</v>
      </c>
    </row>
    <row r="783" spans="1:18" x14ac:dyDescent="0.25">
      <c r="A783" s="170">
        <v>43153</v>
      </c>
      <c r="B783" s="116">
        <v>258.85000000000002</v>
      </c>
      <c r="C783" s="116">
        <v>256.85000000000002</v>
      </c>
      <c r="D783" s="116">
        <v>255</v>
      </c>
      <c r="E783" s="116">
        <v>257.89999999999998</v>
      </c>
      <c r="F783" s="116">
        <v>256.85000000000002</v>
      </c>
      <c r="G783">
        <v>123638</v>
      </c>
      <c r="H783" s="116"/>
      <c r="I783" s="116"/>
      <c r="L783" s="170">
        <v>43153</v>
      </c>
      <c r="M783" s="116">
        <v>256.89999999999998</v>
      </c>
      <c r="N783" s="116">
        <v>259</v>
      </c>
      <c r="O783" s="116">
        <v>254.8</v>
      </c>
      <c r="P783" s="116">
        <v>258.3</v>
      </c>
      <c r="Q783" s="116">
        <v>256.89999999999998</v>
      </c>
      <c r="R783">
        <v>3842909</v>
      </c>
    </row>
    <row r="784" spans="1:18" x14ac:dyDescent="0.25">
      <c r="A784" s="170">
        <v>43154</v>
      </c>
      <c r="B784" s="116">
        <v>262</v>
      </c>
      <c r="C784" s="116">
        <v>259.7</v>
      </c>
      <c r="D784" s="116">
        <v>255.6</v>
      </c>
      <c r="E784" s="116">
        <v>257.2</v>
      </c>
      <c r="F784" s="116">
        <v>259.7</v>
      </c>
      <c r="G784">
        <v>84195</v>
      </c>
      <c r="H784" s="116"/>
      <c r="I784" s="116"/>
      <c r="L784" s="170">
        <v>43154</v>
      </c>
      <c r="M784" s="116">
        <v>260.2</v>
      </c>
      <c r="N784" s="116">
        <v>262</v>
      </c>
      <c r="O784" s="116">
        <v>255.6</v>
      </c>
      <c r="P784" s="116">
        <v>257.10000000000002</v>
      </c>
      <c r="Q784" s="116">
        <v>260.2</v>
      </c>
      <c r="R784">
        <v>2201036</v>
      </c>
    </row>
    <row r="785" spans="1:18" x14ac:dyDescent="0.25">
      <c r="A785" s="170">
        <v>43157</v>
      </c>
      <c r="B785" s="116">
        <v>264.5</v>
      </c>
      <c r="C785" s="116">
        <v>262.3</v>
      </c>
      <c r="D785" s="116">
        <v>260.39999999999998</v>
      </c>
      <c r="E785" s="116">
        <v>261.14999999999998</v>
      </c>
      <c r="F785" s="116">
        <v>262.3</v>
      </c>
      <c r="G785">
        <v>97702</v>
      </c>
      <c r="H785" s="116"/>
      <c r="I785" s="116"/>
      <c r="L785" s="170">
        <v>43157</v>
      </c>
      <c r="M785" s="116">
        <v>262.95</v>
      </c>
      <c r="N785" s="116">
        <v>265</v>
      </c>
      <c r="O785" s="116">
        <v>260.35000000000002</v>
      </c>
      <c r="P785" s="116">
        <v>261.14999999999998</v>
      </c>
      <c r="Q785" s="116">
        <v>262.95</v>
      </c>
      <c r="R785">
        <v>1668982</v>
      </c>
    </row>
    <row r="786" spans="1:18" x14ac:dyDescent="0.25">
      <c r="A786" s="170">
        <v>43158</v>
      </c>
      <c r="B786" s="116">
        <v>260</v>
      </c>
      <c r="C786" s="116">
        <v>252.05</v>
      </c>
      <c r="D786" s="116">
        <v>250.1</v>
      </c>
      <c r="E786" s="116">
        <v>258</v>
      </c>
      <c r="F786" s="116">
        <v>252.05</v>
      </c>
      <c r="G786">
        <v>312665</v>
      </c>
      <c r="H786" s="116"/>
      <c r="I786" s="116"/>
      <c r="L786" s="170">
        <v>43158</v>
      </c>
      <c r="M786" s="116">
        <v>251.4</v>
      </c>
      <c r="N786" s="116">
        <v>260.89999999999998</v>
      </c>
      <c r="O786" s="116">
        <v>249.55</v>
      </c>
      <c r="P786" s="116">
        <v>258.3</v>
      </c>
      <c r="Q786" s="116">
        <v>251.4</v>
      </c>
      <c r="R786">
        <v>10403386</v>
      </c>
    </row>
    <row r="787" spans="1:18" x14ac:dyDescent="0.25">
      <c r="A787" s="170">
        <v>43159</v>
      </c>
      <c r="B787" s="116">
        <v>253.3</v>
      </c>
      <c r="C787" s="116">
        <v>252.6</v>
      </c>
      <c r="D787" s="116">
        <v>247.1</v>
      </c>
      <c r="E787" s="116">
        <v>251</v>
      </c>
      <c r="F787" s="116">
        <v>252.6</v>
      </c>
      <c r="G787">
        <v>93555</v>
      </c>
      <c r="H787" s="116"/>
      <c r="I787" s="116"/>
      <c r="L787" s="170">
        <v>43159</v>
      </c>
      <c r="M787" s="116">
        <v>252.35</v>
      </c>
      <c r="N787" s="116">
        <v>253.5</v>
      </c>
      <c r="O787" s="116">
        <v>247</v>
      </c>
      <c r="P787" s="116">
        <v>250</v>
      </c>
      <c r="Q787" s="116">
        <v>252.35</v>
      </c>
      <c r="R787">
        <v>3500262</v>
      </c>
    </row>
    <row r="788" spans="1:18" x14ac:dyDescent="0.25">
      <c r="A788" s="170">
        <v>43160</v>
      </c>
      <c r="B788" s="116">
        <v>256</v>
      </c>
      <c r="C788" s="116">
        <v>252.95</v>
      </c>
      <c r="D788" s="116">
        <v>251.5</v>
      </c>
      <c r="E788" s="116">
        <v>253.7</v>
      </c>
      <c r="F788" s="116">
        <v>252.95</v>
      </c>
      <c r="G788">
        <v>70652</v>
      </c>
      <c r="H788" s="116"/>
      <c r="I788" s="116"/>
      <c r="L788" s="170">
        <v>43160</v>
      </c>
      <c r="M788" s="116">
        <v>253.15</v>
      </c>
      <c r="N788" s="116">
        <v>256.25</v>
      </c>
      <c r="O788" s="116">
        <v>251.35</v>
      </c>
      <c r="P788" s="116">
        <v>252.9</v>
      </c>
      <c r="Q788" s="116">
        <v>253.15</v>
      </c>
      <c r="R788">
        <v>3184053</v>
      </c>
    </row>
    <row r="789" spans="1:18" x14ac:dyDescent="0.25">
      <c r="A789" s="170">
        <v>43164</v>
      </c>
      <c r="B789" s="116">
        <v>252.45</v>
      </c>
      <c r="C789" s="116">
        <v>246.15</v>
      </c>
      <c r="D789" s="116">
        <v>244.8</v>
      </c>
      <c r="E789" s="116">
        <v>252.3</v>
      </c>
      <c r="F789" s="116">
        <v>246.15</v>
      </c>
      <c r="G789">
        <v>70751</v>
      </c>
      <c r="H789" s="116"/>
      <c r="I789" s="116"/>
      <c r="L789" s="170">
        <v>43164</v>
      </c>
      <c r="M789" s="116">
        <v>246.1</v>
      </c>
      <c r="N789" s="116">
        <v>252.5</v>
      </c>
      <c r="O789" s="116">
        <v>244</v>
      </c>
      <c r="P789" s="116">
        <v>252.5</v>
      </c>
      <c r="Q789" s="116">
        <v>246.1</v>
      </c>
      <c r="R789">
        <v>2291003</v>
      </c>
    </row>
    <row r="790" spans="1:18" x14ac:dyDescent="0.25">
      <c r="A790" s="170">
        <v>43165</v>
      </c>
      <c r="B790" s="116">
        <v>250</v>
      </c>
      <c r="C790" s="116">
        <v>240.95</v>
      </c>
      <c r="D790" s="116">
        <v>240</v>
      </c>
      <c r="E790" s="116">
        <v>250</v>
      </c>
      <c r="F790" s="116">
        <v>240.95</v>
      </c>
      <c r="G790">
        <v>117894</v>
      </c>
      <c r="H790" s="116"/>
      <c r="I790" s="116"/>
      <c r="L790" s="170">
        <v>43165</v>
      </c>
      <c r="M790" s="116">
        <v>240.65</v>
      </c>
      <c r="N790" s="116">
        <v>249</v>
      </c>
      <c r="O790" s="116">
        <v>239.95</v>
      </c>
      <c r="P790" s="116">
        <v>247.5</v>
      </c>
      <c r="Q790" s="116">
        <v>240.65</v>
      </c>
      <c r="R790">
        <v>2727521</v>
      </c>
    </row>
    <row r="791" spans="1:18" x14ac:dyDescent="0.25">
      <c r="A791" s="170">
        <v>43166</v>
      </c>
      <c r="B791" s="116">
        <v>241</v>
      </c>
      <c r="C791" s="116">
        <v>235.15</v>
      </c>
      <c r="D791" s="116">
        <v>234.5</v>
      </c>
      <c r="E791" s="116">
        <v>241</v>
      </c>
      <c r="F791" s="116">
        <v>235.15</v>
      </c>
      <c r="G791">
        <v>62011</v>
      </c>
      <c r="H791" s="116"/>
      <c r="I791" s="116"/>
      <c r="L791" s="170">
        <v>43166</v>
      </c>
      <c r="M791" s="116">
        <v>235.2</v>
      </c>
      <c r="N791" s="116">
        <v>240</v>
      </c>
      <c r="O791" s="116">
        <v>234.45</v>
      </c>
      <c r="P791" s="116">
        <v>240</v>
      </c>
      <c r="Q791" s="116">
        <v>235.2</v>
      </c>
      <c r="R791">
        <v>3023002</v>
      </c>
    </row>
    <row r="792" spans="1:18" x14ac:dyDescent="0.25">
      <c r="A792" s="170">
        <v>43167</v>
      </c>
      <c r="B792" s="116">
        <v>237.65</v>
      </c>
      <c r="C792" s="116">
        <v>236.25</v>
      </c>
      <c r="D792" s="116">
        <v>231.75</v>
      </c>
      <c r="E792" s="116">
        <v>236.65</v>
      </c>
      <c r="F792" s="116">
        <v>236.25</v>
      </c>
      <c r="G792">
        <v>63354</v>
      </c>
      <c r="H792" s="116"/>
      <c r="I792" s="116"/>
      <c r="L792" s="170">
        <v>43167</v>
      </c>
      <c r="M792" s="116">
        <v>236.25</v>
      </c>
      <c r="N792" s="116">
        <v>237.5</v>
      </c>
      <c r="O792" s="116">
        <v>231.55</v>
      </c>
      <c r="P792" s="116">
        <v>236</v>
      </c>
      <c r="Q792" s="116">
        <v>236.25</v>
      </c>
      <c r="R792">
        <v>2111425</v>
      </c>
    </row>
    <row r="793" spans="1:18" x14ac:dyDescent="0.25">
      <c r="A793" s="170">
        <v>43168</v>
      </c>
      <c r="B793" s="116">
        <v>239</v>
      </c>
      <c r="C793" s="116">
        <v>235.1</v>
      </c>
      <c r="D793" s="116">
        <v>234.5</v>
      </c>
      <c r="E793" s="116">
        <v>239</v>
      </c>
      <c r="F793" s="116">
        <v>235.1</v>
      </c>
      <c r="G793">
        <v>77895</v>
      </c>
      <c r="H793" s="116"/>
      <c r="I793" s="116"/>
      <c r="L793" s="170">
        <v>43168</v>
      </c>
      <c r="M793" s="116">
        <v>235.4</v>
      </c>
      <c r="N793" s="116">
        <v>237.95</v>
      </c>
      <c r="O793" s="116">
        <v>234.2</v>
      </c>
      <c r="P793" s="116">
        <v>237.5</v>
      </c>
      <c r="Q793" s="116">
        <v>235.4</v>
      </c>
      <c r="R793">
        <v>1257500</v>
      </c>
    </row>
    <row r="794" spans="1:18" x14ac:dyDescent="0.25">
      <c r="A794" s="170">
        <v>43171</v>
      </c>
      <c r="B794" s="116">
        <v>241.85</v>
      </c>
      <c r="C794" s="116">
        <v>240.55</v>
      </c>
      <c r="D794" s="116">
        <v>232.5</v>
      </c>
      <c r="E794" s="116">
        <v>236.6</v>
      </c>
      <c r="F794" s="116">
        <v>240.55</v>
      </c>
      <c r="G794">
        <v>64917</v>
      </c>
      <c r="H794" s="116"/>
      <c r="I794" s="116"/>
      <c r="L794" s="170">
        <v>43171</v>
      </c>
      <c r="M794" s="116">
        <v>240.85</v>
      </c>
      <c r="N794" s="116">
        <v>242.3</v>
      </c>
      <c r="O794" s="116">
        <v>232.5</v>
      </c>
      <c r="P794" s="116">
        <v>237</v>
      </c>
      <c r="Q794" s="116">
        <v>240.85</v>
      </c>
      <c r="R794">
        <v>1926518</v>
      </c>
    </row>
    <row r="795" spans="1:18" x14ac:dyDescent="0.25">
      <c r="A795" s="170">
        <v>43172</v>
      </c>
      <c r="B795" s="116">
        <v>244</v>
      </c>
      <c r="C795" s="116">
        <v>239.2</v>
      </c>
      <c r="D795" s="116">
        <v>237.7</v>
      </c>
      <c r="E795" s="116">
        <v>242</v>
      </c>
      <c r="F795" s="116">
        <v>239.2</v>
      </c>
      <c r="G795">
        <v>1010312</v>
      </c>
      <c r="H795" s="116"/>
      <c r="I795" s="116"/>
      <c r="L795" s="170">
        <v>43172</v>
      </c>
      <c r="M795" s="116">
        <v>238.8</v>
      </c>
      <c r="N795" s="116">
        <v>244.4</v>
      </c>
      <c r="O795" s="116">
        <v>237.7</v>
      </c>
      <c r="P795" s="116">
        <v>242.05</v>
      </c>
      <c r="Q795" s="116">
        <v>238.8</v>
      </c>
      <c r="R795">
        <v>1942169</v>
      </c>
    </row>
    <row r="796" spans="1:18" x14ac:dyDescent="0.25">
      <c r="A796" s="170">
        <v>43173</v>
      </c>
      <c r="B796" s="116">
        <v>244.5</v>
      </c>
      <c r="C796" s="116">
        <v>243.45</v>
      </c>
      <c r="D796" s="116">
        <v>239</v>
      </c>
      <c r="E796" s="116">
        <v>239</v>
      </c>
      <c r="F796" s="116">
        <v>243.45</v>
      </c>
      <c r="G796">
        <v>66216</v>
      </c>
      <c r="H796" s="116"/>
      <c r="I796" s="116"/>
      <c r="L796" s="170">
        <v>43173</v>
      </c>
      <c r="M796" s="116">
        <v>243.9</v>
      </c>
      <c r="N796" s="116">
        <v>245</v>
      </c>
      <c r="O796" s="116">
        <v>238.55</v>
      </c>
      <c r="P796" s="116">
        <v>238.9</v>
      </c>
      <c r="Q796" s="116">
        <v>243.9</v>
      </c>
      <c r="R796">
        <v>2973976</v>
      </c>
    </row>
    <row r="797" spans="1:18" x14ac:dyDescent="0.25">
      <c r="A797" s="170">
        <v>43174</v>
      </c>
      <c r="B797" s="116">
        <v>245.5</v>
      </c>
      <c r="C797" s="116">
        <v>242.05</v>
      </c>
      <c r="D797" s="116">
        <v>241.35</v>
      </c>
      <c r="E797" s="116">
        <v>244.95</v>
      </c>
      <c r="F797" s="116">
        <v>242.05</v>
      </c>
      <c r="G797">
        <v>415010</v>
      </c>
      <c r="H797" s="116"/>
      <c r="I797" s="116"/>
      <c r="L797" s="170">
        <v>43174</v>
      </c>
      <c r="M797" s="116">
        <v>242.3</v>
      </c>
      <c r="N797" s="116">
        <v>245.55</v>
      </c>
      <c r="O797" s="116">
        <v>241.55</v>
      </c>
      <c r="P797" s="116">
        <v>244.1</v>
      </c>
      <c r="Q797" s="116">
        <v>242.3</v>
      </c>
      <c r="R797">
        <v>3060758</v>
      </c>
    </row>
    <row r="798" spans="1:18" x14ac:dyDescent="0.25">
      <c r="A798" s="170">
        <v>43175</v>
      </c>
      <c r="B798" s="116">
        <v>242.95</v>
      </c>
      <c r="C798" s="116">
        <v>235.5</v>
      </c>
      <c r="D798" s="116">
        <v>234.25</v>
      </c>
      <c r="E798" s="116">
        <v>242.2</v>
      </c>
      <c r="F798" s="116">
        <v>235.5</v>
      </c>
      <c r="G798">
        <v>109488</v>
      </c>
      <c r="H798" s="116"/>
      <c r="I798" s="116"/>
      <c r="L798" s="170">
        <v>43175</v>
      </c>
      <c r="M798" s="116">
        <v>234.75</v>
      </c>
      <c r="N798" s="116">
        <v>243.1</v>
      </c>
      <c r="O798" s="116">
        <v>234.05</v>
      </c>
      <c r="P798" s="116">
        <v>242.3</v>
      </c>
      <c r="Q798" s="116">
        <v>234.75</v>
      </c>
      <c r="R798">
        <v>3348952</v>
      </c>
    </row>
    <row r="799" spans="1:18" x14ac:dyDescent="0.25">
      <c r="A799" s="170">
        <v>43178</v>
      </c>
      <c r="B799" s="116">
        <v>237</v>
      </c>
      <c r="C799" s="116">
        <v>231.05</v>
      </c>
      <c r="D799" s="116">
        <v>229.45</v>
      </c>
      <c r="E799" s="116">
        <v>237</v>
      </c>
      <c r="F799" s="116">
        <v>231.05</v>
      </c>
      <c r="G799">
        <v>58524</v>
      </c>
      <c r="H799" s="116"/>
      <c r="I799" s="116"/>
      <c r="L799" s="170">
        <v>43178</v>
      </c>
      <c r="M799" s="116">
        <v>231.15</v>
      </c>
      <c r="N799" s="116">
        <v>236.75</v>
      </c>
      <c r="O799" s="116">
        <v>229.1</v>
      </c>
      <c r="P799" s="116">
        <v>235.9</v>
      </c>
      <c r="Q799" s="116">
        <v>231.15</v>
      </c>
      <c r="R799">
        <v>2932815</v>
      </c>
    </row>
    <row r="800" spans="1:18" x14ac:dyDescent="0.25">
      <c r="A800" s="170">
        <v>43179</v>
      </c>
      <c r="B800" s="116">
        <v>233.85</v>
      </c>
      <c r="C800" s="116">
        <v>230.6</v>
      </c>
      <c r="D800" s="116">
        <v>229.1</v>
      </c>
      <c r="E800" s="116">
        <v>230</v>
      </c>
      <c r="F800" s="116">
        <v>230.6</v>
      </c>
      <c r="G800">
        <v>62819</v>
      </c>
      <c r="H800" s="116"/>
      <c r="I800" s="116"/>
      <c r="L800" s="170">
        <v>43179</v>
      </c>
      <c r="M800" s="116">
        <v>230.4</v>
      </c>
      <c r="N800" s="116">
        <v>233.95</v>
      </c>
      <c r="O800" s="116">
        <v>228.5</v>
      </c>
      <c r="P800" s="116">
        <v>228.5</v>
      </c>
      <c r="Q800" s="116">
        <v>230.4</v>
      </c>
      <c r="R800">
        <v>1711628</v>
      </c>
    </row>
    <row r="801" spans="1:18" x14ac:dyDescent="0.25">
      <c r="A801" s="170">
        <v>43180</v>
      </c>
      <c r="B801" s="116">
        <v>234.7</v>
      </c>
      <c r="C801" s="116">
        <v>229.2</v>
      </c>
      <c r="D801" s="116">
        <v>228</v>
      </c>
      <c r="E801" s="116">
        <v>230.05</v>
      </c>
      <c r="F801" s="116">
        <v>229.2</v>
      </c>
      <c r="G801">
        <v>137752</v>
      </c>
      <c r="H801" s="116"/>
      <c r="I801" s="116"/>
      <c r="L801" s="170">
        <v>43180</v>
      </c>
      <c r="M801" s="116">
        <v>229.85</v>
      </c>
      <c r="N801" s="116">
        <v>234.55</v>
      </c>
      <c r="O801" s="116">
        <v>228.5</v>
      </c>
      <c r="P801" s="116">
        <v>230.85</v>
      </c>
      <c r="Q801" s="116">
        <v>229.85</v>
      </c>
      <c r="R801">
        <v>2202091</v>
      </c>
    </row>
    <row r="802" spans="1:18" x14ac:dyDescent="0.25">
      <c r="A802" s="170">
        <v>43181</v>
      </c>
      <c r="B802" s="116">
        <v>232.95</v>
      </c>
      <c r="C802" s="116">
        <v>228.5</v>
      </c>
      <c r="D802" s="116">
        <v>227.7</v>
      </c>
      <c r="E802" s="116">
        <v>230.4</v>
      </c>
      <c r="F802" s="116">
        <v>228.5</v>
      </c>
      <c r="G802">
        <v>43946</v>
      </c>
      <c r="H802" s="116"/>
      <c r="I802" s="116"/>
      <c r="L802" s="170">
        <v>43181</v>
      </c>
      <c r="M802" s="116">
        <v>228.25</v>
      </c>
      <c r="N802" s="116">
        <v>232.85</v>
      </c>
      <c r="O802" s="116">
        <v>227.2</v>
      </c>
      <c r="P802" s="116">
        <v>230.3</v>
      </c>
      <c r="Q802" s="116">
        <v>228.25</v>
      </c>
      <c r="R802">
        <v>3027467</v>
      </c>
    </row>
    <row r="803" spans="1:18" x14ac:dyDescent="0.25">
      <c r="A803" s="170">
        <v>43182</v>
      </c>
      <c r="B803" s="116">
        <v>228.2</v>
      </c>
      <c r="C803" s="116">
        <v>226.95</v>
      </c>
      <c r="D803" s="116">
        <v>223.5</v>
      </c>
      <c r="E803" s="116">
        <v>226.5</v>
      </c>
      <c r="F803" s="116">
        <v>226.95</v>
      </c>
      <c r="G803">
        <v>85491</v>
      </c>
      <c r="H803" s="116"/>
      <c r="I803" s="116"/>
      <c r="L803" s="170">
        <v>43182</v>
      </c>
      <c r="M803" s="116">
        <v>227.2</v>
      </c>
      <c r="N803" s="116">
        <v>228.2</v>
      </c>
      <c r="O803" s="116">
        <v>223</v>
      </c>
      <c r="P803" s="116">
        <v>225.9</v>
      </c>
      <c r="Q803" s="116">
        <v>227.2</v>
      </c>
      <c r="R803">
        <v>1842220</v>
      </c>
    </row>
    <row r="804" spans="1:18" x14ac:dyDescent="0.25">
      <c r="A804" s="170">
        <v>43185</v>
      </c>
      <c r="B804" s="116">
        <v>235</v>
      </c>
      <c r="C804" s="116">
        <v>231.05</v>
      </c>
      <c r="D804" s="116">
        <v>225.35</v>
      </c>
      <c r="E804" s="116">
        <v>225.35</v>
      </c>
      <c r="F804" s="116">
        <v>231.05</v>
      </c>
      <c r="G804">
        <v>76160</v>
      </c>
      <c r="H804" s="116"/>
      <c r="I804" s="116"/>
      <c r="L804" s="170">
        <v>43185</v>
      </c>
      <c r="M804" s="116">
        <v>231.1</v>
      </c>
      <c r="N804" s="116">
        <v>232.85</v>
      </c>
      <c r="O804" s="116">
        <v>226.95</v>
      </c>
      <c r="P804" s="116">
        <v>227.35</v>
      </c>
      <c r="Q804" s="116">
        <v>231.1</v>
      </c>
      <c r="R804">
        <v>2279430</v>
      </c>
    </row>
    <row r="805" spans="1:18" x14ac:dyDescent="0.25">
      <c r="A805" s="170">
        <v>43186</v>
      </c>
      <c r="B805" s="116">
        <v>235</v>
      </c>
      <c r="C805" s="116">
        <v>231.95</v>
      </c>
      <c r="D805" s="116">
        <v>230.05</v>
      </c>
      <c r="E805" s="116">
        <v>230.6</v>
      </c>
      <c r="F805" s="116">
        <v>231.95</v>
      </c>
      <c r="G805">
        <v>56378</v>
      </c>
      <c r="H805" s="116"/>
      <c r="I805" s="116"/>
      <c r="L805" s="170">
        <v>43186</v>
      </c>
      <c r="M805" s="116">
        <v>231.7</v>
      </c>
      <c r="N805" s="116">
        <v>235.2</v>
      </c>
      <c r="O805" s="116">
        <v>230.5</v>
      </c>
      <c r="P805" s="116">
        <v>232.2</v>
      </c>
      <c r="Q805" s="116">
        <v>231.7</v>
      </c>
      <c r="R805">
        <v>2987115</v>
      </c>
    </row>
    <row r="806" spans="1:18" x14ac:dyDescent="0.25">
      <c r="A806" s="170">
        <v>43187</v>
      </c>
      <c r="B806" s="116">
        <v>236.45</v>
      </c>
      <c r="C806" s="116">
        <v>233.3</v>
      </c>
      <c r="D806" s="116">
        <v>228.4</v>
      </c>
      <c r="E806" s="116">
        <v>230</v>
      </c>
      <c r="F806" s="116">
        <v>233.3</v>
      </c>
      <c r="G806">
        <v>88348</v>
      </c>
      <c r="H806" s="116"/>
      <c r="I806" s="116"/>
      <c r="L806" s="170">
        <v>43187</v>
      </c>
      <c r="M806" s="116">
        <v>232.95</v>
      </c>
      <c r="N806" s="116">
        <v>236.9</v>
      </c>
      <c r="O806" s="116">
        <v>228.25</v>
      </c>
      <c r="P806" s="116">
        <v>230.2</v>
      </c>
      <c r="Q806" s="116">
        <v>232.95</v>
      </c>
      <c r="R806">
        <v>17268096</v>
      </c>
    </row>
    <row r="807" spans="1:18" x14ac:dyDescent="0.25">
      <c r="A807" s="170">
        <v>43192</v>
      </c>
      <c r="B807" s="116">
        <v>242</v>
      </c>
      <c r="C807" s="116">
        <v>240.7</v>
      </c>
      <c r="D807" s="116">
        <v>232.65</v>
      </c>
      <c r="E807" s="116">
        <v>233.3</v>
      </c>
      <c r="F807" s="116">
        <v>240.7</v>
      </c>
      <c r="G807">
        <v>81000</v>
      </c>
      <c r="H807" s="116"/>
      <c r="I807" s="116"/>
      <c r="L807" s="170">
        <v>43192</v>
      </c>
      <c r="M807" s="116">
        <v>240.2</v>
      </c>
      <c r="N807" s="116">
        <v>242</v>
      </c>
      <c r="O807" s="116">
        <v>231.55</v>
      </c>
      <c r="P807" s="116">
        <v>234.1</v>
      </c>
      <c r="Q807" s="116">
        <v>240.2</v>
      </c>
      <c r="R807">
        <v>2609084</v>
      </c>
    </row>
    <row r="808" spans="1:18" x14ac:dyDescent="0.25">
      <c r="A808" s="170">
        <v>43193</v>
      </c>
      <c r="B808" s="116">
        <v>242.45</v>
      </c>
      <c r="C808" s="116">
        <v>240.75</v>
      </c>
      <c r="D808" s="116">
        <v>238.15</v>
      </c>
      <c r="E808" s="116">
        <v>238.15</v>
      </c>
      <c r="F808" s="116">
        <v>240.75</v>
      </c>
      <c r="G808">
        <v>46800</v>
      </c>
      <c r="H808" s="116"/>
      <c r="I808" s="116"/>
      <c r="L808" s="170">
        <v>43193</v>
      </c>
      <c r="M808" s="116">
        <v>240.65</v>
      </c>
      <c r="N808" s="116">
        <v>242.6</v>
      </c>
      <c r="O808" s="116">
        <v>238.65</v>
      </c>
      <c r="P808" s="116">
        <v>239.6</v>
      </c>
      <c r="Q808" s="116">
        <v>240.65</v>
      </c>
      <c r="R808">
        <v>1586599</v>
      </c>
    </row>
    <row r="809" spans="1:18" x14ac:dyDescent="0.25">
      <c r="A809" s="170">
        <v>43194</v>
      </c>
      <c r="B809" s="116">
        <v>243.7</v>
      </c>
      <c r="C809" s="116">
        <v>236.5</v>
      </c>
      <c r="D809" s="116">
        <v>236.05</v>
      </c>
      <c r="E809" s="116">
        <v>238.8</v>
      </c>
      <c r="F809" s="116">
        <v>236.5</v>
      </c>
      <c r="G809">
        <v>44023</v>
      </c>
      <c r="H809" s="116"/>
      <c r="I809" s="116"/>
      <c r="L809" s="170">
        <v>43194</v>
      </c>
      <c r="M809" s="116">
        <v>236.6</v>
      </c>
      <c r="N809" s="116">
        <v>244</v>
      </c>
      <c r="O809" s="116">
        <v>236</v>
      </c>
      <c r="P809" s="116">
        <v>240.6</v>
      </c>
      <c r="Q809" s="116">
        <v>236.6</v>
      </c>
      <c r="R809">
        <v>1640569</v>
      </c>
    </row>
    <row r="810" spans="1:18" x14ac:dyDescent="0.25">
      <c r="A810" s="170">
        <v>43195</v>
      </c>
      <c r="B810" s="116">
        <v>239.9</v>
      </c>
      <c r="C810" s="116">
        <v>238.35</v>
      </c>
      <c r="D810" s="116">
        <v>235.5</v>
      </c>
      <c r="E810" s="116">
        <v>237.15</v>
      </c>
      <c r="F810" s="116">
        <v>238.35</v>
      </c>
      <c r="G810">
        <v>115730</v>
      </c>
      <c r="H810" s="116"/>
      <c r="I810" s="116"/>
      <c r="L810" s="170">
        <v>43195</v>
      </c>
      <c r="M810" s="116">
        <v>238</v>
      </c>
      <c r="N810" s="116">
        <v>239.85</v>
      </c>
      <c r="O810" s="116">
        <v>235.55</v>
      </c>
      <c r="P810" s="116">
        <v>238</v>
      </c>
      <c r="Q810" s="116">
        <v>238</v>
      </c>
      <c r="R810">
        <v>2110899</v>
      </c>
    </row>
    <row r="811" spans="1:18" x14ac:dyDescent="0.25">
      <c r="A811" s="170">
        <v>43196</v>
      </c>
      <c r="B811" s="116">
        <v>239.25</v>
      </c>
      <c r="C811" s="116">
        <v>238.95</v>
      </c>
      <c r="D811" s="116">
        <v>236.35</v>
      </c>
      <c r="E811" s="116">
        <v>236.5</v>
      </c>
      <c r="F811" s="116">
        <v>238.95</v>
      </c>
      <c r="G811">
        <v>74096</v>
      </c>
      <c r="H811" s="116"/>
      <c r="I811" s="116"/>
      <c r="L811" s="170">
        <v>43196</v>
      </c>
      <c r="M811" s="116">
        <v>238.65</v>
      </c>
      <c r="N811" s="116">
        <v>239.2</v>
      </c>
      <c r="O811" s="116">
        <v>236.1</v>
      </c>
      <c r="P811" s="116">
        <v>238</v>
      </c>
      <c r="Q811" s="116">
        <v>238.65</v>
      </c>
      <c r="R811">
        <v>664865</v>
      </c>
    </row>
    <row r="812" spans="1:18" x14ac:dyDescent="0.25">
      <c r="A812" s="170">
        <v>43199</v>
      </c>
      <c r="B812" s="116">
        <v>240</v>
      </c>
      <c r="C812" s="116">
        <v>236.85</v>
      </c>
      <c r="D812" s="116">
        <v>236.5</v>
      </c>
      <c r="E812" s="116">
        <v>239</v>
      </c>
      <c r="F812" s="116">
        <v>236.85</v>
      </c>
      <c r="G812">
        <v>76983</v>
      </c>
      <c r="H812" s="116"/>
      <c r="I812" s="116"/>
      <c r="L812" s="170">
        <v>43199</v>
      </c>
      <c r="M812" s="116">
        <v>236.6</v>
      </c>
      <c r="N812" s="116">
        <v>240.2</v>
      </c>
      <c r="O812" s="116">
        <v>236.05</v>
      </c>
      <c r="P812" s="116">
        <v>238.8</v>
      </c>
      <c r="Q812" s="116">
        <v>236.6</v>
      </c>
      <c r="R812">
        <v>857711</v>
      </c>
    </row>
    <row r="813" spans="1:18" x14ac:dyDescent="0.25">
      <c r="A813" s="170">
        <v>43200</v>
      </c>
      <c r="B813" s="116">
        <v>238.15</v>
      </c>
      <c r="C813" s="116">
        <v>235.05</v>
      </c>
      <c r="D813" s="116">
        <v>234.75</v>
      </c>
      <c r="E813" s="116">
        <v>238</v>
      </c>
      <c r="F813" s="116">
        <v>235.05</v>
      </c>
      <c r="G813">
        <v>37515</v>
      </c>
      <c r="H813" s="116"/>
      <c r="I813" s="116"/>
      <c r="L813" s="170">
        <v>43200</v>
      </c>
      <c r="M813" s="116">
        <v>235</v>
      </c>
      <c r="N813" s="116">
        <v>238.5</v>
      </c>
      <c r="O813" s="116">
        <v>234.3</v>
      </c>
      <c r="P813" s="116">
        <v>237.8</v>
      </c>
      <c r="Q813" s="116">
        <v>235</v>
      </c>
      <c r="R813">
        <v>899391</v>
      </c>
    </row>
    <row r="814" spans="1:18" x14ac:dyDescent="0.25">
      <c r="A814" s="170">
        <v>43201</v>
      </c>
      <c r="B814" s="116">
        <v>237.95</v>
      </c>
      <c r="C814" s="116">
        <v>237.3</v>
      </c>
      <c r="D814" s="116">
        <v>233.8</v>
      </c>
      <c r="E814" s="116">
        <v>235.05</v>
      </c>
      <c r="F814" s="116">
        <v>237.3</v>
      </c>
      <c r="G814">
        <v>48580</v>
      </c>
      <c r="H814" s="116"/>
      <c r="I814" s="116"/>
      <c r="L814" s="170">
        <v>43201</v>
      </c>
      <c r="M814" s="116">
        <v>237.5</v>
      </c>
      <c r="N814" s="116">
        <v>238.05</v>
      </c>
      <c r="O814" s="116">
        <v>233.6</v>
      </c>
      <c r="P814" s="116">
        <v>234.95</v>
      </c>
      <c r="Q814" s="116">
        <v>237.5</v>
      </c>
      <c r="R814">
        <v>1288646</v>
      </c>
    </row>
    <row r="815" spans="1:18" x14ac:dyDescent="0.25">
      <c r="A815" s="170">
        <v>43202</v>
      </c>
      <c r="B815" s="116">
        <v>239.5</v>
      </c>
      <c r="C815" s="116">
        <v>236.35</v>
      </c>
      <c r="D815" s="116">
        <v>235.45</v>
      </c>
      <c r="E815" s="116">
        <v>238</v>
      </c>
      <c r="F815" s="116">
        <v>236.35</v>
      </c>
      <c r="G815">
        <v>28155</v>
      </c>
      <c r="H815" s="116"/>
      <c r="I815" s="116"/>
      <c r="L815" s="170">
        <v>43202</v>
      </c>
      <c r="M815" s="116">
        <v>236</v>
      </c>
      <c r="N815" s="116">
        <v>239.95</v>
      </c>
      <c r="O815" s="116">
        <v>235.5</v>
      </c>
      <c r="P815" s="116">
        <v>236.75</v>
      </c>
      <c r="Q815" s="116">
        <v>236</v>
      </c>
      <c r="R815">
        <v>2341840</v>
      </c>
    </row>
    <row r="816" spans="1:18" x14ac:dyDescent="0.25">
      <c r="A816" s="170">
        <v>43203</v>
      </c>
      <c r="B816" s="116">
        <v>239.7</v>
      </c>
      <c r="C816" s="116">
        <v>237.25</v>
      </c>
      <c r="D816" s="116">
        <v>235.55</v>
      </c>
      <c r="E816" s="116">
        <v>236.35</v>
      </c>
      <c r="F816" s="116">
        <v>237.25</v>
      </c>
      <c r="G816">
        <v>122212</v>
      </c>
      <c r="H816" s="116"/>
      <c r="I816" s="116"/>
      <c r="L816" s="170">
        <v>43203</v>
      </c>
      <c r="M816" s="116">
        <v>236.65</v>
      </c>
      <c r="N816" s="116">
        <v>239.2</v>
      </c>
      <c r="O816" s="116">
        <v>235.2</v>
      </c>
      <c r="P816" s="116">
        <v>236.2</v>
      </c>
      <c r="Q816" s="116">
        <v>236.65</v>
      </c>
      <c r="R816">
        <v>986965</v>
      </c>
    </row>
    <row r="817" spans="1:18" x14ac:dyDescent="0.25">
      <c r="A817" s="170">
        <v>43206</v>
      </c>
      <c r="B817" s="116">
        <v>241.8</v>
      </c>
      <c r="C817" s="116">
        <v>241.4</v>
      </c>
      <c r="D817" s="116">
        <v>235</v>
      </c>
      <c r="E817" s="116">
        <v>237.85</v>
      </c>
      <c r="F817" s="116">
        <v>241.4</v>
      </c>
      <c r="G817">
        <v>53196</v>
      </c>
      <c r="H817" s="116"/>
      <c r="I817" s="116"/>
      <c r="L817" s="170">
        <v>43206</v>
      </c>
      <c r="M817" s="116">
        <v>241.65</v>
      </c>
      <c r="N817" s="116">
        <v>242.5</v>
      </c>
      <c r="O817" s="116">
        <v>235.15</v>
      </c>
      <c r="P817" s="116">
        <v>236</v>
      </c>
      <c r="Q817" s="116">
        <v>241.65</v>
      </c>
      <c r="R817">
        <v>1117203</v>
      </c>
    </row>
    <row r="818" spans="1:18" x14ac:dyDescent="0.25">
      <c r="A818" s="170">
        <v>43207</v>
      </c>
      <c r="B818" s="116">
        <v>245</v>
      </c>
      <c r="C818" s="116">
        <v>244.45</v>
      </c>
      <c r="D818" s="116">
        <v>240.45</v>
      </c>
      <c r="E818" s="116">
        <v>242</v>
      </c>
      <c r="F818" s="116">
        <v>244.45</v>
      </c>
      <c r="G818">
        <v>42689</v>
      </c>
      <c r="H818" s="116"/>
      <c r="I818" s="116"/>
      <c r="L818" s="170">
        <v>43207</v>
      </c>
      <c r="M818" s="116">
        <v>244.85</v>
      </c>
      <c r="N818" s="116">
        <v>245.95</v>
      </c>
      <c r="O818" s="116">
        <v>240.25</v>
      </c>
      <c r="P818" s="116">
        <v>242.05</v>
      </c>
      <c r="Q818" s="116">
        <v>244.85</v>
      </c>
      <c r="R818">
        <v>2079834</v>
      </c>
    </row>
    <row r="819" spans="1:18" x14ac:dyDescent="0.25">
      <c r="A819" s="170">
        <v>43208</v>
      </c>
      <c r="B819" s="116">
        <v>246.85</v>
      </c>
      <c r="C819" s="116">
        <v>244.8</v>
      </c>
      <c r="D819" s="116">
        <v>244.5</v>
      </c>
      <c r="E819" s="116">
        <v>245.1</v>
      </c>
      <c r="F819" s="116">
        <v>244.8</v>
      </c>
      <c r="G819">
        <v>105474</v>
      </c>
      <c r="H819" s="116"/>
      <c r="I819" s="116"/>
      <c r="L819" s="170">
        <v>43208</v>
      </c>
      <c r="M819" s="116">
        <v>244.9</v>
      </c>
      <c r="N819" s="116">
        <v>246.95</v>
      </c>
      <c r="O819" s="116">
        <v>242.75</v>
      </c>
      <c r="P819" s="116">
        <v>246.25</v>
      </c>
      <c r="Q819" s="116">
        <v>244.9</v>
      </c>
      <c r="R819">
        <v>1693395</v>
      </c>
    </row>
    <row r="820" spans="1:18" x14ac:dyDescent="0.25">
      <c r="A820" s="170">
        <v>43209</v>
      </c>
      <c r="B820" s="116">
        <v>250.6</v>
      </c>
      <c r="C820" s="116">
        <v>247.25</v>
      </c>
      <c r="D820" s="116">
        <v>245.5</v>
      </c>
      <c r="E820" s="116">
        <v>245.6</v>
      </c>
      <c r="F820" s="116">
        <v>247.25</v>
      </c>
      <c r="G820">
        <v>178912</v>
      </c>
      <c r="H820" s="116"/>
      <c r="I820" s="116"/>
      <c r="L820" s="170">
        <v>43209</v>
      </c>
      <c r="M820" s="116">
        <v>247</v>
      </c>
      <c r="N820" s="116">
        <v>250.6</v>
      </c>
      <c r="O820" s="116">
        <v>245.35</v>
      </c>
      <c r="P820" s="116">
        <v>247</v>
      </c>
      <c r="Q820" s="116">
        <v>247</v>
      </c>
      <c r="R820">
        <v>2315449</v>
      </c>
    </row>
    <row r="821" spans="1:18" x14ac:dyDescent="0.25">
      <c r="A821" s="170">
        <v>43210</v>
      </c>
      <c r="B821" s="116">
        <v>247.6</v>
      </c>
      <c r="C821" s="116">
        <v>246.35</v>
      </c>
      <c r="D821" s="116">
        <v>244.4</v>
      </c>
      <c r="E821" s="116">
        <v>245</v>
      </c>
      <c r="F821" s="116">
        <v>246.35</v>
      </c>
      <c r="G821">
        <v>116678</v>
      </c>
      <c r="H821" s="116"/>
      <c r="I821" s="116"/>
      <c r="L821" s="170">
        <v>43210</v>
      </c>
      <c r="M821" s="116">
        <v>246.6</v>
      </c>
      <c r="N821" s="116">
        <v>247.95</v>
      </c>
      <c r="O821" s="116">
        <v>244.1</v>
      </c>
      <c r="P821" s="116">
        <v>246.6</v>
      </c>
      <c r="Q821" s="116">
        <v>246.6</v>
      </c>
      <c r="R821">
        <v>894175</v>
      </c>
    </row>
    <row r="822" spans="1:18" x14ac:dyDescent="0.25">
      <c r="A822" s="170">
        <v>43213</v>
      </c>
      <c r="B822" s="116">
        <v>248.7</v>
      </c>
      <c r="C822" s="116">
        <v>247.05</v>
      </c>
      <c r="D822" s="116">
        <v>244</v>
      </c>
      <c r="E822" s="116">
        <v>244</v>
      </c>
      <c r="F822" s="116">
        <v>247.05</v>
      </c>
      <c r="G822">
        <v>38714</v>
      </c>
      <c r="H822" s="116"/>
      <c r="I822" s="116"/>
      <c r="L822" s="170">
        <v>43213</v>
      </c>
      <c r="M822" s="116">
        <v>247.6</v>
      </c>
      <c r="N822" s="116">
        <v>249</v>
      </c>
      <c r="O822" s="116">
        <v>245.25</v>
      </c>
      <c r="P822" s="116">
        <v>245.4</v>
      </c>
      <c r="Q822" s="116">
        <v>247.6</v>
      </c>
      <c r="R822">
        <v>1051719</v>
      </c>
    </row>
    <row r="823" spans="1:18" x14ac:dyDescent="0.25">
      <c r="A823" s="170">
        <v>43214</v>
      </c>
      <c r="B823" s="116">
        <v>249.5</v>
      </c>
      <c r="C823" s="116">
        <v>246.95</v>
      </c>
      <c r="D823" s="116">
        <v>245.6</v>
      </c>
      <c r="E823" s="116">
        <v>245.6</v>
      </c>
      <c r="F823" s="116">
        <v>246.95</v>
      </c>
      <c r="G823">
        <v>50799</v>
      </c>
      <c r="H823" s="116"/>
      <c r="I823" s="116"/>
      <c r="L823" s="170">
        <v>43214</v>
      </c>
      <c r="M823" s="116">
        <v>247.8</v>
      </c>
      <c r="N823" s="116">
        <v>249.5</v>
      </c>
      <c r="O823" s="116">
        <v>245.55</v>
      </c>
      <c r="P823" s="116">
        <v>247.4</v>
      </c>
      <c r="Q823" s="116">
        <v>247.8</v>
      </c>
      <c r="R823">
        <v>1321262</v>
      </c>
    </row>
    <row r="824" spans="1:18" x14ac:dyDescent="0.25">
      <c r="A824" s="170">
        <v>43215</v>
      </c>
      <c r="B824" s="116">
        <v>249.1</v>
      </c>
      <c r="C824" s="116">
        <v>245.55</v>
      </c>
      <c r="D824" s="116">
        <v>244</v>
      </c>
      <c r="E824" s="116">
        <v>245.05</v>
      </c>
      <c r="F824" s="116">
        <v>245.55</v>
      </c>
      <c r="G824">
        <v>38656</v>
      </c>
      <c r="H824" s="116"/>
      <c r="I824" s="116"/>
      <c r="L824" s="170">
        <v>43215</v>
      </c>
      <c r="M824" s="116">
        <v>245.7</v>
      </c>
      <c r="N824" s="116">
        <v>249.75</v>
      </c>
      <c r="O824" s="116">
        <v>243.8</v>
      </c>
      <c r="P824" s="116">
        <v>247.25</v>
      </c>
      <c r="Q824" s="116">
        <v>245.7</v>
      </c>
      <c r="R824">
        <v>1575990</v>
      </c>
    </row>
    <row r="825" spans="1:18" x14ac:dyDescent="0.25">
      <c r="A825" s="170">
        <v>43216</v>
      </c>
      <c r="B825" s="116">
        <v>247.55</v>
      </c>
      <c r="C825" s="116">
        <v>242.75</v>
      </c>
      <c r="D825" s="116">
        <v>241.6</v>
      </c>
      <c r="E825" s="116">
        <v>244.1</v>
      </c>
      <c r="F825" s="116">
        <v>242.75</v>
      </c>
      <c r="G825">
        <v>25228</v>
      </c>
      <c r="H825" s="116"/>
      <c r="I825" s="116"/>
      <c r="L825" s="170">
        <v>43216</v>
      </c>
      <c r="M825" s="116">
        <v>242.5</v>
      </c>
      <c r="N825" s="116">
        <v>247.9</v>
      </c>
      <c r="O825" s="116">
        <v>241.35</v>
      </c>
      <c r="P825" s="116">
        <v>245.2</v>
      </c>
      <c r="Q825" s="116">
        <v>242.5</v>
      </c>
      <c r="R825">
        <v>1013598</v>
      </c>
    </row>
    <row r="826" spans="1:18" x14ac:dyDescent="0.25">
      <c r="A826" s="170">
        <v>43217</v>
      </c>
      <c r="B826" s="116">
        <v>245.8</v>
      </c>
      <c r="C826" s="116">
        <v>244.5</v>
      </c>
      <c r="D826" s="116">
        <v>241.8</v>
      </c>
      <c r="E826" s="116">
        <v>241.8</v>
      </c>
      <c r="F826" s="116">
        <v>244.5</v>
      </c>
      <c r="G826">
        <v>29825</v>
      </c>
      <c r="H826" s="116"/>
      <c r="I826" s="116"/>
      <c r="L826" s="170">
        <v>43217</v>
      </c>
      <c r="M826" s="116">
        <v>244.9</v>
      </c>
      <c r="N826" s="116">
        <v>246</v>
      </c>
      <c r="O826" s="116">
        <v>241.8</v>
      </c>
      <c r="P826" s="116">
        <v>243</v>
      </c>
      <c r="Q826" s="116">
        <v>244.9</v>
      </c>
      <c r="R826">
        <v>1464396</v>
      </c>
    </row>
    <row r="827" spans="1:18" x14ac:dyDescent="0.25">
      <c r="A827" s="170">
        <v>43220</v>
      </c>
      <c r="B827" s="116">
        <v>252.4</v>
      </c>
      <c r="C827" s="116">
        <v>250</v>
      </c>
      <c r="D827" s="116">
        <v>244.3</v>
      </c>
      <c r="E827" s="116">
        <v>244.3</v>
      </c>
      <c r="F827" s="116">
        <v>250</v>
      </c>
      <c r="G827">
        <v>91946</v>
      </c>
      <c r="H827" s="116"/>
      <c r="I827" s="116"/>
      <c r="L827" s="170">
        <v>43220</v>
      </c>
      <c r="M827" s="116">
        <v>250.65</v>
      </c>
      <c r="N827" s="116">
        <v>252.75</v>
      </c>
      <c r="O827" s="116">
        <v>245.5</v>
      </c>
      <c r="P827" s="116">
        <v>245.5</v>
      </c>
      <c r="Q827" s="116">
        <v>250.65</v>
      </c>
      <c r="R827">
        <v>2454697</v>
      </c>
    </row>
    <row r="828" spans="1:18" x14ac:dyDescent="0.25">
      <c r="A828" s="170">
        <v>43222</v>
      </c>
      <c r="B828" s="116">
        <v>251.7</v>
      </c>
      <c r="C828" s="116">
        <v>245.65</v>
      </c>
      <c r="D828" s="116">
        <v>244.35</v>
      </c>
      <c r="E828" s="116">
        <v>249.35</v>
      </c>
      <c r="F828" s="116">
        <v>245.65</v>
      </c>
      <c r="G828">
        <v>40788</v>
      </c>
      <c r="H828" s="116"/>
      <c r="I828" s="116"/>
      <c r="L828" s="170">
        <v>43222</v>
      </c>
      <c r="M828" s="116">
        <v>245.45</v>
      </c>
      <c r="N828" s="116">
        <v>251.75</v>
      </c>
      <c r="O828" s="116">
        <v>244.8</v>
      </c>
      <c r="P828" s="116">
        <v>250.9</v>
      </c>
      <c r="Q828" s="116">
        <v>245.45</v>
      </c>
      <c r="R828">
        <v>1602224</v>
      </c>
    </row>
    <row r="829" spans="1:18" x14ac:dyDescent="0.25">
      <c r="A829" s="170">
        <v>43223</v>
      </c>
      <c r="B829" s="116">
        <v>245.9</v>
      </c>
      <c r="C829" s="116">
        <v>240.45</v>
      </c>
      <c r="D829" s="116">
        <v>238.8</v>
      </c>
      <c r="E829" s="116">
        <v>243.3</v>
      </c>
      <c r="F829" s="116">
        <v>240.45</v>
      </c>
      <c r="G829">
        <v>58622</v>
      </c>
      <c r="H829" s="116"/>
      <c r="I829" s="116"/>
      <c r="L829" s="170">
        <v>43223</v>
      </c>
      <c r="M829" s="116">
        <v>239.95</v>
      </c>
      <c r="N829" s="116">
        <v>245.9</v>
      </c>
      <c r="O829" s="116">
        <v>239.4</v>
      </c>
      <c r="P829" s="116">
        <v>244.15</v>
      </c>
      <c r="Q829" s="116">
        <v>239.95</v>
      </c>
      <c r="R829">
        <v>1148958</v>
      </c>
    </row>
    <row r="830" spans="1:18" x14ac:dyDescent="0.25">
      <c r="A830" s="170">
        <v>43224</v>
      </c>
      <c r="B830" s="116">
        <v>244.65</v>
      </c>
      <c r="C830" s="116">
        <v>236.95</v>
      </c>
      <c r="D830" s="116">
        <v>234.45</v>
      </c>
      <c r="E830" s="116">
        <v>243.2</v>
      </c>
      <c r="F830" s="116">
        <v>236.95</v>
      </c>
      <c r="G830">
        <v>285010</v>
      </c>
      <c r="H830" s="116"/>
      <c r="I830" s="116"/>
      <c r="L830" s="170">
        <v>43224</v>
      </c>
      <c r="M830" s="116">
        <v>236.7</v>
      </c>
      <c r="N830" s="116">
        <v>244.7</v>
      </c>
      <c r="O830" s="116">
        <v>233.4</v>
      </c>
      <c r="P830" s="116">
        <v>241.05</v>
      </c>
      <c r="Q830" s="116">
        <v>236.7</v>
      </c>
      <c r="R830">
        <v>4083676</v>
      </c>
    </row>
    <row r="831" spans="1:18" x14ac:dyDescent="0.25">
      <c r="A831" s="170">
        <v>43227</v>
      </c>
      <c r="B831" s="116">
        <v>238.3</v>
      </c>
      <c r="C831" s="116">
        <v>235.05</v>
      </c>
      <c r="D831" s="116">
        <v>233.55</v>
      </c>
      <c r="E831" s="116">
        <v>237.7</v>
      </c>
      <c r="F831" s="116">
        <v>235.05</v>
      </c>
      <c r="G831">
        <v>132349</v>
      </c>
      <c r="H831" s="116"/>
      <c r="I831" s="116"/>
      <c r="L831" s="170">
        <v>43227</v>
      </c>
      <c r="M831" s="116">
        <v>235.25</v>
      </c>
      <c r="N831" s="116">
        <v>238.15</v>
      </c>
      <c r="O831" s="116">
        <v>233.1</v>
      </c>
      <c r="P831" s="116">
        <v>235.65</v>
      </c>
      <c r="Q831" s="116">
        <v>235.25</v>
      </c>
      <c r="R831">
        <v>2213157</v>
      </c>
    </row>
    <row r="832" spans="1:18" x14ac:dyDescent="0.25">
      <c r="A832" s="170">
        <v>43228</v>
      </c>
      <c r="B832" s="116">
        <v>236.05</v>
      </c>
      <c r="C832" s="116">
        <v>230</v>
      </c>
      <c r="D832" s="116">
        <v>229.25</v>
      </c>
      <c r="E832" s="116">
        <v>234.85</v>
      </c>
      <c r="F832" s="116">
        <v>230</v>
      </c>
      <c r="G832">
        <v>87130</v>
      </c>
      <c r="H832" s="116"/>
      <c r="I832" s="116"/>
      <c r="L832" s="170">
        <v>43228</v>
      </c>
      <c r="M832" s="116">
        <v>229.45</v>
      </c>
      <c r="N832" s="116">
        <v>236.25</v>
      </c>
      <c r="O832" s="116">
        <v>228.75</v>
      </c>
      <c r="P832" s="116">
        <v>235.6</v>
      </c>
      <c r="Q832" s="116">
        <v>229.45</v>
      </c>
      <c r="R832">
        <v>2782140</v>
      </c>
    </row>
    <row r="833" spans="1:18" x14ac:dyDescent="0.25">
      <c r="A833" s="170">
        <v>43229</v>
      </c>
      <c r="B833" s="116">
        <v>230.7</v>
      </c>
      <c r="C833" s="116">
        <v>225.15</v>
      </c>
      <c r="D833" s="116">
        <v>224.5</v>
      </c>
      <c r="E833" s="116">
        <v>228.85</v>
      </c>
      <c r="F833" s="116">
        <v>225.15</v>
      </c>
      <c r="G833">
        <v>89868</v>
      </c>
      <c r="H833" s="116"/>
      <c r="I833" s="116"/>
      <c r="L833" s="170">
        <v>43229</v>
      </c>
      <c r="M833" s="116">
        <v>224.65</v>
      </c>
      <c r="N833" s="116">
        <v>230.65</v>
      </c>
      <c r="O833" s="116">
        <v>224.15</v>
      </c>
      <c r="P833" s="116">
        <v>229.6</v>
      </c>
      <c r="Q833" s="116">
        <v>224.65</v>
      </c>
      <c r="R833">
        <v>2975035</v>
      </c>
    </row>
    <row r="834" spans="1:18" x14ac:dyDescent="0.25">
      <c r="A834" s="170">
        <v>43230</v>
      </c>
      <c r="B834" s="116">
        <v>225.9</v>
      </c>
      <c r="C834" s="116">
        <v>220.4</v>
      </c>
      <c r="D834" s="116">
        <v>219.45</v>
      </c>
      <c r="E834" s="116">
        <v>225</v>
      </c>
      <c r="F834" s="116">
        <v>220.4</v>
      </c>
      <c r="G834">
        <v>110985</v>
      </c>
      <c r="H834" s="116"/>
      <c r="I834" s="116"/>
      <c r="L834" s="170">
        <v>43230</v>
      </c>
      <c r="M834" s="116">
        <v>220.05</v>
      </c>
      <c r="N834" s="116">
        <v>225.8</v>
      </c>
      <c r="O834" s="116">
        <v>219</v>
      </c>
      <c r="P834" s="116">
        <v>225.15</v>
      </c>
      <c r="Q834" s="116">
        <v>220.05</v>
      </c>
      <c r="R834">
        <v>3566843</v>
      </c>
    </row>
    <row r="835" spans="1:18" x14ac:dyDescent="0.25">
      <c r="A835" s="170">
        <v>43231</v>
      </c>
      <c r="B835" s="116">
        <v>221.35</v>
      </c>
      <c r="C835" s="116">
        <v>217.35</v>
      </c>
      <c r="D835" s="116">
        <v>216.7</v>
      </c>
      <c r="E835" s="116">
        <v>218.6</v>
      </c>
      <c r="F835" s="116">
        <v>217.35</v>
      </c>
      <c r="G835">
        <v>82514</v>
      </c>
      <c r="H835" s="116"/>
      <c r="I835" s="116"/>
      <c r="L835" s="170">
        <v>43231</v>
      </c>
      <c r="M835" s="116">
        <v>217.15</v>
      </c>
      <c r="N835" s="116">
        <v>221.15</v>
      </c>
      <c r="O835" s="116">
        <v>216.15</v>
      </c>
      <c r="P835" s="116">
        <v>220.5</v>
      </c>
      <c r="Q835" s="116">
        <v>217.15</v>
      </c>
      <c r="R835">
        <v>3917464</v>
      </c>
    </row>
    <row r="836" spans="1:18" x14ac:dyDescent="0.25">
      <c r="A836" s="170">
        <v>43234</v>
      </c>
      <c r="B836" s="116">
        <v>219.5</v>
      </c>
      <c r="C836" s="116">
        <v>217.65</v>
      </c>
      <c r="D836" s="116">
        <v>215.25</v>
      </c>
      <c r="E836" s="116">
        <v>216.4</v>
      </c>
      <c r="F836" s="116">
        <v>217.65</v>
      </c>
      <c r="G836">
        <v>95073</v>
      </c>
      <c r="H836" s="116"/>
      <c r="I836" s="116"/>
      <c r="L836" s="170">
        <v>43234</v>
      </c>
      <c r="M836" s="116">
        <v>217.45</v>
      </c>
      <c r="N836" s="116">
        <v>219.8</v>
      </c>
      <c r="O836" s="116">
        <v>215.3</v>
      </c>
      <c r="P836" s="116">
        <v>217.65</v>
      </c>
      <c r="Q836" s="116">
        <v>217.45</v>
      </c>
      <c r="R836">
        <v>1683423</v>
      </c>
    </row>
    <row r="837" spans="1:18" x14ac:dyDescent="0.25">
      <c r="A837" s="170">
        <v>43235</v>
      </c>
      <c r="B837" s="116">
        <v>219</v>
      </c>
      <c r="C837" s="116">
        <v>214.55</v>
      </c>
      <c r="D837" s="116">
        <v>211.25</v>
      </c>
      <c r="E837" s="116">
        <v>216.55</v>
      </c>
      <c r="F837" s="116">
        <v>214.55</v>
      </c>
      <c r="G837">
        <v>222093</v>
      </c>
      <c r="H837" s="116"/>
      <c r="I837" s="116"/>
      <c r="L837" s="170">
        <v>43235</v>
      </c>
      <c r="M837" s="116">
        <v>214.1</v>
      </c>
      <c r="N837" s="116">
        <v>219.45</v>
      </c>
      <c r="O837" s="116">
        <v>210.8</v>
      </c>
      <c r="P837" s="116">
        <v>217.7</v>
      </c>
      <c r="Q837" s="116">
        <v>214.1</v>
      </c>
      <c r="R837">
        <v>2421775</v>
      </c>
    </row>
    <row r="838" spans="1:18" x14ac:dyDescent="0.25">
      <c r="A838" s="170">
        <v>43236</v>
      </c>
      <c r="B838" s="116">
        <v>214.65</v>
      </c>
      <c r="C838" s="116">
        <v>211.35</v>
      </c>
      <c r="D838" s="116">
        <v>210.15</v>
      </c>
      <c r="E838" s="116">
        <v>213</v>
      </c>
      <c r="F838" s="116">
        <v>211.35</v>
      </c>
      <c r="G838">
        <v>182802</v>
      </c>
      <c r="H838" s="116"/>
      <c r="I838" s="116"/>
      <c r="L838" s="170">
        <v>43236</v>
      </c>
      <c r="M838" s="116">
        <v>211.8</v>
      </c>
      <c r="N838" s="116">
        <v>214.4</v>
      </c>
      <c r="O838" s="116">
        <v>210</v>
      </c>
      <c r="P838" s="116">
        <v>213.1</v>
      </c>
      <c r="Q838" s="116">
        <v>211.8</v>
      </c>
      <c r="R838">
        <v>2481091</v>
      </c>
    </row>
    <row r="839" spans="1:18" x14ac:dyDescent="0.25">
      <c r="A839" s="170">
        <v>43237</v>
      </c>
      <c r="B839" s="116">
        <v>220.5</v>
      </c>
      <c r="C839" s="116">
        <v>217</v>
      </c>
      <c r="D839" s="116">
        <v>211.75</v>
      </c>
      <c r="E839" s="116">
        <v>211.75</v>
      </c>
      <c r="F839" s="116">
        <v>217</v>
      </c>
      <c r="G839">
        <v>125873</v>
      </c>
      <c r="H839" s="116"/>
      <c r="I839" s="116"/>
      <c r="L839" s="170">
        <v>43237</v>
      </c>
      <c r="M839" s="116">
        <v>217.65</v>
      </c>
      <c r="N839" s="116">
        <v>220.7</v>
      </c>
      <c r="O839" s="116">
        <v>212</v>
      </c>
      <c r="P839" s="116">
        <v>212</v>
      </c>
      <c r="Q839" s="116">
        <v>217.65</v>
      </c>
      <c r="R839">
        <v>3620351</v>
      </c>
    </row>
    <row r="840" spans="1:18" x14ac:dyDescent="0.25">
      <c r="A840" s="170">
        <v>43238</v>
      </c>
      <c r="B840" s="116">
        <v>220</v>
      </c>
      <c r="C840" s="116">
        <v>211.65</v>
      </c>
      <c r="D840" s="116">
        <v>209.7</v>
      </c>
      <c r="E840" s="116">
        <v>220</v>
      </c>
      <c r="F840" s="116">
        <v>211.65</v>
      </c>
      <c r="G840">
        <v>193403</v>
      </c>
      <c r="H840" s="116"/>
      <c r="I840" s="116"/>
      <c r="L840" s="170">
        <v>43238</v>
      </c>
      <c r="M840" s="116">
        <v>210.45</v>
      </c>
      <c r="N840" s="116">
        <v>217.8</v>
      </c>
      <c r="O840" s="116">
        <v>209.2</v>
      </c>
      <c r="P840" s="116">
        <v>217.8</v>
      </c>
      <c r="Q840" s="116">
        <v>210.45</v>
      </c>
      <c r="R840">
        <v>1556445</v>
      </c>
    </row>
    <row r="841" spans="1:18" x14ac:dyDescent="0.25">
      <c r="A841" s="170">
        <v>43241</v>
      </c>
      <c r="B841" s="116">
        <v>215.9</v>
      </c>
      <c r="C841" s="116">
        <v>208.05</v>
      </c>
      <c r="D841" s="116">
        <v>204.35</v>
      </c>
      <c r="E841" s="116">
        <v>211.65</v>
      </c>
      <c r="F841" s="116">
        <v>208.05</v>
      </c>
      <c r="G841">
        <v>133798</v>
      </c>
      <c r="H841" s="116"/>
      <c r="I841" s="116"/>
      <c r="L841" s="170">
        <v>43241</v>
      </c>
      <c r="M841" s="116">
        <v>208.05</v>
      </c>
      <c r="N841" s="116">
        <v>212.8</v>
      </c>
      <c r="O841" s="116">
        <v>204.25</v>
      </c>
      <c r="P841" s="116">
        <v>210.45</v>
      </c>
      <c r="Q841" s="116">
        <v>208.05</v>
      </c>
      <c r="R841">
        <v>1715130</v>
      </c>
    </row>
    <row r="842" spans="1:18" x14ac:dyDescent="0.25">
      <c r="A842" s="170">
        <v>43242</v>
      </c>
      <c r="B842" s="116">
        <v>210</v>
      </c>
      <c r="C842" s="116">
        <v>208.2</v>
      </c>
      <c r="D842" s="116">
        <v>206.6</v>
      </c>
      <c r="E842" s="116">
        <v>210</v>
      </c>
      <c r="F842" s="116">
        <v>208.2</v>
      </c>
      <c r="G842">
        <v>79579</v>
      </c>
      <c r="H842" s="116"/>
      <c r="I842" s="116"/>
      <c r="L842" s="170">
        <v>43242</v>
      </c>
      <c r="M842" s="116">
        <v>208</v>
      </c>
      <c r="N842" s="116">
        <v>210.3</v>
      </c>
      <c r="O842" s="116">
        <v>206.35</v>
      </c>
      <c r="P842" s="116">
        <v>208.5</v>
      </c>
      <c r="Q842" s="116">
        <v>208</v>
      </c>
      <c r="R842">
        <v>1483612</v>
      </c>
    </row>
    <row r="843" spans="1:18" x14ac:dyDescent="0.25">
      <c r="A843" s="170">
        <v>43243</v>
      </c>
      <c r="B843" s="116">
        <v>209.15</v>
      </c>
      <c r="C843" s="116">
        <v>207.1</v>
      </c>
      <c r="D843" s="116">
        <v>206.35</v>
      </c>
      <c r="E843" s="116">
        <v>207</v>
      </c>
      <c r="F843" s="116">
        <v>207.1</v>
      </c>
      <c r="G843">
        <v>58088</v>
      </c>
      <c r="H843" s="116"/>
      <c r="I843" s="116"/>
      <c r="L843" s="170">
        <v>43243</v>
      </c>
      <c r="M843" s="116">
        <v>207.5</v>
      </c>
      <c r="N843" s="116">
        <v>209.1</v>
      </c>
      <c r="O843" s="116">
        <v>206.5</v>
      </c>
      <c r="P843" s="116">
        <v>207.55</v>
      </c>
      <c r="Q843" s="116">
        <v>207.5</v>
      </c>
      <c r="R843">
        <v>1418518</v>
      </c>
    </row>
    <row r="844" spans="1:18" x14ac:dyDescent="0.25">
      <c r="A844" s="170">
        <v>43244</v>
      </c>
      <c r="B844" s="116">
        <v>214</v>
      </c>
      <c r="C844" s="116">
        <v>212.3</v>
      </c>
      <c r="D844" s="116">
        <v>204.4</v>
      </c>
      <c r="E844" s="116">
        <v>209.35</v>
      </c>
      <c r="F844" s="116">
        <v>212.3</v>
      </c>
      <c r="G844">
        <v>99313</v>
      </c>
      <c r="H844" s="116"/>
      <c r="I844" s="116"/>
      <c r="L844" s="170">
        <v>43244</v>
      </c>
      <c r="M844" s="116">
        <v>212.8</v>
      </c>
      <c r="N844" s="116">
        <v>214.25</v>
      </c>
      <c r="O844" s="116">
        <v>204.25</v>
      </c>
      <c r="P844" s="116">
        <v>209</v>
      </c>
      <c r="Q844" s="116">
        <v>212.8</v>
      </c>
      <c r="R844">
        <v>2792312</v>
      </c>
    </row>
    <row r="845" spans="1:18" x14ac:dyDescent="0.25">
      <c r="A845" s="170">
        <v>43245</v>
      </c>
      <c r="B845" s="116">
        <v>214.5</v>
      </c>
      <c r="C845" s="116">
        <v>211.9</v>
      </c>
      <c r="D845" s="116">
        <v>209.8</v>
      </c>
      <c r="E845" s="116">
        <v>214.5</v>
      </c>
      <c r="F845" s="116">
        <v>211.9</v>
      </c>
      <c r="G845">
        <v>122092</v>
      </c>
      <c r="H845" s="116"/>
      <c r="I845" s="116"/>
      <c r="L845" s="170">
        <v>43245</v>
      </c>
      <c r="M845" s="116">
        <v>211.6</v>
      </c>
      <c r="N845" s="116">
        <v>214.5</v>
      </c>
      <c r="O845" s="116">
        <v>209.55</v>
      </c>
      <c r="P845" s="116">
        <v>213.5</v>
      </c>
      <c r="Q845" s="116">
        <v>211.6</v>
      </c>
      <c r="R845">
        <v>1499518</v>
      </c>
    </row>
    <row r="846" spans="1:18" x14ac:dyDescent="0.25">
      <c r="A846" s="170">
        <v>43248</v>
      </c>
      <c r="B846" s="116">
        <v>214.5</v>
      </c>
      <c r="C846" s="116">
        <v>212.65</v>
      </c>
      <c r="D846" s="116">
        <v>210.85</v>
      </c>
      <c r="E846" s="116">
        <v>213</v>
      </c>
      <c r="F846" s="116">
        <v>212.65</v>
      </c>
      <c r="G846">
        <v>66253</v>
      </c>
      <c r="H846" s="116"/>
      <c r="I846" s="116"/>
      <c r="L846" s="170">
        <v>43248</v>
      </c>
      <c r="M846" s="116">
        <v>212.1</v>
      </c>
      <c r="N846" s="116">
        <v>214.45</v>
      </c>
      <c r="O846" s="116">
        <v>211.55</v>
      </c>
      <c r="P846" s="116">
        <v>211.9</v>
      </c>
      <c r="Q846" s="116">
        <v>212.1</v>
      </c>
      <c r="R846">
        <v>1181241</v>
      </c>
    </row>
    <row r="847" spans="1:18" x14ac:dyDescent="0.25">
      <c r="A847" s="170">
        <v>43249</v>
      </c>
      <c r="B847" s="116">
        <v>213.75</v>
      </c>
      <c r="C847" s="116">
        <v>208.55</v>
      </c>
      <c r="D847" s="116">
        <v>208</v>
      </c>
      <c r="E847" s="116">
        <v>212</v>
      </c>
      <c r="F847" s="116">
        <v>208.55</v>
      </c>
      <c r="G847">
        <v>104802</v>
      </c>
      <c r="H847" s="116"/>
      <c r="I847" s="116"/>
      <c r="L847" s="170">
        <v>43249</v>
      </c>
      <c r="M847" s="116">
        <v>208.3</v>
      </c>
      <c r="N847" s="116">
        <v>214</v>
      </c>
      <c r="O847" s="116">
        <v>207.85</v>
      </c>
      <c r="P847" s="116">
        <v>212.4</v>
      </c>
      <c r="Q847" s="116">
        <v>208.3</v>
      </c>
      <c r="R847">
        <v>1459474</v>
      </c>
    </row>
    <row r="848" spans="1:18" x14ac:dyDescent="0.25">
      <c r="A848" s="170">
        <v>43250</v>
      </c>
      <c r="B848" s="116">
        <v>209.95</v>
      </c>
      <c r="C848" s="116">
        <v>206</v>
      </c>
      <c r="D848" s="116">
        <v>205.2</v>
      </c>
      <c r="E848" s="116">
        <v>209.75</v>
      </c>
      <c r="F848" s="116">
        <v>206</v>
      </c>
      <c r="G848">
        <v>75526</v>
      </c>
      <c r="H848" s="116"/>
      <c r="I848" s="116"/>
      <c r="L848" s="170">
        <v>43250</v>
      </c>
      <c r="M848" s="116">
        <v>206.2</v>
      </c>
      <c r="N848" s="116">
        <v>210.4</v>
      </c>
      <c r="O848" s="116">
        <v>205.7</v>
      </c>
      <c r="P848" s="116">
        <v>207.55</v>
      </c>
      <c r="Q848" s="116">
        <v>206.2</v>
      </c>
      <c r="R848">
        <v>1963564</v>
      </c>
    </row>
    <row r="849" spans="1:18" x14ac:dyDescent="0.25">
      <c r="A849" s="170">
        <v>43251</v>
      </c>
      <c r="B849" s="116">
        <v>210</v>
      </c>
      <c r="C849" s="116">
        <v>205.2</v>
      </c>
      <c r="D849" s="116">
        <v>202.25</v>
      </c>
      <c r="E849" s="116">
        <v>210</v>
      </c>
      <c r="F849" s="116">
        <v>205.2</v>
      </c>
      <c r="G849">
        <v>198365</v>
      </c>
      <c r="H849" s="116"/>
      <c r="I849" s="116"/>
      <c r="L849" s="170">
        <v>43251</v>
      </c>
      <c r="M849" s="116">
        <v>205.4</v>
      </c>
      <c r="N849" s="116">
        <v>209</v>
      </c>
      <c r="O849" s="116">
        <v>204.6</v>
      </c>
      <c r="P849" s="116">
        <v>207.2</v>
      </c>
      <c r="Q849" s="116">
        <v>205.4</v>
      </c>
      <c r="R849">
        <v>6571778</v>
      </c>
    </row>
    <row r="850" spans="1:18" x14ac:dyDescent="0.25">
      <c r="A850" s="170">
        <v>43252</v>
      </c>
      <c r="B850" s="116">
        <v>209.1</v>
      </c>
      <c r="C850" s="116">
        <v>203.4</v>
      </c>
      <c r="D850" s="116">
        <v>203</v>
      </c>
      <c r="E850" s="116">
        <v>205.2</v>
      </c>
      <c r="F850" s="116">
        <v>203.4</v>
      </c>
      <c r="G850">
        <v>83811</v>
      </c>
      <c r="H850" s="116"/>
      <c r="I850" s="116"/>
      <c r="L850" s="170">
        <v>43252</v>
      </c>
      <c r="M850" s="116">
        <v>203.55</v>
      </c>
      <c r="N850" s="116">
        <v>209.25</v>
      </c>
      <c r="O850" s="116">
        <v>202.7</v>
      </c>
      <c r="P850" s="116">
        <v>205.45</v>
      </c>
      <c r="Q850" s="116">
        <v>203.55</v>
      </c>
      <c r="R850">
        <v>2911603</v>
      </c>
    </row>
    <row r="851" spans="1:18" x14ac:dyDescent="0.25">
      <c r="A851" s="170">
        <v>43255</v>
      </c>
      <c r="B851" s="116">
        <v>207</v>
      </c>
      <c r="C851" s="116">
        <v>201.75</v>
      </c>
      <c r="D851" s="116">
        <v>200.25</v>
      </c>
      <c r="E851" s="116">
        <v>207</v>
      </c>
      <c r="F851" s="116">
        <v>201.75</v>
      </c>
      <c r="G851">
        <v>106953</v>
      </c>
      <c r="H851" s="116"/>
      <c r="I851" s="116"/>
      <c r="L851" s="170">
        <v>43255</v>
      </c>
      <c r="M851" s="116">
        <v>201.45</v>
      </c>
      <c r="N851" s="116">
        <v>205.45</v>
      </c>
      <c r="O851" s="116">
        <v>200.35</v>
      </c>
      <c r="P851" s="116">
        <v>204.5</v>
      </c>
      <c r="Q851" s="116">
        <v>201.45</v>
      </c>
      <c r="R851">
        <v>6313873</v>
      </c>
    </row>
    <row r="852" spans="1:18" x14ac:dyDescent="0.25">
      <c r="A852" s="170">
        <v>43256</v>
      </c>
      <c r="B852" s="116">
        <v>203</v>
      </c>
      <c r="C852" s="116">
        <v>202</v>
      </c>
      <c r="D852" s="116">
        <v>199</v>
      </c>
      <c r="E852" s="116">
        <v>201.6</v>
      </c>
      <c r="F852" s="116">
        <v>202</v>
      </c>
      <c r="G852">
        <v>666924</v>
      </c>
      <c r="H852" s="116"/>
      <c r="I852" s="116"/>
      <c r="L852" s="170">
        <v>43256</v>
      </c>
      <c r="M852" s="116">
        <v>202.05</v>
      </c>
      <c r="N852" s="116">
        <v>203.25</v>
      </c>
      <c r="O852" s="116">
        <v>199.1</v>
      </c>
      <c r="P852" s="116">
        <v>201</v>
      </c>
      <c r="Q852" s="116">
        <v>202.05</v>
      </c>
      <c r="R852">
        <v>2631652</v>
      </c>
    </row>
    <row r="853" spans="1:18" x14ac:dyDescent="0.25">
      <c r="A853" s="170">
        <v>43257</v>
      </c>
      <c r="B853" s="116">
        <v>206.8</v>
      </c>
      <c r="C853" s="116">
        <v>204.05</v>
      </c>
      <c r="D853" s="116">
        <v>200.4</v>
      </c>
      <c r="E853" s="116">
        <v>201.8</v>
      </c>
      <c r="F853" s="116">
        <v>204.05</v>
      </c>
      <c r="G853">
        <v>70451</v>
      </c>
      <c r="H853" s="116"/>
      <c r="I853" s="116"/>
      <c r="L853" s="170">
        <v>43257</v>
      </c>
      <c r="M853" s="116">
        <v>204.15</v>
      </c>
      <c r="N853" s="116">
        <v>206.8</v>
      </c>
      <c r="O853" s="116">
        <v>200.45</v>
      </c>
      <c r="P853" s="116">
        <v>201.5</v>
      </c>
      <c r="Q853" s="116">
        <v>204.15</v>
      </c>
      <c r="R853">
        <v>2884900</v>
      </c>
    </row>
    <row r="854" spans="1:18" x14ac:dyDescent="0.25">
      <c r="A854" s="170">
        <v>43258</v>
      </c>
      <c r="B854" s="116">
        <v>207.25</v>
      </c>
      <c r="C854" s="116">
        <v>205.8</v>
      </c>
      <c r="D854" s="116">
        <v>204.85</v>
      </c>
      <c r="E854" s="116">
        <v>206</v>
      </c>
      <c r="F854" s="116">
        <v>205.8</v>
      </c>
      <c r="G854">
        <v>57598</v>
      </c>
      <c r="H854" s="116"/>
      <c r="I854" s="116"/>
      <c r="L854" s="170">
        <v>43258</v>
      </c>
      <c r="M854" s="116">
        <v>206</v>
      </c>
      <c r="N854" s="116">
        <v>207.3</v>
      </c>
      <c r="O854" s="116">
        <v>204.75</v>
      </c>
      <c r="P854" s="116">
        <v>205</v>
      </c>
      <c r="Q854" s="116">
        <v>206</v>
      </c>
      <c r="R854">
        <v>4036226</v>
      </c>
    </row>
    <row r="855" spans="1:18" x14ac:dyDescent="0.25">
      <c r="A855" s="170">
        <v>43259</v>
      </c>
      <c r="B855" s="116">
        <v>207.5</v>
      </c>
      <c r="C855" s="116">
        <v>205.6</v>
      </c>
      <c r="D855" s="116">
        <v>204.8</v>
      </c>
      <c r="E855" s="116">
        <v>205.9</v>
      </c>
      <c r="F855" s="116">
        <v>205.6</v>
      </c>
      <c r="G855">
        <v>43556</v>
      </c>
      <c r="H855" s="116"/>
      <c r="I855" s="116"/>
      <c r="L855" s="170">
        <v>43259</v>
      </c>
      <c r="M855" s="116">
        <v>206</v>
      </c>
      <c r="N855" s="116">
        <v>207.6</v>
      </c>
      <c r="O855" s="116">
        <v>204.75</v>
      </c>
      <c r="P855" s="116">
        <v>205.3</v>
      </c>
      <c r="Q855" s="116">
        <v>206</v>
      </c>
      <c r="R855">
        <v>2601050</v>
      </c>
    </row>
    <row r="856" spans="1:18" x14ac:dyDescent="0.25">
      <c r="A856" s="170">
        <v>43262</v>
      </c>
      <c r="B856" s="116">
        <v>210.4</v>
      </c>
      <c r="C856" s="116">
        <v>205.9</v>
      </c>
      <c r="D856" s="116">
        <v>205.05</v>
      </c>
      <c r="E856" s="116">
        <v>206.5</v>
      </c>
      <c r="F856" s="116">
        <v>205.9</v>
      </c>
      <c r="G856">
        <v>187905</v>
      </c>
      <c r="H856" s="116"/>
      <c r="I856" s="116"/>
      <c r="L856" s="170">
        <v>43262</v>
      </c>
      <c r="M856" s="116">
        <v>206.05</v>
      </c>
      <c r="N856" s="116">
        <v>210.6</v>
      </c>
      <c r="O856" s="116">
        <v>205.15</v>
      </c>
      <c r="P856" s="116">
        <v>206.95</v>
      </c>
      <c r="Q856" s="116">
        <v>206.05</v>
      </c>
      <c r="R856">
        <v>4756149</v>
      </c>
    </row>
    <row r="857" spans="1:18" x14ac:dyDescent="0.25">
      <c r="A857" s="170">
        <v>43263</v>
      </c>
      <c r="B857" s="116">
        <v>207.7</v>
      </c>
      <c r="C857" s="116">
        <v>206.9</v>
      </c>
      <c r="D857" s="116">
        <v>205</v>
      </c>
      <c r="E857" s="116">
        <v>206</v>
      </c>
      <c r="F857" s="116">
        <v>206.9</v>
      </c>
      <c r="G857">
        <v>82116</v>
      </c>
      <c r="H857" s="116"/>
      <c r="I857" s="116"/>
      <c r="L857" s="170">
        <v>43263</v>
      </c>
      <c r="M857" s="116">
        <v>206.9</v>
      </c>
      <c r="N857" s="116">
        <v>207.5</v>
      </c>
      <c r="O857" s="116">
        <v>204.95</v>
      </c>
      <c r="P857" s="116">
        <v>205.9</v>
      </c>
      <c r="Q857" s="116">
        <v>206.9</v>
      </c>
      <c r="R857">
        <v>2857333</v>
      </c>
    </row>
    <row r="858" spans="1:18" x14ac:dyDescent="0.25">
      <c r="A858" s="170">
        <v>43264</v>
      </c>
      <c r="B858" s="116">
        <v>211.3</v>
      </c>
      <c r="C858" s="116">
        <v>209.45</v>
      </c>
      <c r="D858" s="116">
        <v>205.25</v>
      </c>
      <c r="E858" s="116">
        <v>209</v>
      </c>
      <c r="F858" s="116">
        <v>209.45</v>
      </c>
      <c r="G858">
        <v>315201</v>
      </c>
      <c r="H858" s="116"/>
      <c r="I858" s="116"/>
      <c r="L858" s="170">
        <v>43264</v>
      </c>
      <c r="M858" s="116">
        <v>210</v>
      </c>
      <c r="N858" s="116">
        <v>211.6</v>
      </c>
      <c r="O858" s="116">
        <v>206.2</v>
      </c>
      <c r="P858" s="116">
        <v>207</v>
      </c>
      <c r="Q858" s="116">
        <v>210</v>
      </c>
      <c r="R858">
        <v>4884946</v>
      </c>
    </row>
    <row r="859" spans="1:18" x14ac:dyDescent="0.25">
      <c r="A859" s="170">
        <v>43265</v>
      </c>
      <c r="B859" s="116">
        <v>210.35</v>
      </c>
      <c r="C859" s="116">
        <v>205.95</v>
      </c>
      <c r="D859" s="116">
        <v>204.5</v>
      </c>
      <c r="E859" s="116">
        <v>209.9</v>
      </c>
      <c r="F859" s="116">
        <v>205.95</v>
      </c>
      <c r="G859">
        <v>1083391</v>
      </c>
      <c r="H859" s="116"/>
      <c r="I859" s="116"/>
      <c r="L859" s="170">
        <v>43265</v>
      </c>
      <c r="M859" s="116">
        <v>206.05</v>
      </c>
      <c r="N859" s="116">
        <v>210.7</v>
      </c>
      <c r="O859" s="116">
        <v>204.8</v>
      </c>
      <c r="P859" s="116">
        <v>210.7</v>
      </c>
      <c r="Q859" s="116">
        <v>206.05</v>
      </c>
      <c r="R859">
        <v>4024884</v>
      </c>
    </row>
    <row r="860" spans="1:18" x14ac:dyDescent="0.25">
      <c r="A860" s="170">
        <v>43266</v>
      </c>
      <c r="B860" s="116">
        <v>207.7</v>
      </c>
      <c r="C860" s="116">
        <v>204.9</v>
      </c>
      <c r="D860" s="116">
        <v>202.05</v>
      </c>
      <c r="E860" s="116">
        <v>205</v>
      </c>
      <c r="F860" s="116">
        <v>204.9</v>
      </c>
      <c r="G860">
        <v>59116</v>
      </c>
      <c r="H860" s="116"/>
      <c r="I860" s="116"/>
      <c r="L860" s="170">
        <v>43266</v>
      </c>
      <c r="M860" s="116">
        <v>204.95</v>
      </c>
      <c r="N860" s="116">
        <v>207.65</v>
      </c>
      <c r="O860" s="116">
        <v>202</v>
      </c>
      <c r="P860" s="116">
        <v>204.5</v>
      </c>
      <c r="Q860" s="116">
        <v>204.95</v>
      </c>
      <c r="R860">
        <v>6832521</v>
      </c>
    </row>
    <row r="861" spans="1:18" x14ac:dyDescent="0.25">
      <c r="A861" s="170">
        <v>43269</v>
      </c>
      <c r="B861" s="116">
        <v>205.5</v>
      </c>
      <c r="C861" s="116">
        <v>203.4</v>
      </c>
      <c r="D861" s="116">
        <v>202</v>
      </c>
      <c r="E861" s="116">
        <v>204.3</v>
      </c>
      <c r="F861" s="116">
        <v>203.4</v>
      </c>
      <c r="G861">
        <v>50400</v>
      </c>
      <c r="H861" s="116"/>
      <c r="I861" s="116"/>
      <c r="L861" s="170">
        <v>43269</v>
      </c>
      <c r="M861" s="116">
        <v>202.9</v>
      </c>
      <c r="N861" s="116">
        <v>205.9</v>
      </c>
      <c r="O861" s="116">
        <v>202.5</v>
      </c>
      <c r="P861" s="116">
        <v>204.5</v>
      </c>
      <c r="Q861" s="116">
        <v>202.9</v>
      </c>
      <c r="R861">
        <v>803881</v>
      </c>
    </row>
    <row r="862" spans="1:18" x14ac:dyDescent="0.25">
      <c r="A862" s="170">
        <v>43270</v>
      </c>
      <c r="B862" s="116">
        <v>203.85</v>
      </c>
      <c r="C862" s="116">
        <v>200</v>
      </c>
      <c r="D862" s="116">
        <v>199</v>
      </c>
      <c r="E862" s="116">
        <v>203.7</v>
      </c>
      <c r="F862" s="116">
        <v>200</v>
      </c>
      <c r="G862">
        <v>1074875</v>
      </c>
      <c r="H862" s="116"/>
      <c r="I862" s="116"/>
      <c r="L862" s="170">
        <v>43270</v>
      </c>
      <c r="M862" s="116">
        <v>200.25</v>
      </c>
      <c r="N862" s="116">
        <v>203.25</v>
      </c>
      <c r="O862" s="116">
        <v>198.85</v>
      </c>
      <c r="P862" s="116">
        <v>202.25</v>
      </c>
      <c r="Q862" s="116">
        <v>200.25</v>
      </c>
      <c r="R862">
        <v>1605387</v>
      </c>
    </row>
    <row r="863" spans="1:18" x14ac:dyDescent="0.25">
      <c r="A863" s="170">
        <v>43271</v>
      </c>
      <c r="B863" s="116">
        <v>202.05</v>
      </c>
      <c r="C863" s="116">
        <v>197.4</v>
      </c>
      <c r="D863" s="116">
        <v>196.45</v>
      </c>
      <c r="E863" s="116">
        <v>201.3</v>
      </c>
      <c r="F863" s="116">
        <v>197.4</v>
      </c>
      <c r="G863">
        <v>3808337</v>
      </c>
      <c r="H863" s="116"/>
      <c r="I863" s="116"/>
      <c r="L863" s="170">
        <v>43271</v>
      </c>
      <c r="M863" s="116">
        <v>197.75</v>
      </c>
      <c r="N863" s="116">
        <v>201.8</v>
      </c>
      <c r="O863" s="116">
        <v>196.55</v>
      </c>
      <c r="P863" s="116">
        <v>200.95</v>
      </c>
      <c r="Q863" s="116">
        <v>197.75</v>
      </c>
      <c r="R863">
        <v>1716864</v>
      </c>
    </row>
    <row r="864" spans="1:18" x14ac:dyDescent="0.25">
      <c r="A864" s="170">
        <v>43272</v>
      </c>
      <c r="B864" s="116">
        <v>198.15</v>
      </c>
      <c r="C864" s="116">
        <v>197.3</v>
      </c>
      <c r="D864" s="116">
        <v>195.75</v>
      </c>
      <c r="E864" s="116">
        <v>198.05</v>
      </c>
      <c r="F864" s="116">
        <v>197.3</v>
      </c>
      <c r="G864">
        <v>1564308</v>
      </c>
      <c r="H864" s="116"/>
      <c r="I864" s="116"/>
      <c r="L864" s="170">
        <v>43272</v>
      </c>
      <c r="M864" s="116">
        <v>197</v>
      </c>
      <c r="N864" s="116">
        <v>198.25</v>
      </c>
      <c r="O864" s="116">
        <v>195.55</v>
      </c>
      <c r="P864" s="116">
        <v>198</v>
      </c>
      <c r="Q864" s="116">
        <v>197</v>
      </c>
      <c r="R864">
        <v>2532830</v>
      </c>
    </row>
    <row r="865" spans="1:18" x14ac:dyDescent="0.25">
      <c r="A865" s="170">
        <v>43273</v>
      </c>
      <c r="B865" s="116">
        <v>205.85</v>
      </c>
      <c r="C865" s="116">
        <v>204.75</v>
      </c>
      <c r="D865" s="116">
        <v>195.65</v>
      </c>
      <c r="E865" s="116">
        <v>196.4</v>
      </c>
      <c r="F865" s="116">
        <v>204.75</v>
      </c>
      <c r="G865">
        <v>103642</v>
      </c>
      <c r="H865" s="116"/>
      <c r="I865" s="116"/>
      <c r="L865" s="170">
        <v>43273</v>
      </c>
      <c r="M865" s="116">
        <v>204.95</v>
      </c>
      <c r="N865" s="116">
        <v>206</v>
      </c>
      <c r="O865" s="116">
        <v>195.65</v>
      </c>
      <c r="P865" s="116">
        <v>197.1</v>
      </c>
      <c r="Q865" s="116">
        <v>204.95</v>
      </c>
      <c r="R865">
        <v>3167408</v>
      </c>
    </row>
    <row r="866" spans="1:18" x14ac:dyDescent="0.25">
      <c r="A866" s="170">
        <v>43276</v>
      </c>
      <c r="B866" s="116">
        <v>209.4</v>
      </c>
      <c r="C866" s="116">
        <v>206.8</v>
      </c>
      <c r="D866" s="116">
        <v>204.75</v>
      </c>
      <c r="E866" s="116">
        <v>204.75</v>
      </c>
      <c r="F866" s="116">
        <v>206.8</v>
      </c>
      <c r="G866">
        <v>910831</v>
      </c>
      <c r="H866" s="116"/>
      <c r="I866" s="116"/>
      <c r="L866" s="170">
        <v>43276</v>
      </c>
      <c r="M866" s="116">
        <v>206.8</v>
      </c>
      <c r="N866" s="116">
        <v>209</v>
      </c>
      <c r="O866" s="116">
        <v>204.8</v>
      </c>
      <c r="P866" s="116">
        <v>205</v>
      </c>
      <c r="Q866" s="116">
        <v>206.8</v>
      </c>
      <c r="R866">
        <v>3363586</v>
      </c>
    </row>
    <row r="867" spans="1:18" x14ac:dyDescent="0.25">
      <c r="A867" s="170">
        <v>43277</v>
      </c>
      <c r="B867" s="116">
        <v>214.6</v>
      </c>
      <c r="C867" s="116">
        <v>212.15</v>
      </c>
      <c r="D867" s="116">
        <v>206.8</v>
      </c>
      <c r="E867" s="116">
        <v>206.8</v>
      </c>
      <c r="F867" s="116">
        <v>212.15</v>
      </c>
      <c r="G867">
        <v>741692</v>
      </c>
      <c r="H867" s="116"/>
      <c r="I867" s="116"/>
      <c r="L867" s="170">
        <v>43277</v>
      </c>
      <c r="M867" s="116">
        <v>211.95</v>
      </c>
      <c r="N867" s="116">
        <v>215.15</v>
      </c>
      <c r="O867" s="116">
        <v>206.65</v>
      </c>
      <c r="P867" s="116">
        <v>207</v>
      </c>
      <c r="Q867" s="116">
        <v>211.95</v>
      </c>
      <c r="R867">
        <v>7976623</v>
      </c>
    </row>
    <row r="868" spans="1:18" x14ac:dyDescent="0.25">
      <c r="A868" s="170">
        <v>43278</v>
      </c>
      <c r="B868" s="116">
        <v>215.4</v>
      </c>
      <c r="C868" s="116">
        <v>205.3</v>
      </c>
      <c r="D868" s="116">
        <v>204.25</v>
      </c>
      <c r="E868" s="116">
        <v>215.4</v>
      </c>
      <c r="F868" s="116">
        <v>205.3</v>
      </c>
      <c r="G868">
        <v>391455</v>
      </c>
      <c r="H868" s="116"/>
      <c r="I868" s="116"/>
      <c r="L868" s="170">
        <v>43278</v>
      </c>
      <c r="M868" s="116">
        <v>205.3</v>
      </c>
      <c r="N868" s="116">
        <v>213.4</v>
      </c>
      <c r="O868" s="116">
        <v>204.05</v>
      </c>
      <c r="P868" s="116">
        <v>213.4</v>
      </c>
      <c r="Q868" s="116">
        <v>205.3</v>
      </c>
      <c r="R868">
        <v>3049747</v>
      </c>
    </row>
    <row r="869" spans="1:18" x14ac:dyDescent="0.25">
      <c r="A869" s="170">
        <v>43279</v>
      </c>
      <c r="B869" s="116">
        <v>208.2</v>
      </c>
      <c r="C869" s="116">
        <v>201.4</v>
      </c>
      <c r="D869" s="116">
        <v>200</v>
      </c>
      <c r="E869" s="116">
        <v>204.9</v>
      </c>
      <c r="F869" s="116">
        <v>201.4</v>
      </c>
      <c r="G869">
        <v>81535</v>
      </c>
      <c r="H869" s="116"/>
      <c r="I869" s="116"/>
      <c r="L869" s="170">
        <v>43279</v>
      </c>
      <c r="M869" s="116">
        <v>200.9</v>
      </c>
      <c r="N869" s="116">
        <v>208.25</v>
      </c>
      <c r="O869" s="116">
        <v>200.1</v>
      </c>
      <c r="P869" s="116">
        <v>205.55</v>
      </c>
      <c r="Q869" s="116">
        <v>200.9</v>
      </c>
      <c r="R869">
        <v>3785931</v>
      </c>
    </row>
    <row r="870" spans="1:18" x14ac:dyDescent="0.25">
      <c r="A870" s="170">
        <v>43280</v>
      </c>
      <c r="B870" s="116">
        <v>208</v>
      </c>
      <c r="C870" s="116">
        <v>207.45</v>
      </c>
      <c r="D870" s="116">
        <v>202.3</v>
      </c>
      <c r="E870" s="116">
        <v>203</v>
      </c>
      <c r="F870" s="116">
        <v>207.45</v>
      </c>
      <c r="G870">
        <v>150749</v>
      </c>
      <c r="H870" s="116"/>
      <c r="I870" s="116"/>
      <c r="L870" s="170">
        <v>43280</v>
      </c>
      <c r="M870" s="116">
        <v>207.45</v>
      </c>
      <c r="N870" s="116">
        <v>208</v>
      </c>
      <c r="O870" s="116">
        <v>201.7</v>
      </c>
      <c r="P870" s="116">
        <v>201.9</v>
      </c>
      <c r="Q870" s="116">
        <v>207.45</v>
      </c>
      <c r="R870">
        <v>3749070</v>
      </c>
    </row>
    <row r="871" spans="1:18" x14ac:dyDescent="0.25">
      <c r="A871" s="170">
        <v>43283</v>
      </c>
      <c r="B871" s="116">
        <v>208</v>
      </c>
      <c r="C871" s="116">
        <v>200.3</v>
      </c>
      <c r="D871" s="116">
        <v>198.55</v>
      </c>
      <c r="E871" s="116">
        <v>208</v>
      </c>
      <c r="F871" s="116">
        <v>200.3</v>
      </c>
      <c r="G871">
        <v>693194</v>
      </c>
      <c r="H871" s="116"/>
      <c r="I871" s="116"/>
      <c r="L871" s="170">
        <v>43283</v>
      </c>
      <c r="M871" s="116">
        <v>199.9</v>
      </c>
      <c r="N871" s="116">
        <v>207.95</v>
      </c>
      <c r="O871" s="116">
        <v>198.25</v>
      </c>
      <c r="P871" s="116">
        <v>207.8</v>
      </c>
      <c r="Q871" s="116">
        <v>199.9</v>
      </c>
      <c r="R871">
        <v>3041228</v>
      </c>
    </row>
    <row r="872" spans="1:18" x14ac:dyDescent="0.25">
      <c r="A872" s="170">
        <v>43284</v>
      </c>
      <c r="B872" s="116">
        <v>202.4</v>
      </c>
      <c r="C872" s="116">
        <v>200.85</v>
      </c>
      <c r="D872" s="116">
        <v>198.1</v>
      </c>
      <c r="E872" s="116">
        <v>201.6</v>
      </c>
      <c r="F872" s="116">
        <v>200.85</v>
      </c>
      <c r="G872">
        <v>69025</v>
      </c>
      <c r="H872" s="116"/>
      <c r="I872" s="116"/>
      <c r="L872" s="170">
        <v>43284</v>
      </c>
      <c r="M872" s="116">
        <v>200.9</v>
      </c>
      <c r="N872" s="116">
        <v>202.3</v>
      </c>
      <c r="O872" s="116">
        <v>197.85</v>
      </c>
      <c r="P872" s="116">
        <v>200.35</v>
      </c>
      <c r="Q872" s="116">
        <v>200.9</v>
      </c>
      <c r="R872">
        <v>4134828</v>
      </c>
    </row>
    <row r="873" spans="1:18" x14ac:dyDescent="0.25">
      <c r="A873" s="170">
        <v>43285</v>
      </c>
      <c r="B873" s="116">
        <v>204.3</v>
      </c>
      <c r="C873" s="116">
        <v>201.15</v>
      </c>
      <c r="D873" s="116">
        <v>200</v>
      </c>
      <c r="E873" s="116">
        <v>201.6</v>
      </c>
      <c r="F873" s="116">
        <v>201.15</v>
      </c>
      <c r="G873">
        <v>109444</v>
      </c>
      <c r="H873" s="116"/>
      <c r="I873" s="116"/>
      <c r="L873" s="170">
        <v>43285</v>
      </c>
      <c r="M873" s="116">
        <v>201</v>
      </c>
      <c r="N873" s="116">
        <v>204.3</v>
      </c>
      <c r="O873" s="116">
        <v>199.7</v>
      </c>
      <c r="P873" s="116">
        <v>201.4</v>
      </c>
      <c r="Q873" s="116">
        <v>201</v>
      </c>
      <c r="R873">
        <v>2262034</v>
      </c>
    </row>
    <row r="874" spans="1:18" x14ac:dyDescent="0.25">
      <c r="A874" s="170">
        <v>43286</v>
      </c>
      <c r="B874" s="116">
        <v>210</v>
      </c>
      <c r="C874" s="116">
        <v>207.3</v>
      </c>
      <c r="D874" s="116">
        <v>201.85</v>
      </c>
      <c r="E874" s="116">
        <v>202.1</v>
      </c>
      <c r="F874" s="116">
        <v>207.3</v>
      </c>
      <c r="G874">
        <v>808054</v>
      </c>
      <c r="H874" s="116"/>
      <c r="I874" s="116"/>
      <c r="L874" s="170">
        <v>43286</v>
      </c>
      <c r="M874" s="116">
        <v>207.45</v>
      </c>
      <c r="N874" s="116">
        <v>208.85</v>
      </c>
      <c r="O874" s="116">
        <v>201.5</v>
      </c>
      <c r="P874" s="116">
        <v>201.8</v>
      </c>
      <c r="Q874" s="116">
        <v>207.45</v>
      </c>
      <c r="R874">
        <v>4657759</v>
      </c>
    </row>
    <row r="875" spans="1:18" x14ac:dyDescent="0.25">
      <c r="A875" s="170">
        <v>43287</v>
      </c>
      <c r="B875" s="116">
        <v>212.2</v>
      </c>
      <c r="C875" s="116">
        <v>207.35</v>
      </c>
      <c r="D875" s="116">
        <v>206.6</v>
      </c>
      <c r="E875" s="116">
        <v>207.3</v>
      </c>
      <c r="F875" s="116">
        <v>207.35</v>
      </c>
      <c r="G875">
        <v>123969</v>
      </c>
      <c r="H875" s="116"/>
      <c r="I875" s="116"/>
      <c r="L875" s="170">
        <v>43287</v>
      </c>
      <c r="M875" s="116">
        <v>207.55</v>
      </c>
      <c r="N875" s="116">
        <v>212.3</v>
      </c>
      <c r="O875" s="116">
        <v>206.7</v>
      </c>
      <c r="P875" s="116">
        <v>207.75</v>
      </c>
      <c r="Q875" s="116">
        <v>207.55</v>
      </c>
      <c r="R875">
        <v>3029745</v>
      </c>
    </row>
    <row r="876" spans="1:18" x14ac:dyDescent="0.25">
      <c r="A876" s="170">
        <v>43290</v>
      </c>
      <c r="B876" s="116">
        <v>211.2</v>
      </c>
      <c r="C876" s="116">
        <v>206.4</v>
      </c>
      <c r="D876" s="116">
        <v>205.65</v>
      </c>
      <c r="E876" s="116">
        <v>211.2</v>
      </c>
      <c r="F876" s="116">
        <v>206.4</v>
      </c>
      <c r="G876">
        <v>96635</v>
      </c>
      <c r="H876" s="116"/>
      <c r="I876" s="116"/>
      <c r="L876" s="170">
        <v>43290</v>
      </c>
      <c r="M876" s="116">
        <v>206.15</v>
      </c>
      <c r="N876" s="116">
        <v>210</v>
      </c>
      <c r="O876" s="116">
        <v>205.4</v>
      </c>
      <c r="P876" s="116">
        <v>209.05</v>
      </c>
      <c r="Q876" s="116">
        <v>206.15</v>
      </c>
      <c r="R876">
        <v>2007632</v>
      </c>
    </row>
    <row r="877" spans="1:18" x14ac:dyDescent="0.25">
      <c r="A877" s="170">
        <v>43291</v>
      </c>
      <c r="B877" s="116">
        <v>208.6</v>
      </c>
      <c r="C877" s="116">
        <v>204.1</v>
      </c>
      <c r="D877" s="116">
        <v>203.85</v>
      </c>
      <c r="E877" s="116">
        <v>207.35</v>
      </c>
      <c r="F877" s="116">
        <v>204.1</v>
      </c>
      <c r="G877">
        <v>300420</v>
      </c>
      <c r="H877" s="116"/>
      <c r="I877" s="116"/>
      <c r="L877" s="170">
        <v>43291</v>
      </c>
      <c r="M877" s="116">
        <v>204.35</v>
      </c>
      <c r="N877" s="116">
        <v>208.9</v>
      </c>
      <c r="O877" s="116">
        <v>203.55</v>
      </c>
      <c r="P877" s="116">
        <v>208.9</v>
      </c>
      <c r="Q877" s="116">
        <v>204.35</v>
      </c>
      <c r="R877">
        <v>3550279</v>
      </c>
    </row>
    <row r="878" spans="1:18" x14ac:dyDescent="0.25">
      <c r="A878" s="170">
        <v>43292</v>
      </c>
      <c r="B878" s="116">
        <v>205.2</v>
      </c>
      <c r="C878" s="116">
        <v>202.45</v>
      </c>
      <c r="D878" s="116">
        <v>201.6</v>
      </c>
      <c r="E878" s="116">
        <v>205</v>
      </c>
      <c r="F878" s="116">
        <v>202.45</v>
      </c>
      <c r="G878">
        <v>96302</v>
      </c>
      <c r="H878" s="116"/>
      <c r="I878" s="116"/>
      <c r="L878" s="170">
        <v>43292</v>
      </c>
      <c r="M878" s="116">
        <v>202.55</v>
      </c>
      <c r="N878" s="116">
        <v>205.1</v>
      </c>
      <c r="O878" s="116">
        <v>201.2</v>
      </c>
      <c r="P878" s="116">
        <v>204.6</v>
      </c>
      <c r="Q878" s="116">
        <v>202.55</v>
      </c>
      <c r="R878">
        <v>2524353</v>
      </c>
    </row>
    <row r="879" spans="1:18" x14ac:dyDescent="0.25">
      <c r="A879" s="170">
        <v>43293</v>
      </c>
      <c r="B879" s="116">
        <v>206.25</v>
      </c>
      <c r="C879" s="116">
        <v>202.05</v>
      </c>
      <c r="D879" s="116">
        <v>201.1</v>
      </c>
      <c r="E879" s="116">
        <v>203.55</v>
      </c>
      <c r="F879" s="116">
        <v>202.05</v>
      </c>
      <c r="G879">
        <v>133083</v>
      </c>
      <c r="H879" s="116"/>
      <c r="I879" s="116"/>
      <c r="L879" s="170">
        <v>43293</v>
      </c>
      <c r="M879" s="116">
        <v>201.7</v>
      </c>
      <c r="N879" s="116">
        <v>206.2</v>
      </c>
      <c r="O879" s="116">
        <v>201.25</v>
      </c>
      <c r="P879" s="116">
        <v>203</v>
      </c>
      <c r="Q879" s="116">
        <v>201.7</v>
      </c>
      <c r="R879">
        <v>4308979</v>
      </c>
    </row>
    <row r="880" spans="1:18" x14ac:dyDescent="0.25">
      <c r="A880" s="170">
        <v>43294</v>
      </c>
      <c r="B880" s="116">
        <v>203.1</v>
      </c>
      <c r="C880" s="116">
        <v>197.15</v>
      </c>
      <c r="D880" s="116">
        <v>196.5</v>
      </c>
      <c r="E880" s="116">
        <v>202.45</v>
      </c>
      <c r="F880" s="116">
        <v>197.15</v>
      </c>
      <c r="G880">
        <v>144857</v>
      </c>
      <c r="H880" s="116"/>
      <c r="I880" s="116"/>
      <c r="L880" s="170">
        <v>43294</v>
      </c>
      <c r="M880" s="116">
        <v>196.9</v>
      </c>
      <c r="N880" s="116">
        <v>203.5</v>
      </c>
      <c r="O880" s="116">
        <v>196.3</v>
      </c>
      <c r="P880" s="116">
        <v>202.9</v>
      </c>
      <c r="Q880" s="116">
        <v>196.9</v>
      </c>
      <c r="R880">
        <v>2220084</v>
      </c>
    </row>
    <row r="881" spans="1:18" x14ac:dyDescent="0.25">
      <c r="A881" s="170">
        <v>43297</v>
      </c>
      <c r="B881" s="116">
        <v>197.95</v>
      </c>
      <c r="C881" s="116">
        <v>190.55</v>
      </c>
      <c r="D881" s="116">
        <v>189.7</v>
      </c>
      <c r="E881" s="116">
        <v>197.9</v>
      </c>
      <c r="F881" s="116">
        <v>190.55</v>
      </c>
      <c r="G881">
        <v>149850</v>
      </c>
      <c r="H881" s="116"/>
      <c r="I881" s="116"/>
      <c r="L881" s="170">
        <v>43297</v>
      </c>
      <c r="M881" s="116">
        <v>190.55</v>
      </c>
      <c r="N881" s="116">
        <v>197.95</v>
      </c>
      <c r="O881" s="116">
        <v>189.55</v>
      </c>
      <c r="P881" s="116">
        <v>196.55</v>
      </c>
      <c r="Q881" s="116">
        <v>190.55</v>
      </c>
      <c r="R881">
        <v>1994603</v>
      </c>
    </row>
    <row r="882" spans="1:18" x14ac:dyDescent="0.25">
      <c r="A882" s="170">
        <v>43298</v>
      </c>
      <c r="B882" s="116">
        <v>196.4</v>
      </c>
      <c r="C882" s="116">
        <v>195.65</v>
      </c>
      <c r="D882" s="116">
        <v>189.15</v>
      </c>
      <c r="E882" s="116">
        <v>190.7</v>
      </c>
      <c r="F882" s="116">
        <v>195.65</v>
      </c>
      <c r="G882">
        <v>99697</v>
      </c>
      <c r="H882" s="116"/>
      <c r="I882" s="116"/>
      <c r="L882" s="170">
        <v>43298</v>
      </c>
      <c r="M882" s="116">
        <v>195.6</v>
      </c>
      <c r="N882" s="116">
        <v>195.9</v>
      </c>
      <c r="O882" s="116">
        <v>189</v>
      </c>
      <c r="P882" s="116">
        <v>191</v>
      </c>
      <c r="Q882" s="116">
        <v>195.6</v>
      </c>
      <c r="R882">
        <v>1248112</v>
      </c>
    </row>
    <row r="883" spans="1:18" x14ac:dyDescent="0.25">
      <c r="A883" s="170">
        <v>43299</v>
      </c>
      <c r="B883" s="116">
        <v>198.25</v>
      </c>
      <c r="C883" s="116">
        <v>195.75</v>
      </c>
      <c r="D883" s="116">
        <v>193</v>
      </c>
      <c r="E883" s="116">
        <v>196.9</v>
      </c>
      <c r="F883" s="116">
        <v>195.75</v>
      </c>
      <c r="G883">
        <v>198222</v>
      </c>
      <c r="H883" s="116"/>
      <c r="I883" s="116"/>
      <c r="L883" s="170">
        <v>43299</v>
      </c>
      <c r="M883" s="116">
        <v>195.65</v>
      </c>
      <c r="N883" s="116">
        <v>198.6</v>
      </c>
      <c r="O883" s="116">
        <v>192.95</v>
      </c>
      <c r="P883" s="116">
        <v>196.45</v>
      </c>
      <c r="Q883" s="116">
        <v>195.65</v>
      </c>
      <c r="R883">
        <v>1675322</v>
      </c>
    </row>
    <row r="884" spans="1:18" x14ac:dyDescent="0.25">
      <c r="A884" s="170">
        <v>43300</v>
      </c>
      <c r="B884" s="116">
        <v>195.95</v>
      </c>
      <c r="C884" s="116">
        <v>193.05</v>
      </c>
      <c r="D884" s="116">
        <v>191.5</v>
      </c>
      <c r="E884" s="116">
        <v>195.15</v>
      </c>
      <c r="F884" s="116">
        <v>193.05</v>
      </c>
      <c r="G884">
        <v>57615</v>
      </c>
      <c r="H884" s="116"/>
      <c r="I884" s="116"/>
      <c r="L884" s="170">
        <v>43300</v>
      </c>
      <c r="M884" s="116">
        <v>193.35</v>
      </c>
      <c r="N884" s="116">
        <v>196</v>
      </c>
      <c r="O884" s="116">
        <v>191.4</v>
      </c>
      <c r="P884" s="116">
        <v>195.45</v>
      </c>
      <c r="Q884" s="116">
        <v>193.35</v>
      </c>
      <c r="R884">
        <v>1596782</v>
      </c>
    </row>
    <row r="885" spans="1:18" x14ac:dyDescent="0.25">
      <c r="A885" s="170">
        <v>43301</v>
      </c>
      <c r="B885" s="116">
        <v>195.05</v>
      </c>
      <c r="C885" s="116">
        <v>194.25</v>
      </c>
      <c r="D885" s="116">
        <v>192.2</v>
      </c>
      <c r="E885" s="116">
        <v>192.2</v>
      </c>
      <c r="F885" s="116">
        <v>194.25</v>
      </c>
      <c r="G885">
        <v>50881</v>
      </c>
      <c r="H885" s="116"/>
      <c r="I885" s="116"/>
      <c r="L885" s="170">
        <v>43301</v>
      </c>
      <c r="M885" s="116">
        <v>194.3</v>
      </c>
      <c r="N885" s="116">
        <v>195.45</v>
      </c>
      <c r="O885" s="116">
        <v>191.7</v>
      </c>
      <c r="P885" s="116">
        <v>193.4</v>
      </c>
      <c r="Q885" s="116">
        <v>194.3</v>
      </c>
      <c r="R885">
        <v>1105960</v>
      </c>
    </row>
    <row r="886" spans="1:18" x14ac:dyDescent="0.25">
      <c r="A886" s="170">
        <v>43304</v>
      </c>
      <c r="B886" s="116">
        <v>200.2</v>
      </c>
      <c r="C886" s="116">
        <v>197.95</v>
      </c>
      <c r="D886" s="116">
        <v>193.2</v>
      </c>
      <c r="E886" s="116">
        <v>196</v>
      </c>
      <c r="F886" s="116">
        <v>197.95</v>
      </c>
      <c r="G886">
        <v>541991</v>
      </c>
      <c r="H886" s="116"/>
      <c r="I886" s="116"/>
      <c r="L886" s="170">
        <v>43304</v>
      </c>
      <c r="M886" s="116">
        <v>198</v>
      </c>
      <c r="N886" s="116">
        <v>200.65</v>
      </c>
      <c r="O886" s="116">
        <v>194.15</v>
      </c>
      <c r="P886" s="116">
        <v>194.8</v>
      </c>
      <c r="Q886" s="116">
        <v>198</v>
      </c>
      <c r="R886">
        <v>3302774</v>
      </c>
    </row>
    <row r="887" spans="1:18" x14ac:dyDescent="0.25">
      <c r="A887" s="170">
        <v>43305</v>
      </c>
      <c r="B887" s="116">
        <v>216.45</v>
      </c>
      <c r="C887" s="116">
        <v>212.7</v>
      </c>
      <c r="D887" s="116">
        <v>202</v>
      </c>
      <c r="E887" s="116">
        <v>202</v>
      </c>
      <c r="F887" s="116">
        <v>212.7</v>
      </c>
      <c r="G887">
        <v>1221633</v>
      </c>
      <c r="H887" s="116"/>
      <c r="I887" s="116"/>
      <c r="L887" s="170">
        <v>43305</v>
      </c>
      <c r="M887" s="116">
        <v>212.65</v>
      </c>
      <c r="N887" s="116">
        <v>216.8</v>
      </c>
      <c r="O887" s="116">
        <v>202.5</v>
      </c>
      <c r="P887" s="116">
        <v>202.5</v>
      </c>
      <c r="Q887" s="116">
        <v>212.65</v>
      </c>
      <c r="R887">
        <v>11675077</v>
      </c>
    </row>
    <row r="888" spans="1:18" x14ac:dyDescent="0.25">
      <c r="A888" s="170">
        <v>43306</v>
      </c>
      <c r="B888" s="116">
        <v>216.6</v>
      </c>
      <c r="C888" s="116">
        <v>209.5</v>
      </c>
      <c r="D888" s="116">
        <v>206.25</v>
      </c>
      <c r="E888" s="116">
        <v>215</v>
      </c>
      <c r="F888" s="116">
        <v>209.5</v>
      </c>
      <c r="G888">
        <v>720470</v>
      </c>
      <c r="H888" s="116"/>
      <c r="I888" s="116"/>
      <c r="L888" s="170">
        <v>43306</v>
      </c>
      <c r="M888" s="116">
        <v>208.45</v>
      </c>
      <c r="N888" s="116">
        <v>216.8</v>
      </c>
      <c r="O888" s="116">
        <v>206.6</v>
      </c>
      <c r="P888" s="116">
        <v>214.25</v>
      </c>
      <c r="Q888" s="116">
        <v>208.45</v>
      </c>
      <c r="R888">
        <v>7567233</v>
      </c>
    </row>
    <row r="889" spans="1:18" x14ac:dyDescent="0.25">
      <c r="A889" s="170">
        <v>43307</v>
      </c>
      <c r="B889" s="116">
        <v>225.5</v>
      </c>
      <c r="C889" s="116">
        <v>223.8</v>
      </c>
      <c r="D889" s="116">
        <v>213.5</v>
      </c>
      <c r="E889" s="116">
        <v>214.5</v>
      </c>
      <c r="F889" s="116">
        <v>223.8</v>
      </c>
      <c r="G889">
        <v>1394481</v>
      </c>
      <c r="H889" s="116"/>
      <c r="I889" s="116"/>
      <c r="L889" s="170">
        <v>43307</v>
      </c>
      <c r="M889" s="116">
        <v>223.5</v>
      </c>
      <c r="N889" s="116">
        <v>225.75</v>
      </c>
      <c r="O889" s="116">
        <v>214</v>
      </c>
      <c r="P889" s="116">
        <v>214</v>
      </c>
      <c r="Q889" s="116">
        <v>223.5</v>
      </c>
      <c r="R889">
        <v>18529989</v>
      </c>
    </row>
    <row r="890" spans="1:18" x14ac:dyDescent="0.25">
      <c r="A890" s="170">
        <v>43308</v>
      </c>
      <c r="B890" s="116">
        <v>227.5</v>
      </c>
      <c r="C890" s="116">
        <v>224.85</v>
      </c>
      <c r="D890" s="116">
        <v>222.85</v>
      </c>
      <c r="E890" s="116">
        <v>224.8</v>
      </c>
      <c r="F890" s="116">
        <v>224.85</v>
      </c>
      <c r="G890">
        <v>2782712</v>
      </c>
      <c r="H890" s="116"/>
      <c r="I890" s="116"/>
      <c r="L890" s="170">
        <v>43308</v>
      </c>
      <c r="M890" s="116">
        <v>225.1</v>
      </c>
      <c r="N890" s="116">
        <v>227.5</v>
      </c>
      <c r="O890" s="116">
        <v>222.65</v>
      </c>
      <c r="P890" s="116">
        <v>223.25</v>
      </c>
      <c r="Q890" s="116">
        <v>225.1</v>
      </c>
      <c r="R890">
        <v>4962191</v>
      </c>
    </row>
    <row r="891" spans="1:18" x14ac:dyDescent="0.25">
      <c r="A891" s="170">
        <v>43311</v>
      </c>
      <c r="B891" s="116">
        <v>228.3</v>
      </c>
      <c r="C891" s="116">
        <v>226.85</v>
      </c>
      <c r="D891" s="116">
        <v>223</v>
      </c>
      <c r="E891" s="116">
        <v>227.45</v>
      </c>
      <c r="F891" s="116">
        <v>226.85</v>
      </c>
      <c r="G891">
        <v>118860</v>
      </c>
      <c r="H891" s="116"/>
      <c r="I891" s="116"/>
      <c r="L891" s="170">
        <v>43311</v>
      </c>
      <c r="M891" s="116">
        <v>227</v>
      </c>
      <c r="N891" s="116">
        <v>228.45</v>
      </c>
      <c r="O891" s="116">
        <v>222.95</v>
      </c>
      <c r="P891" s="116">
        <v>225.5</v>
      </c>
      <c r="Q891" s="116">
        <v>227</v>
      </c>
      <c r="R891">
        <v>2775674</v>
      </c>
    </row>
    <row r="892" spans="1:18" x14ac:dyDescent="0.25">
      <c r="A892" s="170">
        <v>43312</v>
      </c>
      <c r="B892" s="116">
        <v>231</v>
      </c>
      <c r="C892" s="116">
        <v>230.05</v>
      </c>
      <c r="D892" s="116">
        <v>224.5</v>
      </c>
      <c r="E892" s="116">
        <v>225.75</v>
      </c>
      <c r="F892" s="116">
        <v>230.05</v>
      </c>
      <c r="G892">
        <v>101757</v>
      </c>
      <c r="H892" s="116"/>
      <c r="I892" s="116"/>
      <c r="L892" s="170">
        <v>43312</v>
      </c>
      <c r="M892" s="116">
        <v>230.7</v>
      </c>
      <c r="N892" s="116">
        <v>231.7</v>
      </c>
      <c r="O892" s="116">
        <v>224.15</v>
      </c>
      <c r="P892" s="116">
        <v>226</v>
      </c>
      <c r="Q892" s="116">
        <v>230.7</v>
      </c>
      <c r="R892">
        <v>2919886</v>
      </c>
    </row>
    <row r="893" spans="1:18" x14ac:dyDescent="0.25">
      <c r="A893" s="170">
        <v>43313</v>
      </c>
      <c r="B893" s="116">
        <v>234.95</v>
      </c>
      <c r="C893" s="116">
        <v>233.5</v>
      </c>
      <c r="D893" s="116">
        <v>228.8</v>
      </c>
      <c r="E893" s="116">
        <v>230</v>
      </c>
      <c r="F893" s="116">
        <v>233.5</v>
      </c>
      <c r="G893">
        <v>149975</v>
      </c>
      <c r="H893" s="116"/>
      <c r="I893" s="116"/>
      <c r="L893" s="170">
        <v>43313</v>
      </c>
      <c r="M893" s="116">
        <v>234</v>
      </c>
      <c r="N893" s="116">
        <v>235.5</v>
      </c>
      <c r="O893" s="116">
        <v>228.85</v>
      </c>
      <c r="P893" s="116">
        <v>229.5</v>
      </c>
      <c r="Q893" s="116">
        <v>234</v>
      </c>
      <c r="R893">
        <v>6542652</v>
      </c>
    </row>
    <row r="894" spans="1:18" x14ac:dyDescent="0.25">
      <c r="A894" s="170">
        <v>43314</v>
      </c>
      <c r="B894" s="116">
        <v>233.35</v>
      </c>
      <c r="C894" s="116">
        <v>228.8</v>
      </c>
      <c r="D894" s="116">
        <v>227.45</v>
      </c>
      <c r="E894" s="116">
        <v>232.1</v>
      </c>
      <c r="F894" s="116">
        <v>228.8</v>
      </c>
      <c r="G894">
        <v>91645</v>
      </c>
      <c r="H894" s="116"/>
      <c r="I894" s="116"/>
      <c r="L894" s="170">
        <v>43314</v>
      </c>
      <c r="M894" s="116">
        <v>228.8</v>
      </c>
      <c r="N894" s="116">
        <v>233.6</v>
      </c>
      <c r="O894" s="116">
        <v>228.05</v>
      </c>
      <c r="P894" s="116">
        <v>233</v>
      </c>
      <c r="Q894" s="116">
        <v>228.8</v>
      </c>
      <c r="R894">
        <v>1820808</v>
      </c>
    </row>
    <row r="895" spans="1:18" x14ac:dyDescent="0.25">
      <c r="A895" s="170">
        <v>43315</v>
      </c>
      <c r="B895" s="116">
        <v>230.45</v>
      </c>
      <c r="C895" s="116">
        <v>225.75</v>
      </c>
      <c r="D895" s="116">
        <v>224.9</v>
      </c>
      <c r="E895" s="116">
        <v>229</v>
      </c>
      <c r="F895" s="116">
        <v>225.75</v>
      </c>
      <c r="G895">
        <v>92670</v>
      </c>
      <c r="H895" s="116"/>
      <c r="I895" s="116"/>
      <c r="L895" s="170">
        <v>43315</v>
      </c>
      <c r="M895" s="116">
        <v>226.1</v>
      </c>
      <c r="N895" s="116">
        <v>230.55</v>
      </c>
      <c r="O895" s="116">
        <v>224.85</v>
      </c>
      <c r="P895" s="116">
        <v>229</v>
      </c>
      <c r="Q895" s="116">
        <v>226.1</v>
      </c>
      <c r="R895">
        <v>1909383</v>
      </c>
    </row>
    <row r="896" spans="1:18" x14ac:dyDescent="0.25">
      <c r="A896" s="170">
        <v>43318</v>
      </c>
      <c r="B896" s="116">
        <v>229</v>
      </c>
      <c r="C896" s="116">
        <v>228.15</v>
      </c>
      <c r="D896" s="116">
        <v>222.5</v>
      </c>
      <c r="E896" s="116">
        <v>227.95</v>
      </c>
      <c r="F896" s="116">
        <v>228.15</v>
      </c>
      <c r="G896">
        <v>94419</v>
      </c>
      <c r="H896" s="116"/>
      <c r="I896" s="116"/>
      <c r="L896" s="170">
        <v>43318</v>
      </c>
      <c r="M896" s="116">
        <v>228.5</v>
      </c>
      <c r="N896" s="116">
        <v>229.95</v>
      </c>
      <c r="O896" s="116">
        <v>222.35</v>
      </c>
      <c r="P896" s="116">
        <v>226.7</v>
      </c>
      <c r="Q896" s="116">
        <v>228.5</v>
      </c>
      <c r="R896">
        <v>1628672</v>
      </c>
    </row>
    <row r="897" spans="1:18" x14ac:dyDescent="0.25">
      <c r="A897" s="170">
        <v>43319</v>
      </c>
      <c r="B897" s="116">
        <v>233</v>
      </c>
      <c r="C897" s="116">
        <v>229.75</v>
      </c>
      <c r="D897" s="116">
        <v>227.55</v>
      </c>
      <c r="E897" s="116">
        <v>229</v>
      </c>
      <c r="F897" s="116">
        <v>229.75</v>
      </c>
      <c r="G897">
        <v>132378</v>
      </c>
      <c r="H897" s="116"/>
      <c r="I897" s="116"/>
      <c r="L897" s="170">
        <v>43319</v>
      </c>
      <c r="M897" s="116">
        <v>230.1</v>
      </c>
      <c r="N897" s="116">
        <v>233.05</v>
      </c>
      <c r="O897" s="116">
        <v>228.05</v>
      </c>
      <c r="P897" s="116">
        <v>230</v>
      </c>
      <c r="Q897" s="116">
        <v>230.1</v>
      </c>
      <c r="R897">
        <v>4307531</v>
      </c>
    </row>
    <row r="898" spans="1:18" x14ac:dyDescent="0.25">
      <c r="A898" s="170">
        <v>43320</v>
      </c>
      <c r="B898" s="116">
        <v>233.05</v>
      </c>
      <c r="C898" s="116">
        <v>230.35</v>
      </c>
      <c r="D898" s="116">
        <v>226.85</v>
      </c>
      <c r="E898" s="116">
        <v>229.75</v>
      </c>
      <c r="F898" s="116">
        <v>230.35</v>
      </c>
      <c r="G898">
        <v>115516</v>
      </c>
      <c r="H898" s="116"/>
      <c r="I898" s="116"/>
      <c r="L898" s="170">
        <v>43320</v>
      </c>
      <c r="M898" s="116">
        <v>230.95</v>
      </c>
      <c r="N898" s="116">
        <v>233.25</v>
      </c>
      <c r="O898" s="116">
        <v>226.7</v>
      </c>
      <c r="P898" s="116">
        <v>229.7</v>
      </c>
      <c r="Q898" s="116">
        <v>230.95</v>
      </c>
      <c r="R898">
        <v>2470588</v>
      </c>
    </row>
    <row r="899" spans="1:18" x14ac:dyDescent="0.25">
      <c r="A899" s="170">
        <v>43321</v>
      </c>
      <c r="B899" s="116">
        <v>233.4</v>
      </c>
      <c r="C899" s="116">
        <v>232.55</v>
      </c>
      <c r="D899" s="116">
        <v>230.05</v>
      </c>
      <c r="E899" s="116">
        <v>231.9</v>
      </c>
      <c r="F899" s="116">
        <v>232.55</v>
      </c>
      <c r="G899">
        <v>74166</v>
      </c>
      <c r="H899" s="116"/>
      <c r="I899" s="116"/>
      <c r="L899" s="170">
        <v>43321</v>
      </c>
      <c r="M899" s="116">
        <v>232.4</v>
      </c>
      <c r="N899" s="116">
        <v>233.15</v>
      </c>
      <c r="O899" s="116">
        <v>229.9</v>
      </c>
      <c r="P899" s="116">
        <v>231.9</v>
      </c>
      <c r="Q899" s="116">
        <v>232.4</v>
      </c>
      <c r="R899">
        <v>1211459</v>
      </c>
    </row>
    <row r="900" spans="1:18" x14ac:dyDescent="0.25">
      <c r="A900" s="170">
        <v>43322</v>
      </c>
      <c r="B900" s="116">
        <v>233</v>
      </c>
      <c r="C900" s="116">
        <v>227.45</v>
      </c>
      <c r="D900" s="116">
        <v>224.55</v>
      </c>
      <c r="E900" s="116">
        <v>232.55</v>
      </c>
      <c r="F900" s="116">
        <v>227.45</v>
      </c>
      <c r="G900">
        <v>142430</v>
      </c>
      <c r="H900" s="116"/>
      <c r="I900" s="116"/>
      <c r="L900" s="170">
        <v>43322</v>
      </c>
      <c r="M900" s="116">
        <v>227.7</v>
      </c>
      <c r="N900" s="116">
        <v>233.2</v>
      </c>
      <c r="O900" s="116">
        <v>224</v>
      </c>
      <c r="P900" s="116">
        <v>233.05</v>
      </c>
      <c r="Q900" s="116">
        <v>227.7</v>
      </c>
      <c r="R900">
        <v>1723589</v>
      </c>
    </row>
    <row r="901" spans="1:18" x14ac:dyDescent="0.25">
      <c r="A901" s="170">
        <v>43325</v>
      </c>
      <c r="B901" s="116">
        <v>226.3</v>
      </c>
      <c r="C901" s="116">
        <v>220.65</v>
      </c>
      <c r="D901" s="116">
        <v>220</v>
      </c>
      <c r="E901" s="116">
        <v>226.3</v>
      </c>
      <c r="F901" s="116">
        <v>220.65</v>
      </c>
      <c r="G901">
        <v>296796</v>
      </c>
      <c r="H901" s="116"/>
      <c r="I901" s="116"/>
      <c r="L901" s="170">
        <v>43325</v>
      </c>
      <c r="M901" s="116">
        <v>220.9</v>
      </c>
      <c r="N901" s="116">
        <v>225</v>
      </c>
      <c r="O901" s="116">
        <v>220.2</v>
      </c>
      <c r="P901" s="116">
        <v>225</v>
      </c>
      <c r="Q901" s="116">
        <v>220.9</v>
      </c>
      <c r="R901">
        <v>1728996</v>
      </c>
    </row>
    <row r="902" spans="1:18" x14ac:dyDescent="0.25">
      <c r="A902" s="170">
        <v>43326</v>
      </c>
      <c r="B902" s="116">
        <v>227.45</v>
      </c>
      <c r="C902" s="116">
        <v>226.55</v>
      </c>
      <c r="D902" s="116">
        <v>220.65</v>
      </c>
      <c r="E902" s="116">
        <v>220.65</v>
      </c>
      <c r="F902" s="116">
        <v>226.55</v>
      </c>
      <c r="G902">
        <v>65725</v>
      </c>
      <c r="H902" s="116"/>
      <c r="I902" s="116"/>
      <c r="L902" s="170">
        <v>43326</v>
      </c>
      <c r="M902" s="116">
        <v>226.35</v>
      </c>
      <c r="N902" s="116">
        <v>227.5</v>
      </c>
      <c r="O902" s="116">
        <v>221.5</v>
      </c>
      <c r="P902" s="116">
        <v>222</v>
      </c>
      <c r="Q902" s="116">
        <v>226.35</v>
      </c>
      <c r="R902">
        <v>1810299</v>
      </c>
    </row>
    <row r="903" spans="1:18" x14ac:dyDescent="0.25">
      <c r="A903" s="170">
        <v>43328</v>
      </c>
      <c r="B903" s="116">
        <v>226</v>
      </c>
      <c r="C903" s="116">
        <v>224.65</v>
      </c>
      <c r="D903" s="116">
        <v>222.7</v>
      </c>
      <c r="E903" s="116">
        <v>225.05</v>
      </c>
      <c r="F903" s="116">
        <v>224.65</v>
      </c>
      <c r="G903">
        <v>104963</v>
      </c>
      <c r="H903" s="116"/>
      <c r="I903" s="116"/>
      <c r="L903" s="170">
        <v>43328</v>
      </c>
      <c r="M903" s="116">
        <v>224.5</v>
      </c>
      <c r="N903" s="116">
        <v>226.1</v>
      </c>
      <c r="O903" s="116">
        <v>222.5</v>
      </c>
      <c r="P903" s="116">
        <v>225</v>
      </c>
      <c r="Q903" s="116">
        <v>224.5</v>
      </c>
      <c r="R903">
        <v>1030961</v>
      </c>
    </row>
    <row r="904" spans="1:18" x14ac:dyDescent="0.25">
      <c r="A904" s="170">
        <v>43329</v>
      </c>
      <c r="B904" s="116">
        <v>229.95</v>
      </c>
      <c r="C904" s="116">
        <v>228.75</v>
      </c>
      <c r="D904" s="116">
        <v>225.25</v>
      </c>
      <c r="E904" s="116">
        <v>227</v>
      </c>
      <c r="F904" s="116">
        <v>228.75</v>
      </c>
      <c r="G904">
        <v>102442</v>
      </c>
      <c r="H904" s="116"/>
      <c r="I904" s="116"/>
      <c r="L904" s="170">
        <v>43329</v>
      </c>
      <c r="M904" s="116">
        <v>228.65</v>
      </c>
      <c r="N904" s="116">
        <v>229.65</v>
      </c>
      <c r="O904" s="116">
        <v>225.1</v>
      </c>
      <c r="P904" s="116">
        <v>226.25</v>
      </c>
      <c r="Q904" s="116">
        <v>228.65</v>
      </c>
      <c r="R904">
        <v>1721617</v>
      </c>
    </row>
    <row r="905" spans="1:18" x14ac:dyDescent="0.25">
      <c r="A905" s="170">
        <v>43332</v>
      </c>
      <c r="B905" s="116">
        <v>233.05</v>
      </c>
      <c r="C905" s="116">
        <v>229.45</v>
      </c>
      <c r="D905" s="116">
        <v>227.5</v>
      </c>
      <c r="E905" s="116">
        <v>228.2</v>
      </c>
      <c r="F905" s="116">
        <v>229.45</v>
      </c>
      <c r="G905">
        <v>110755</v>
      </c>
      <c r="H905" s="116"/>
      <c r="I905" s="116"/>
      <c r="L905" s="170">
        <v>43332</v>
      </c>
      <c r="M905" s="116">
        <v>229.75</v>
      </c>
      <c r="N905" s="116">
        <v>233</v>
      </c>
      <c r="O905" s="116">
        <v>227.5</v>
      </c>
      <c r="P905" s="116">
        <v>229.3</v>
      </c>
      <c r="Q905" s="116">
        <v>229.75</v>
      </c>
      <c r="R905">
        <v>1591893</v>
      </c>
    </row>
    <row r="906" spans="1:18" x14ac:dyDescent="0.25">
      <c r="A906" s="170">
        <v>43333</v>
      </c>
      <c r="B906" s="116">
        <v>241.4</v>
      </c>
      <c r="C906" s="116">
        <v>238.7</v>
      </c>
      <c r="D906" s="116">
        <v>230.95</v>
      </c>
      <c r="E906" s="116">
        <v>231.2</v>
      </c>
      <c r="F906" s="116">
        <v>238.7</v>
      </c>
      <c r="G906">
        <v>978101</v>
      </c>
      <c r="H906" s="116"/>
      <c r="I906" s="116"/>
      <c r="L906" s="170">
        <v>43333</v>
      </c>
      <c r="M906" s="116">
        <v>239.35</v>
      </c>
      <c r="N906" s="116">
        <v>241.4</v>
      </c>
      <c r="O906" s="116">
        <v>230.4</v>
      </c>
      <c r="P906" s="116">
        <v>231</v>
      </c>
      <c r="Q906" s="116">
        <v>239.35</v>
      </c>
      <c r="R906">
        <v>6380758</v>
      </c>
    </row>
    <row r="907" spans="1:18" x14ac:dyDescent="0.25">
      <c r="A907" s="170">
        <v>43335</v>
      </c>
      <c r="B907" s="116">
        <v>241.45</v>
      </c>
      <c r="C907" s="116">
        <v>236.95</v>
      </c>
      <c r="D907" s="116">
        <v>235.25</v>
      </c>
      <c r="E907" s="116">
        <v>241.2</v>
      </c>
      <c r="F907" s="116">
        <v>236.95</v>
      </c>
      <c r="G907">
        <v>122921</v>
      </c>
      <c r="H907" s="116"/>
      <c r="I907" s="116"/>
      <c r="L907" s="170">
        <v>43335</v>
      </c>
      <c r="M907" s="116">
        <v>237.25</v>
      </c>
      <c r="N907" s="116">
        <v>241.95</v>
      </c>
      <c r="O907" s="116">
        <v>235.1</v>
      </c>
      <c r="P907" s="116">
        <v>240</v>
      </c>
      <c r="Q907" s="116">
        <v>237.25</v>
      </c>
      <c r="R907">
        <v>2837007</v>
      </c>
    </row>
    <row r="908" spans="1:18" x14ac:dyDescent="0.25">
      <c r="A908" s="170">
        <v>43336</v>
      </c>
      <c r="B908" s="116">
        <v>241.15</v>
      </c>
      <c r="C908" s="116">
        <v>236.4</v>
      </c>
      <c r="D908" s="116">
        <v>235.15</v>
      </c>
      <c r="E908" s="116">
        <v>236.5</v>
      </c>
      <c r="F908" s="116">
        <v>236.4</v>
      </c>
      <c r="G908">
        <v>137211</v>
      </c>
      <c r="H908" s="116"/>
      <c r="I908" s="116"/>
      <c r="L908" s="170">
        <v>43336</v>
      </c>
      <c r="M908" s="116">
        <v>236.7</v>
      </c>
      <c r="N908" s="116">
        <v>241.25</v>
      </c>
      <c r="O908" s="116">
        <v>235.1</v>
      </c>
      <c r="P908" s="116">
        <v>236.5</v>
      </c>
      <c r="Q908" s="116">
        <v>236.7</v>
      </c>
      <c r="R908">
        <v>1731653</v>
      </c>
    </row>
    <row r="909" spans="1:18" x14ac:dyDescent="0.25">
      <c r="A909" s="170">
        <v>43339</v>
      </c>
      <c r="B909" s="116">
        <v>242.95</v>
      </c>
      <c r="C909" s="116">
        <v>241.55</v>
      </c>
      <c r="D909" s="116">
        <v>235.25</v>
      </c>
      <c r="E909" s="116">
        <v>236.6</v>
      </c>
      <c r="F909" s="116">
        <v>241.55</v>
      </c>
      <c r="G909">
        <v>135926</v>
      </c>
      <c r="H909" s="116"/>
      <c r="I909" s="116"/>
      <c r="L909" s="170">
        <v>43339</v>
      </c>
      <c r="M909" s="116">
        <v>241.7</v>
      </c>
      <c r="N909" s="116">
        <v>242.55</v>
      </c>
      <c r="O909" s="116">
        <v>235.1</v>
      </c>
      <c r="P909" s="116">
        <v>237</v>
      </c>
      <c r="Q909" s="116">
        <v>241.7</v>
      </c>
      <c r="R909">
        <v>2145678</v>
      </c>
    </row>
    <row r="910" spans="1:18" x14ac:dyDescent="0.25">
      <c r="A910" s="170">
        <v>43340</v>
      </c>
      <c r="B910" s="116">
        <v>243.4</v>
      </c>
      <c r="C910" s="116">
        <v>236.25</v>
      </c>
      <c r="D910" s="116">
        <v>233.8</v>
      </c>
      <c r="E910" s="116">
        <v>243</v>
      </c>
      <c r="F910" s="116">
        <v>236.25</v>
      </c>
      <c r="G910">
        <v>169167</v>
      </c>
      <c r="H910" s="116"/>
      <c r="I910" s="116"/>
      <c r="L910" s="170">
        <v>43340</v>
      </c>
      <c r="M910" s="116">
        <v>236.4</v>
      </c>
      <c r="N910" s="116">
        <v>243.45</v>
      </c>
      <c r="O910" s="116">
        <v>233.65</v>
      </c>
      <c r="P910" s="116">
        <v>243</v>
      </c>
      <c r="Q910" s="116">
        <v>236.4</v>
      </c>
      <c r="R910">
        <v>2900755</v>
      </c>
    </row>
    <row r="911" spans="1:18" x14ac:dyDescent="0.25">
      <c r="A911" s="170">
        <v>43341</v>
      </c>
      <c r="B911" s="116">
        <v>237.9</v>
      </c>
      <c r="C911" s="116">
        <v>233.7</v>
      </c>
      <c r="D911" s="116">
        <v>232.6</v>
      </c>
      <c r="E911" s="116">
        <v>237.9</v>
      </c>
      <c r="F911" s="116">
        <v>233.7</v>
      </c>
      <c r="G911">
        <v>149116</v>
      </c>
      <c r="H911" s="116"/>
      <c r="I911" s="116"/>
      <c r="L911" s="170">
        <v>43341</v>
      </c>
      <c r="M911" s="116">
        <v>233.15</v>
      </c>
      <c r="N911" s="116">
        <v>238.65</v>
      </c>
      <c r="O911" s="116">
        <v>232.2</v>
      </c>
      <c r="P911" s="116">
        <v>237.3</v>
      </c>
      <c r="Q911" s="116">
        <v>233.15</v>
      </c>
      <c r="R911">
        <v>1711404</v>
      </c>
    </row>
    <row r="912" spans="1:18" x14ac:dyDescent="0.25">
      <c r="A912" s="170">
        <v>43342</v>
      </c>
      <c r="B912" s="116">
        <v>240.4</v>
      </c>
      <c r="C912" s="116">
        <v>238.25</v>
      </c>
      <c r="D912" s="116">
        <v>231.9</v>
      </c>
      <c r="E912" s="116">
        <v>237.5</v>
      </c>
      <c r="F912" s="116">
        <v>238.25</v>
      </c>
      <c r="G912">
        <v>151802</v>
      </c>
      <c r="H912" s="116"/>
      <c r="I912" s="116"/>
      <c r="L912" s="170">
        <v>43342</v>
      </c>
      <c r="M912" s="116">
        <v>237.9</v>
      </c>
      <c r="N912" s="116">
        <v>240.45</v>
      </c>
      <c r="O912" s="116">
        <v>232.05</v>
      </c>
      <c r="P912" s="116">
        <v>233.35</v>
      </c>
      <c r="Q912" s="116">
        <v>237.9</v>
      </c>
      <c r="R912">
        <v>5025712</v>
      </c>
    </row>
    <row r="913" spans="1:18" x14ac:dyDescent="0.25">
      <c r="A913" s="170">
        <v>43343</v>
      </c>
      <c r="B913" s="116">
        <v>243</v>
      </c>
      <c r="C913" s="116">
        <v>241.45</v>
      </c>
      <c r="D913" s="116">
        <v>236.35</v>
      </c>
      <c r="E913" s="116">
        <v>237.5</v>
      </c>
      <c r="F913" s="116">
        <v>241.45</v>
      </c>
      <c r="G913">
        <v>72607</v>
      </c>
      <c r="H913" s="116"/>
      <c r="I913" s="116"/>
      <c r="L913" s="170">
        <v>43343</v>
      </c>
      <c r="M913" s="116">
        <v>241.35</v>
      </c>
      <c r="N913" s="116">
        <v>243.4</v>
      </c>
      <c r="O913" s="116">
        <v>236.6</v>
      </c>
      <c r="P913" s="116">
        <v>238</v>
      </c>
      <c r="Q913" s="116">
        <v>241.35</v>
      </c>
      <c r="R913">
        <v>2735230</v>
      </c>
    </row>
    <row r="914" spans="1:18" x14ac:dyDescent="0.25">
      <c r="A914" s="170">
        <v>43346</v>
      </c>
      <c r="B914" s="116">
        <v>245.25</v>
      </c>
      <c r="C914" s="116">
        <v>240.1</v>
      </c>
      <c r="D914" s="116">
        <v>238.75</v>
      </c>
      <c r="E914" s="116">
        <v>240.6</v>
      </c>
      <c r="F914" s="116">
        <v>240.1</v>
      </c>
      <c r="G914">
        <v>119490</v>
      </c>
      <c r="H914" s="116"/>
      <c r="I914" s="116"/>
      <c r="L914" s="170">
        <v>43346</v>
      </c>
      <c r="M914" s="116">
        <v>240</v>
      </c>
      <c r="N914" s="116">
        <v>245.4</v>
      </c>
      <c r="O914" s="116">
        <v>238.35</v>
      </c>
      <c r="P914" s="116">
        <v>242.95</v>
      </c>
      <c r="Q914" s="116">
        <v>240</v>
      </c>
      <c r="R914">
        <v>2393818</v>
      </c>
    </row>
    <row r="915" spans="1:18" x14ac:dyDescent="0.25">
      <c r="A915" s="170">
        <v>43347</v>
      </c>
      <c r="B915" s="116">
        <v>240.25</v>
      </c>
      <c r="C915" s="116">
        <v>227.85</v>
      </c>
      <c r="D915" s="116">
        <v>226</v>
      </c>
      <c r="E915" s="116">
        <v>240.25</v>
      </c>
      <c r="F915" s="116">
        <v>227.85</v>
      </c>
      <c r="G915">
        <v>234026</v>
      </c>
      <c r="H915" s="116"/>
      <c r="I915" s="116"/>
      <c r="L915" s="170">
        <v>43347</v>
      </c>
      <c r="M915" s="116">
        <v>227.95</v>
      </c>
      <c r="N915" s="116">
        <v>239.9</v>
      </c>
      <c r="O915" s="116">
        <v>225.9</v>
      </c>
      <c r="P915" s="116">
        <v>230</v>
      </c>
      <c r="Q915" s="116">
        <v>227.95</v>
      </c>
      <c r="R915">
        <v>3810744</v>
      </c>
    </row>
    <row r="916" spans="1:18" x14ac:dyDescent="0.25">
      <c r="A916" s="170">
        <v>43348</v>
      </c>
      <c r="B916" s="116">
        <v>229.45</v>
      </c>
      <c r="C916" s="116">
        <v>223.4</v>
      </c>
      <c r="D916" s="116">
        <v>219.1</v>
      </c>
      <c r="E916" s="116">
        <v>228</v>
      </c>
      <c r="F916" s="116">
        <v>223.4</v>
      </c>
      <c r="G916">
        <v>291842</v>
      </c>
      <c r="H916" s="116"/>
      <c r="I916" s="116"/>
      <c r="L916" s="170">
        <v>43348</v>
      </c>
      <c r="M916" s="116">
        <v>223.2</v>
      </c>
      <c r="N916" s="116">
        <v>229.25</v>
      </c>
      <c r="O916" s="116">
        <v>218.85</v>
      </c>
      <c r="P916" s="116">
        <v>227.4</v>
      </c>
      <c r="Q916" s="116">
        <v>223.2</v>
      </c>
      <c r="R916">
        <v>3947663</v>
      </c>
    </row>
    <row r="917" spans="1:18" x14ac:dyDescent="0.25">
      <c r="A917" s="170">
        <v>43349</v>
      </c>
      <c r="B917" s="116">
        <v>233.3</v>
      </c>
      <c r="C917" s="116">
        <v>226.5</v>
      </c>
      <c r="D917" s="116">
        <v>223.05</v>
      </c>
      <c r="E917" s="116">
        <v>227.9</v>
      </c>
      <c r="F917" s="116">
        <v>226.5</v>
      </c>
      <c r="G917">
        <v>202750</v>
      </c>
      <c r="H917" s="116"/>
      <c r="I917" s="116"/>
      <c r="L917" s="170">
        <v>43349</v>
      </c>
      <c r="M917" s="116">
        <v>226.6</v>
      </c>
      <c r="N917" s="116">
        <v>233.05</v>
      </c>
      <c r="O917" s="116">
        <v>222.75</v>
      </c>
      <c r="P917" s="116">
        <v>227.05</v>
      </c>
      <c r="Q917" s="116">
        <v>226.6</v>
      </c>
      <c r="R917">
        <v>4887812</v>
      </c>
    </row>
    <row r="918" spans="1:18" x14ac:dyDescent="0.25">
      <c r="A918" s="170">
        <v>43350</v>
      </c>
      <c r="B918" s="116">
        <v>232.2</v>
      </c>
      <c r="C918" s="116">
        <v>227.35</v>
      </c>
      <c r="D918" s="116">
        <v>222</v>
      </c>
      <c r="E918" s="116">
        <v>232.2</v>
      </c>
      <c r="F918" s="116">
        <v>227.35</v>
      </c>
      <c r="G918">
        <v>97631</v>
      </c>
      <c r="H918" s="116"/>
      <c r="I918" s="116"/>
      <c r="L918" s="170">
        <v>43350</v>
      </c>
      <c r="M918" s="116">
        <v>227.5</v>
      </c>
      <c r="N918" s="116">
        <v>229.2</v>
      </c>
      <c r="O918" s="116">
        <v>222.75</v>
      </c>
      <c r="P918" s="116">
        <v>228.2</v>
      </c>
      <c r="Q918" s="116">
        <v>227.5</v>
      </c>
      <c r="R918">
        <v>2406640</v>
      </c>
    </row>
    <row r="919" spans="1:18" x14ac:dyDescent="0.25">
      <c r="A919" s="170">
        <v>43353</v>
      </c>
      <c r="B919" s="116">
        <v>228.1</v>
      </c>
      <c r="C919" s="116">
        <v>220.35</v>
      </c>
      <c r="D919" s="116">
        <v>219.55</v>
      </c>
      <c r="E919" s="116">
        <v>227.45</v>
      </c>
      <c r="F919" s="116">
        <v>220.35</v>
      </c>
      <c r="G919">
        <v>177283</v>
      </c>
      <c r="H919" s="116"/>
      <c r="I919" s="116"/>
      <c r="L919" s="170">
        <v>43353</v>
      </c>
      <c r="M919" s="116">
        <v>219.7</v>
      </c>
      <c r="N919" s="116">
        <v>228</v>
      </c>
      <c r="O919" s="116">
        <v>219</v>
      </c>
      <c r="P919" s="116">
        <v>226.9</v>
      </c>
      <c r="Q919" s="116">
        <v>219.7</v>
      </c>
      <c r="R919">
        <v>2611742</v>
      </c>
    </row>
    <row r="920" spans="1:18" x14ac:dyDescent="0.25">
      <c r="A920" s="170">
        <v>43354</v>
      </c>
      <c r="B920" s="116">
        <v>223.65</v>
      </c>
      <c r="C920" s="116">
        <v>219.7</v>
      </c>
      <c r="D920" s="116">
        <v>218.8</v>
      </c>
      <c r="E920" s="116">
        <v>220</v>
      </c>
      <c r="F920" s="116">
        <v>219.7</v>
      </c>
      <c r="G920">
        <v>118677</v>
      </c>
      <c r="H920" s="116"/>
      <c r="I920" s="116"/>
      <c r="L920" s="170">
        <v>43354</v>
      </c>
      <c r="M920" s="116">
        <v>220.2</v>
      </c>
      <c r="N920" s="116">
        <v>223.45</v>
      </c>
      <c r="O920" s="116">
        <v>218.6</v>
      </c>
      <c r="P920" s="116">
        <v>220.55</v>
      </c>
      <c r="Q920" s="116">
        <v>220.2</v>
      </c>
      <c r="R920">
        <v>3757737</v>
      </c>
    </row>
    <row r="921" spans="1:18" x14ac:dyDescent="0.25">
      <c r="A921" s="170">
        <v>43355</v>
      </c>
      <c r="B921" s="116">
        <v>227.6</v>
      </c>
      <c r="C921" s="116">
        <v>226.45</v>
      </c>
      <c r="D921" s="116">
        <v>219.25</v>
      </c>
      <c r="E921" s="116">
        <v>220.7</v>
      </c>
      <c r="F921" s="116">
        <v>226.45</v>
      </c>
      <c r="G921">
        <v>148557</v>
      </c>
      <c r="H921" s="116"/>
      <c r="I921" s="116"/>
      <c r="L921" s="170">
        <v>43355</v>
      </c>
      <c r="M921" s="116">
        <v>226.6</v>
      </c>
      <c r="N921" s="116">
        <v>227.55</v>
      </c>
      <c r="O921" s="116">
        <v>218.85</v>
      </c>
      <c r="P921" s="116">
        <v>221</v>
      </c>
      <c r="Q921" s="116">
        <v>226.6</v>
      </c>
      <c r="R921">
        <v>2404591</v>
      </c>
    </row>
    <row r="922" spans="1:18" x14ac:dyDescent="0.25">
      <c r="A922" s="170">
        <v>43357</v>
      </c>
      <c r="B922" s="116">
        <v>232.25</v>
      </c>
      <c r="C922" s="116">
        <v>229.95</v>
      </c>
      <c r="D922" s="116">
        <v>226.9</v>
      </c>
      <c r="E922" s="116">
        <v>226.9</v>
      </c>
      <c r="F922" s="116">
        <v>229.95</v>
      </c>
      <c r="G922">
        <v>374818</v>
      </c>
      <c r="H922" s="116"/>
      <c r="I922" s="116"/>
      <c r="L922" s="170">
        <v>43357</v>
      </c>
      <c r="M922" s="116">
        <v>229.8</v>
      </c>
      <c r="N922" s="116">
        <v>232.6</v>
      </c>
      <c r="O922" s="116">
        <v>227.05</v>
      </c>
      <c r="P922" s="116">
        <v>228.1</v>
      </c>
      <c r="Q922" s="116">
        <v>229.8</v>
      </c>
      <c r="R922">
        <v>2588077</v>
      </c>
    </row>
    <row r="923" spans="1:18" x14ac:dyDescent="0.25">
      <c r="A923" s="170">
        <v>43360</v>
      </c>
      <c r="B923" s="116">
        <v>232</v>
      </c>
      <c r="C923" s="116">
        <v>225.75</v>
      </c>
      <c r="D923" s="116">
        <v>225.15</v>
      </c>
      <c r="E923" s="116">
        <v>229.65</v>
      </c>
      <c r="F923" s="116">
        <v>225.75</v>
      </c>
      <c r="G923">
        <v>117542</v>
      </c>
      <c r="H923" s="116"/>
      <c r="I923" s="116"/>
      <c r="L923" s="170">
        <v>43360</v>
      </c>
      <c r="M923" s="116">
        <v>225.9</v>
      </c>
      <c r="N923" s="116">
        <v>231.8</v>
      </c>
      <c r="O923" s="116">
        <v>225.05</v>
      </c>
      <c r="P923" s="116">
        <v>228.5</v>
      </c>
      <c r="Q923" s="116">
        <v>225.9</v>
      </c>
      <c r="R923">
        <v>1802238</v>
      </c>
    </row>
    <row r="924" spans="1:18" x14ac:dyDescent="0.25">
      <c r="A924" s="170">
        <v>43361</v>
      </c>
      <c r="B924" s="116">
        <v>227.9</v>
      </c>
      <c r="C924" s="116">
        <v>223.35</v>
      </c>
      <c r="D924" s="116">
        <v>221.25</v>
      </c>
      <c r="E924" s="116">
        <v>227.9</v>
      </c>
      <c r="F924" s="116">
        <v>223.35</v>
      </c>
      <c r="G924">
        <v>168652</v>
      </c>
      <c r="H924" s="116"/>
      <c r="I924" s="116"/>
      <c r="L924" s="170">
        <v>43361</v>
      </c>
      <c r="M924" s="116">
        <v>224.4</v>
      </c>
      <c r="N924" s="116">
        <v>227.85</v>
      </c>
      <c r="O924" s="116">
        <v>223.1</v>
      </c>
      <c r="P924" s="116">
        <v>226</v>
      </c>
      <c r="Q924" s="116">
        <v>224.4</v>
      </c>
      <c r="R924">
        <v>1344871</v>
      </c>
    </row>
    <row r="925" spans="1:18" x14ac:dyDescent="0.25">
      <c r="A925" s="170">
        <v>43362</v>
      </c>
      <c r="B925" s="116">
        <v>226.3</v>
      </c>
      <c r="C925" s="116">
        <v>225.05</v>
      </c>
      <c r="D925" s="116">
        <v>222.15</v>
      </c>
      <c r="E925" s="116">
        <v>226</v>
      </c>
      <c r="F925" s="116">
        <v>225.05</v>
      </c>
      <c r="G925">
        <v>61480</v>
      </c>
      <c r="H925" s="116"/>
      <c r="I925" s="116"/>
      <c r="L925" s="170">
        <v>43362</v>
      </c>
      <c r="M925" s="116">
        <v>225</v>
      </c>
      <c r="N925" s="116">
        <v>226.4</v>
      </c>
      <c r="O925" s="116">
        <v>222</v>
      </c>
      <c r="P925" s="116">
        <v>225</v>
      </c>
      <c r="Q925" s="116">
        <v>225</v>
      </c>
      <c r="R925">
        <v>2120702</v>
      </c>
    </row>
    <row r="926" spans="1:18" x14ac:dyDescent="0.25">
      <c r="A926" s="170">
        <v>43364</v>
      </c>
      <c r="B926" s="116">
        <v>226.5</v>
      </c>
      <c r="C926" s="116">
        <v>225.3</v>
      </c>
      <c r="D926" s="116">
        <v>208.6</v>
      </c>
      <c r="E926" s="116">
        <v>225.05</v>
      </c>
      <c r="F926" s="116">
        <v>225.3</v>
      </c>
      <c r="G926">
        <v>150447</v>
      </c>
      <c r="H926" s="116"/>
      <c r="I926" s="116"/>
      <c r="L926" s="170">
        <v>43364</v>
      </c>
      <c r="M926" s="116">
        <v>225.45</v>
      </c>
      <c r="N926" s="116">
        <v>227.15</v>
      </c>
      <c r="O926" s="116">
        <v>208.2</v>
      </c>
      <c r="P926" s="116">
        <v>226.05</v>
      </c>
      <c r="Q926" s="116">
        <v>225.45</v>
      </c>
      <c r="R926">
        <v>3464829</v>
      </c>
    </row>
    <row r="927" spans="1:18" x14ac:dyDescent="0.25">
      <c r="A927" s="170">
        <v>43367</v>
      </c>
      <c r="B927" s="116">
        <v>226.85</v>
      </c>
      <c r="C927" s="116">
        <v>218.45</v>
      </c>
      <c r="D927" s="116">
        <v>217.45</v>
      </c>
      <c r="E927" s="116">
        <v>225.8</v>
      </c>
      <c r="F927" s="116">
        <v>218.45</v>
      </c>
      <c r="G927">
        <v>234285</v>
      </c>
      <c r="H927" s="116"/>
      <c r="I927" s="116"/>
      <c r="L927" s="170">
        <v>43367</v>
      </c>
      <c r="M927" s="116">
        <v>218.65</v>
      </c>
      <c r="N927" s="116">
        <v>228</v>
      </c>
      <c r="O927" s="116">
        <v>216.95</v>
      </c>
      <c r="P927" s="116">
        <v>223.65</v>
      </c>
      <c r="Q927" s="116">
        <v>218.65</v>
      </c>
      <c r="R927">
        <v>1734859</v>
      </c>
    </row>
    <row r="928" spans="1:18" x14ac:dyDescent="0.25">
      <c r="A928" s="170">
        <v>43368</v>
      </c>
      <c r="B928" s="116">
        <v>227.3</v>
      </c>
      <c r="C928" s="116">
        <v>225.55</v>
      </c>
      <c r="D928" s="116">
        <v>216.35</v>
      </c>
      <c r="E928" s="116">
        <v>217.25</v>
      </c>
      <c r="F928" s="116">
        <v>225.55</v>
      </c>
      <c r="G928">
        <v>105367</v>
      </c>
      <c r="H928" s="116"/>
      <c r="I928" s="116"/>
      <c r="L928" s="170">
        <v>43368</v>
      </c>
      <c r="M928" s="116">
        <v>225.65</v>
      </c>
      <c r="N928" s="116">
        <v>227.4</v>
      </c>
      <c r="O928" s="116">
        <v>215.9</v>
      </c>
      <c r="P928" s="116">
        <v>218</v>
      </c>
      <c r="Q928" s="116">
        <v>225.65</v>
      </c>
      <c r="R928">
        <v>1801355</v>
      </c>
    </row>
    <row r="929" spans="1:18" x14ac:dyDescent="0.25">
      <c r="A929" s="170">
        <v>43369</v>
      </c>
      <c r="B929" s="116">
        <v>229</v>
      </c>
      <c r="C929" s="116">
        <v>226</v>
      </c>
      <c r="D929" s="116">
        <v>223.7</v>
      </c>
      <c r="E929" s="116">
        <v>225.9</v>
      </c>
      <c r="F929" s="116">
        <v>226</v>
      </c>
      <c r="G929">
        <v>106827</v>
      </c>
      <c r="H929" s="116"/>
      <c r="I929" s="116"/>
      <c r="L929" s="170">
        <v>43369</v>
      </c>
      <c r="M929" s="116">
        <v>226.1</v>
      </c>
      <c r="N929" s="116">
        <v>229.2</v>
      </c>
      <c r="O929" s="116">
        <v>223.45</v>
      </c>
      <c r="P929" s="116">
        <v>227.65</v>
      </c>
      <c r="Q929" s="116">
        <v>226.1</v>
      </c>
      <c r="R929">
        <v>2420982</v>
      </c>
    </row>
    <row r="930" spans="1:18" x14ac:dyDescent="0.25">
      <c r="A930" s="170">
        <v>43370</v>
      </c>
      <c r="B930" s="116">
        <v>234.6</v>
      </c>
      <c r="C930" s="116">
        <v>227.05</v>
      </c>
      <c r="D930" s="116">
        <v>225</v>
      </c>
      <c r="E930" s="116">
        <v>227.7</v>
      </c>
      <c r="F930" s="116">
        <v>227.05</v>
      </c>
      <c r="G930">
        <v>337351</v>
      </c>
      <c r="H930" s="116"/>
      <c r="I930" s="116"/>
      <c r="L930" s="170">
        <v>43370</v>
      </c>
      <c r="M930" s="116">
        <v>227.25</v>
      </c>
      <c r="N930" s="116">
        <v>234.8</v>
      </c>
      <c r="O930" s="116">
        <v>225</v>
      </c>
      <c r="P930" s="116">
        <v>226.2</v>
      </c>
      <c r="Q930" s="116">
        <v>227.25</v>
      </c>
      <c r="R930">
        <v>8039387</v>
      </c>
    </row>
    <row r="931" spans="1:18" x14ac:dyDescent="0.25">
      <c r="A931" s="170">
        <v>43371</v>
      </c>
      <c r="B931" s="116">
        <v>231</v>
      </c>
      <c r="C931" s="116">
        <v>222.95</v>
      </c>
      <c r="D931" s="116">
        <v>221.2</v>
      </c>
      <c r="E931" s="116">
        <v>226.35</v>
      </c>
      <c r="F931" s="116">
        <v>222.95</v>
      </c>
      <c r="G931">
        <v>223951</v>
      </c>
      <c r="H931" s="116"/>
      <c r="I931" s="116"/>
      <c r="L931" s="170">
        <v>43371</v>
      </c>
      <c r="M931" s="116">
        <v>223.55</v>
      </c>
      <c r="N931" s="116">
        <v>230.95</v>
      </c>
      <c r="O931" s="116">
        <v>221.2</v>
      </c>
      <c r="P931" s="116">
        <v>226.6</v>
      </c>
      <c r="Q931" s="116">
        <v>223.55</v>
      </c>
      <c r="R931">
        <v>4202032</v>
      </c>
    </row>
    <row r="932" spans="1:18" x14ac:dyDescent="0.25">
      <c r="A932" s="170">
        <v>43374</v>
      </c>
      <c r="B932" s="116">
        <v>226.65</v>
      </c>
      <c r="C932" s="116">
        <v>222.05</v>
      </c>
      <c r="D932" s="116">
        <v>216.8</v>
      </c>
      <c r="E932" s="116">
        <v>224.75</v>
      </c>
      <c r="F932" s="116">
        <v>222.05</v>
      </c>
      <c r="G932">
        <v>1558775</v>
      </c>
      <c r="H932" s="116"/>
      <c r="I932" s="116"/>
      <c r="L932" s="170">
        <v>43374</v>
      </c>
      <c r="M932" s="116">
        <v>222.7</v>
      </c>
      <c r="N932" s="116">
        <v>226.9</v>
      </c>
      <c r="O932" s="116">
        <v>216.85</v>
      </c>
      <c r="P932" s="116">
        <v>223</v>
      </c>
      <c r="Q932" s="116">
        <v>222.7</v>
      </c>
      <c r="R932">
        <v>2070915</v>
      </c>
    </row>
    <row r="933" spans="1:18" x14ac:dyDescent="0.25">
      <c r="A933" s="170">
        <v>43376</v>
      </c>
      <c r="B933" s="116">
        <v>222.1</v>
      </c>
      <c r="C933" s="116">
        <v>214.55</v>
      </c>
      <c r="D933" s="116">
        <v>211</v>
      </c>
      <c r="E933" s="116">
        <v>222.05</v>
      </c>
      <c r="F933" s="116">
        <v>214.55</v>
      </c>
      <c r="G933">
        <v>1373596</v>
      </c>
      <c r="H933" s="116"/>
      <c r="I933" s="116"/>
      <c r="L933" s="170">
        <v>43376</v>
      </c>
      <c r="M933" s="116">
        <v>213.3</v>
      </c>
      <c r="N933" s="116">
        <v>222.2</v>
      </c>
      <c r="O933" s="116">
        <v>211</v>
      </c>
      <c r="P933" s="116">
        <v>221.5</v>
      </c>
      <c r="Q933" s="116">
        <v>213.3</v>
      </c>
      <c r="R933">
        <v>4433444</v>
      </c>
    </row>
    <row r="934" spans="1:18" x14ac:dyDescent="0.25">
      <c r="A934" s="170">
        <v>43377</v>
      </c>
      <c r="B934" s="116">
        <v>216.5</v>
      </c>
      <c r="C934" s="116">
        <v>213.45</v>
      </c>
      <c r="D934" s="116">
        <v>207.4</v>
      </c>
      <c r="E934" s="116">
        <v>211</v>
      </c>
      <c r="F934" s="116">
        <v>213.45</v>
      </c>
      <c r="G934">
        <v>248568</v>
      </c>
      <c r="H934" s="116"/>
      <c r="I934" s="116"/>
      <c r="L934" s="170">
        <v>43377</v>
      </c>
      <c r="M934" s="116">
        <v>213.7</v>
      </c>
      <c r="N934" s="116">
        <v>216.45</v>
      </c>
      <c r="O934" s="116">
        <v>207.25</v>
      </c>
      <c r="P934" s="116">
        <v>210.75</v>
      </c>
      <c r="Q934" s="116">
        <v>213.7</v>
      </c>
      <c r="R934">
        <v>4756385</v>
      </c>
    </row>
    <row r="935" spans="1:18" x14ac:dyDescent="0.25">
      <c r="A935" s="170">
        <v>43378</v>
      </c>
      <c r="B935" s="116">
        <v>213.95</v>
      </c>
      <c r="C935" s="116">
        <v>208.05</v>
      </c>
      <c r="D935" s="116">
        <v>206.75</v>
      </c>
      <c r="E935" s="116">
        <v>211.1</v>
      </c>
      <c r="F935" s="116">
        <v>208.05</v>
      </c>
      <c r="G935">
        <v>227879</v>
      </c>
      <c r="H935" s="116"/>
      <c r="I935" s="116"/>
      <c r="L935" s="170">
        <v>43378</v>
      </c>
      <c r="M935" s="116">
        <v>208.45</v>
      </c>
      <c r="N935" s="116">
        <v>214.25</v>
      </c>
      <c r="O935" s="116">
        <v>207</v>
      </c>
      <c r="P935" s="116">
        <v>213</v>
      </c>
      <c r="Q935" s="116">
        <v>208.45</v>
      </c>
      <c r="R935">
        <v>3007099</v>
      </c>
    </row>
    <row r="936" spans="1:18" x14ac:dyDescent="0.25">
      <c r="A936" s="170">
        <v>43381</v>
      </c>
      <c r="B936" s="116">
        <v>210.35</v>
      </c>
      <c r="C936" s="116">
        <v>207.95</v>
      </c>
      <c r="D936" s="116">
        <v>202.75</v>
      </c>
      <c r="E936" s="116">
        <v>205.3</v>
      </c>
      <c r="F936" s="116">
        <v>207.95</v>
      </c>
      <c r="G936">
        <v>282511</v>
      </c>
      <c r="H936" s="116"/>
      <c r="I936" s="116"/>
      <c r="L936" s="170">
        <v>43381</v>
      </c>
      <c r="M936" s="116">
        <v>208.1</v>
      </c>
      <c r="N936" s="116">
        <v>210.65</v>
      </c>
      <c r="O936" s="116">
        <v>202.4</v>
      </c>
      <c r="P936" s="116">
        <v>206.45</v>
      </c>
      <c r="Q936" s="116">
        <v>208.1</v>
      </c>
      <c r="R936">
        <v>2483769</v>
      </c>
    </row>
    <row r="937" spans="1:18" x14ac:dyDescent="0.25">
      <c r="A937" s="170">
        <v>43382</v>
      </c>
      <c r="B937" s="116">
        <v>212.05</v>
      </c>
      <c r="C937" s="116">
        <v>205.15</v>
      </c>
      <c r="D937" s="116">
        <v>202.5</v>
      </c>
      <c r="E937" s="116">
        <v>210</v>
      </c>
      <c r="F937" s="116">
        <v>205.15</v>
      </c>
      <c r="G937">
        <v>154611</v>
      </c>
      <c r="H937" s="116"/>
      <c r="I937" s="116"/>
      <c r="L937" s="170">
        <v>43382</v>
      </c>
      <c r="M937" s="116">
        <v>204.7</v>
      </c>
      <c r="N937" s="116">
        <v>211.95</v>
      </c>
      <c r="O937" s="116">
        <v>202.45</v>
      </c>
      <c r="P937" s="116">
        <v>210</v>
      </c>
      <c r="Q937" s="116">
        <v>204.7</v>
      </c>
      <c r="R937">
        <v>1790998</v>
      </c>
    </row>
    <row r="938" spans="1:18" x14ac:dyDescent="0.25">
      <c r="A938" s="170">
        <v>43383</v>
      </c>
      <c r="B938" s="116">
        <v>211.6</v>
      </c>
      <c r="C938" s="116">
        <v>209.7</v>
      </c>
      <c r="D938" s="116">
        <v>203.35</v>
      </c>
      <c r="E938" s="116">
        <v>206.4</v>
      </c>
      <c r="F938" s="116">
        <v>209.7</v>
      </c>
      <c r="G938">
        <v>103578</v>
      </c>
      <c r="H938" s="116"/>
      <c r="I938" s="116"/>
      <c r="L938" s="170">
        <v>43383</v>
      </c>
      <c r="M938" s="116">
        <v>209.9</v>
      </c>
      <c r="N938" s="116">
        <v>210.6</v>
      </c>
      <c r="O938" s="116">
        <v>203.15</v>
      </c>
      <c r="P938" s="116">
        <v>204.1</v>
      </c>
      <c r="Q938" s="116">
        <v>209.9</v>
      </c>
      <c r="R938">
        <v>2655944</v>
      </c>
    </row>
    <row r="939" spans="1:18" x14ac:dyDescent="0.25">
      <c r="A939" s="170">
        <v>43384</v>
      </c>
      <c r="B939" s="116">
        <v>208.85</v>
      </c>
      <c r="C939" s="116">
        <v>207.3</v>
      </c>
      <c r="D939" s="116">
        <v>200.45</v>
      </c>
      <c r="E939" s="116">
        <v>206</v>
      </c>
      <c r="F939" s="116">
        <v>207.3</v>
      </c>
      <c r="G939">
        <v>297629</v>
      </c>
      <c r="H939" s="116"/>
      <c r="I939" s="116"/>
      <c r="L939" s="170">
        <v>43384</v>
      </c>
      <c r="M939" s="116">
        <v>207.85</v>
      </c>
      <c r="N939" s="116">
        <v>208.8</v>
      </c>
      <c r="O939" s="116">
        <v>200.35</v>
      </c>
      <c r="P939" s="116">
        <v>204</v>
      </c>
      <c r="Q939" s="116">
        <v>207.85</v>
      </c>
      <c r="R939">
        <v>3596264</v>
      </c>
    </row>
    <row r="940" spans="1:18" x14ac:dyDescent="0.25">
      <c r="A940" s="170">
        <v>43385</v>
      </c>
      <c r="B940" s="116">
        <v>226.35</v>
      </c>
      <c r="C940" s="116">
        <v>221.35</v>
      </c>
      <c r="D940" s="116">
        <v>208.05</v>
      </c>
      <c r="E940" s="116">
        <v>208.05</v>
      </c>
      <c r="F940" s="116">
        <v>221.35</v>
      </c>
      <c r="G940">
        <v>288084</v>
      </c>
      <c r="H940" s="116"/>
      <c r="I940" s="116"/>
      <c r="L940" s="170">
        <v>43385</v>
      </c>
      <c r="M940" s="116">
        <v>219.6</v>
      </c>
      <c r="N940" s="116">
        <v>220.8</v>
      </c>
      <c r="O940" s="116">
        <v>208.9</v>
      </c>
      <c r="P940" s="116">
        <v>210</v>
      </c>
      <c r="Q940" s="116">
        <v>219.6</v>
      </c>
      <c r="R940">
        <v>5695694</v>
      </c>
    </row>
    <row r="941" spans="1:18" x14ac:dyDescent="0.25">
      <c r="A941" s="170">
        <v>43388</v>
      </c>
      <c r="B941" s="116">
        <v>221.45</v>
      </c>
      <c r="C941" s="116">
        <v>216.7</v>
      </c>
      <c r="D941" s="116">
        <v>209.7</v>
      </c>
      <c r="E941" s="116">
        <v>221.45</v>
      </c>
      <c r="F941" s="116">
        <v>216.7</v>
      </c>
      <c r="G941">
        <v>241075</v>
      </c>
      <c r="H941" s="116"/>
      <c r="I941" s="116"/>
      <c r="L941" s="170">
        <v>43388</v>
      </c>
      <c r="M941" s="116">
        <v>217</v>
      </c>
      <c r="N941" s="116">
        <v>218.9</v>
      </c>
      <c r="O941" s="116">
        <v>209.6</v>
      </c>
      <c r="P941" s="116">
        <v>218.8</v>
      </c>
      <c r="Q941" s="116">
        <v>217</v>
      </c>
      <c r="R941">
        <v>5976849</v>
      </c>
    </row>
    <row r="942" spans="1:18" x14ac:dyDescent="0.25">
      <c r="A942" s="170">
        <v>43389</v>
      </c>
      <c r="B942" s="116">
        <v>223.6</v>
      </c>
      <c r="C942" s="116">
        <v>221.4</v>
      </c>
      <c r="D942" s="116">
        <v>217</v>
      </c>
      <c r="E942" s="116">
        <v>218.9</v>
      </c>
      <c r="F942" s="116">
        <v>221.4</v>
      </c>
      <c r="G942">
        <v>99375</v>
      </c>
      <c r="H942" s="116"/>
      <c r="I942" s="116"/>
      <c r="L942" s="170">
        <v>43389</v>
      </c>
      <c r="M942" s="116">
        <v>221.5</v>
      </c>
      <c r="N942" s="116">
        <v>223.8</v>
      </c>
      <c r="O942" s="116">
        <v>217</v>
      </c>
      <c r="P942" s="116">
        <v>218</v>
      </c>
      <c r="Q942" s="116">
        <v>221.5</v>
      </c>
      <c r="R942">
        <v>3761860</v>
      </c>
    </row>
    <row r="943" spans="1:18" x14ac:dyDescent="0.25">
      <c r="A943" s="170">
        <v>43390</v>
      </c>
      <c r="B943" s="116">
        <v>227.5</v>
      </c>
      <c r="C943" s="116">
        <v>218.1</v>
      </c>
      <c r="D943" s="116">
        <v>213.45</v>
      </c>
      <c r="E943" s="116">
        <v>221.95</v>
      </c>
      <c r="F943" s="116">
        <v>218.1</v>
      </c>
      <c r="G943">
        <v>228471</v>
      </c>
      <c r="H943" s="116"/>
      <c r="I943" s="116"/>
      <c r="L943" s="170">
        <v>43390</v>
      </c>
      <c r="M943" s="116">
        <v>219.3</v>
      </c>
      <c r="N943" s="116">
        <v>227.85</v>
      </c>
      <c r="O943" s="116">
        <v>217.4</v>
      </c>
      <c r="P943" s="116">
        <v>223.5</v>
      </c>
      <c r="Q943" s="116">
        <v>219.3</v>
      </c>
      <c r="R943">
        <v>5346216</v>
      </c>
    </row>
    <row r="944" spans="1:18" x14ac:dyDescent="0.25">
      <c r="A944" s="170">
        <v>43392</v>
      </c>
      <c r="B944" s="116">
        <v>217</v>
      </c>
      <c r="C944" s="116">
        <v>208.4</v>
      </c>
      <c r="D944" s="116">
        <v>206.5</v>
      </c>
      <c r="E944" s="116">
        <v>217</v>
      </c>
      <c r="F944" s="116">
        <v>208.4</v>
      </c>
      <c r="G944">
        <v>329280</v>
      </c>
      <c r="H944" s="116"/>
      <c r="I944" s="116"/>
      <c r="L944" s="170">
        <v>43392</v>
      </c>
      <c r="M944" s="116">
        <v>209.2</v>
      </c>
      <c r="N944" s="116">
        <v>215</v>
      </c>
      <c r="O944" s="116">
        <v>207.85</v>
      </c>
      <c r="P944" s="116">
        <v>214.9</v>
      </c>
      <c r="Q944" s="116">
        <v>209.2</v>
      </c>
      <c r="R944">
        <v>5427052</v>
      </c>
    </row>
    <row r="945" spans="1:18" x14ac:dyDescent="0.25">
      <c r="A945" s="170">
        <v>43395</v>
      </c>
      <c r="B945" s="116">
        <v>213.1</v>
      </c>
      <c r="C945" s="116">
        <v>205.8</v>
      </c>
      <c r="D945" s="116">
        <v>204.2</v>
      </c>
      <c r="E945" s="116">
        <v>210.1</v>
      </c>
      <c r="F945" s="116">
        <v>205.8</v>
      </c>
      <c r="G945">
        <v>130100</v>
      </c>
      <c r="H945" s="116"/>
      <c r="I945" s="116"/>
      <c r="L945" s="170">
        <v>43395</v>
      </c>
      <c r="M945" s="116">
        <v>206</v>
      </c>
      <c r="N945" s="116">
        <v>213.45</v>
      </c>
      <c r="O945" s="116">
        <v>204.7</v>
      </c>
      <c r="P945" s="116">
        <v>212.05</v>
      </c>
      <c r="Q945" s="116">
        <v>206</v>
      </c>
      <c r="R945">
        <v>3803442</v>
      </c>
    </row>
    <row r="946" spans="1:18" x14ac:dyDescent="0.25">
      <c r="A946" s="170">
        <v>43396</v>
      </c>
      <c r="B946" s="116">
        <v>208.5</v>
      </c>
      <c r="C946" s="116">
        <v>201.15</v>
      </c>
      <c r="D946" s="116">
        <v>197.35</v>
      </c>
      <c r="E946" s="116">
        <v>208.5</v>
      </c>
      <c r="F946" s="116">
        <v>201.15</v>
      </c>
      <c r="G946">
        <v>289445</v>
      </c>
      <c r="H946" s="116"/>
      <c r="I946" s="116"/>
      <c r="L946" s="170">
        <v>43396</v>
      </c>
      <c r="M946" s="116">
        <v>200.6</v>
      </c>
      <c r="N946" s="116">
        <v>206</v>
      </c>
      <c r="O946" s="116">
        <v>196.8</v>
      </c>
      <c r="P946" s="116">
        <v>202.8</v>
      </c>
      <c r="Q946" s="116">
        <v>200.6</v>
      </c>
      <c r="R946">
        <v>8424281</v>
      </c>
    </row>
    <row r="947" spans="1:18" x14ac:dyDescent="0.25">
      <c r="A947" s="170">
        <v>43397</v>
      </c>
      <c r="B947" s="116">
        <v>203.2</v>
      </c>
      <c r="C947" s="116">
        <v>196.6</v>
      </c>
      <c r="D947" s="116">
        <v>193.05</v>
      </c>
      <c r="E947" s="116">
        <v>200.45</v>
      </c>
      <c r="F947" s="116">
        <v>196.6</v>
      </c>
      <c r="G947">
        <v>2866099</v>
      </c>
      <c r="H947" s="116"/>
      <c r="I947" s="116"/>
      <c r="L947" s="170">
        <v>43397</v>
      </c>
      <c r="M947" s="116">
        <v>196.4</v>
      </c>
      <c r="N947" s="116">
        <v>204.45</v>
      </c>
      <c r="O947" s="116">
        <v>192.95</v>
      </c>
      <c r="P947" s="116">
        <v>202</v>
      </c>
      <c r="Q947" s="116">
        <v>196.4</v>
      </c>
      <c r="R947">
        <v>14849782</v>
      </c>
    </row>
    <row r="948" spans="1:18" x14ac:dyDescent="0.25">
      <c r="A948" s="170">
        <v>43398</v>
      </c>
      <c r="B948" s="116">
        <v>197.3</v>
      </c>
      <c r="C948" s="116">
        <v>193.1</v>
      </c>
      <c r="D948" s="116">
        <v>191.35</v>
      </c>
      <c r="E948" s="116">
        <v>195</v>
      </c>
      <c r="F948" s="116">
        <v>193.1</v>
      </c>
      <c r="G948">
        <v>89539</v>
      </c>
      <c r="H948" s="116"/>
      <c r="I948" s="116"/>
      <c r="L948" s="170">
        <v>43398</v>
      </c>
      <c r="M948" s="116">
        <v>192.55</v>
      </c>
      <c r="N948" s="116">
        <v>197.45</v>
      </c>
      <c r="O948" s="116">
        <v>191.8</v>
      </c>
      <c r="P948" s="116">
        <v>194</v>
      </c>
      <c r="Q948" s="116">
        <v>192.55</v>
      </c>
      <c r="R948">
        <v>7180208</v>
      </c>
    </row>
    <row r="949" spans="1:18" x14ac:dyDescent="0.25">
      <c r="A949" s="170">
        <v>43399</v>
      </c>
      <c r="B949" s="116">
        <v>197</v>
      </c>
      <c r="C949" s="116">
        <v>190.35</v>
      </c>
      <c r="D949" s="116">
        <v>188.75</v>
      </c>
      <c r="E949" s="116">
        <v>196</v>
      </c>
      <c r="F949" s="116">
        <v>190.35</v>
      </c>
      <c r="G949">
        <v>2876425</v>
      </c>
      <c r="H949" s="116"/>
      <c r="I949" s="116"/>
      <c r="L949" s="170">
        <v>43399</v>
      </c>
      <c r="M949" s="116">
        <v>190.45</v>
      </c>
      <c r="N949" s="116">
        <v>193.65</v>
      </c>
      <c r="O949" s="116">
        <v>188.5</v>
      </c>
      <c r="P949" s="116">
        <v>193.65</v>
      </c>
      <c r="Q949" s="116">
        <v>190.45</v>
      </c>
      <c r="R949">
        <v>16413375</v>
      </c>
    </row>
    <row r="950" spans="1:18" x14ac:dyDescent="0.25">
      <c r="A950" s="170">
        <v>43402</v>
      </c>
      <c r="B950" s="116">
        <v>194.3</v>
      </c>
      <c r="C950" s="116">
        <v>192.9</v>
      </c>
      <c r="D950" s="116">
        <v>189.2</v>
      </c>
      <c r="E950" s="116">
        <v>194</v>
      </c>
      <c r="F950" s="116">
        <v>192.9</v>
      </c>
      <c r="G950">
        <v>23115724</v>
      </c>
      <c r="H950" s="116"/>
      <c r="I950" s="116"/>
      <c r="L950" s="170">
        <v>43402</v>
      </c>
      <c r="M950" s="116">
        <v>193.1</v>
      </c>
      <c r="N950" s="116">
        <v>194.35</v>
      </c>
      <c r="O950" s="116">
        <v>189.05</v>
      </c>
      <c r="P950" s="116">
        <v>192</v>
      </c>
      <c r="Q950" s="116">
        <v>193.1</v>
      </c>
      <c r="R950">
        <v>16772923</v>
      </c>
    </row>
    <row r="951" spans="1:18" x14ac:dyDescent="0.25">
      <c r="A951" s="170">
        <v>43403</v>
      </c>
      <c r="B951" s="116">
        <v>197</v>
      </c>
      <c r="C951" s="116">
        <v>192.5</v>
      </c>
      <c r="D951" s="116">
        <v>192</v>
      </c>
      <c r="E951" s="116">
        <v>194</v>
      </c>
      <c r="F951" s="116">
        <v>192.5</v>
      </c>
      <c r="G951">
        <v>150080</v>
      </c>
      <c r="H951" s="116"/>
      <c r="I951" s="116"/>
      <c r="L951" s="170">
        <v>43403</v>
      </c>
      <c r="M951" s="116">
        <v>192.45</v>
      </c>
      <c r="N951" s="116">
        <v>197.1</v>
      </c>
      <c r="O951" s="116">
        <v>192.05</v>
      </c>
      <c r="P951" s="116">
        <v>193.1</v>
      </c>
      <c r="Q951" s="116">
        <v>192.45</v>
      </c>
      <c r="R951">
        <v>3981871</v>
      </c>
    </row>
    <row r="952" spans="1:18" x14ac:dyDescent="0.25">
      <c r="A952" s="170">
        <v>43404</v>
      </c>
      <c r="B952" s="116">
        <v>198.05</v>
      </c>
      <c r="C952" s="116">
        <v>197.1</v>
      </c>
      <c r="D952" s="116">
        <v>188.5</v>
      </c>
      <c r="E952" s="116">
        <v>193.5</v>
      </c>
      <c r="F952" s="116">
        <v>197.1</v>
      </c>
      <c r="G952">
        <v>2834502</v>
      </c>
      <c r="H952" s="116"/>
      <c r="I952" s="116"/>
      <c r="L952" s="170">
        <v>43404</v>
      </c>
      <c r="M952" s="116">
        <v>197.15</v>
      </c>
      <c r="N952" s="116">
        <v>198.7</v>
      </c>
      <c r="O952" s="116">
        <v>188.35</v>
      </c>
      <c r="P952" s="116">
        <v>193</v>
      </c>
      <c r="Q952" s="116">
        <v>197.15</v>
      </c>
      <c r="R952">
        <v>8628188</v>
      </c>
    </row>
    <row r="953" spans="1:18" x14ac:dyDescent="0.25">
      <c r="A953" s="170">
        <v>43405</v>
      </c>
      <c r="B953" s="116">
        <v>200.8</v>
      </c>
      <c r="C953" s="116">
        <v>199.8</v>
      </c>
      <c r="D953" s="116">
        <v>197.05</v>
      </c>
      <c r="E953" s="116">
        <v>197.05</v>
      </c>
      <c r="F953" s="116">
        <v>199.8</v>
      </c>
      <c r="G953">
        <v>278856</v>
      </c>
      <c r="H953" s="116"/>
      <c r="I953" s="116"/>
      <c r="L953" s="170">
        <v>43405</v>
      </c>
      <c r="M953" s="116">
        <v>199.95</v>
      </c>
      <c r="N953" s="116">
        <v>201</v>
      </c>
      <c r="O953" s="116">
        <v>197.2</v>
      </c>
      <c r="P953" s="116">
        <v>197.6</v>
      </c>
      <c r="Q953" s="116">
        <v>199.95</v>
      </c>
      <c r="R953">
        <v>3416848</v>
      </c>
    </row>
    <row r="954" spans="1:18" x14ac:dyDescent="0.25">
      <c r="A954" s="170">
        <v>43406</v>
      </c>
      <c r="B954" s="116">
        <v>208.35</v>
      </c>
      <c r="C954" s="116">
        <v>203.5</v>
      </c>
      <c r="D954" s="116">
        <v>201.2</v>
      </c>
      <c r="E954" s="116">
        <v>201.2</v>
      </c>
      <c r="F954" s="116">
        <v>203.5</v>
      </c>
      <c r="G954">
        <v>1117199</v>
      </c>
      <c r="H954" s="116"/>
      <c r="I954" s="116"/>
      <c r="L954" s="170">
        <v>43406</v>
      </c>
      <c r="M954" s="116">
        <v>204.05</v>
      </c>
      <c r="N954" s="116">
        <v>208</v>
      </c>
      <c r="O954" s="116">
        <v>201.4</v>
      </c>
      <c r="P954" s="116">
        <v>202</v>
      </c>
      <c r="Q954" s="116">
        <v>204.05</v>
      </c>
      <c r="R954">
        <v>4174804</v>
      </c>
    </row>
    <row r="955" spans="1:18" x14ac:dyDescent="0.25">
      <c r="A955" s="170">
        <v>43409</v>
      </c>
      <c r="B955" s="116">
        <v>206</v>
      </c>
      <c r="C955" s="116">
        <v>205.1</v>
      </c>
      <c r="D955" s="116">
        <v>202.5</v>
      </c>
      <c r="E955" s="116">
        <v>206</v>
      </c>
      <c r="F955" s="116">
        <v>205.1</v>
      </c>
      <c r="G955">
        <v>74625</v>
      </c>
      <c r="H955" s="116"/>
      <c r="I955" s="116"/>
      <c r="L955" s="170">
        <v>43409</v>
      </c>
      <c r="M955" s="116">
        <v>205.45</v>
      </c>
      <c r="N955" s="116">
        <v>206.1</v>
      </c>
      <c r="O955" s="116">
        <v>202.4</v>
      </c>
      <c r="P955" s="116">
        <v>203.9</v>
      </c>
      <c r="Q955" s="116">
        <v>205.45</v>
      </c>
      <c r="R955">
        <v>2629132</v>
      </c>
    </row>
    <row r="956" spans="1:18" x14ac:dyDescent="0.25">
      <c r="A956" s="170">
        <v>43410</v>
      </c>
      <c r="B956" s="116">
        <v>206.95</v>
      </c>
      <c r="C956" s="116">
        <v>203.65</v>
      </c>
      <c r="D956" s="116">
        <v>203.35</v>
      </c>
      <c r="E956" s="116">
        <v>205.75</v>
      </c>
      <c r="F956" s="116">
        <v>203.65</v>
      </c>
      <c r="G956">
        <v>47193</v>
      </c>
      <c r="H956" s="116"/>
      <c r="I956" s="116"/>
      <c r="L956" s="170">
        <v>43410</v>
      </c>
      <c r="M956" s="116">
        <v>204.2</v>
      </c>
      <c r="N956" s="116">
        <v>206.95</v>
      </c>
      <c r="O956" s="116">
        <v>203.25</v>
      </c>
      <c r="P956" s="116">
        <v>206</v>
      </c>
      <c r="Q956" s="116">
        <v>204.2</v>
      </c>
      <c r="R956">
        <v>1757806</v>
      </c>
    </row>
    <row r="957" spans="1:18" x14ac:dyDescent="0.25">
      <c r="A957" s="170">
        <v>43411</v>
      </c>
      <c r="B957" s="116">
        <v>206.7</v>
      </c>
      <c r="C957" s="116">
        <v>205.2</v>
      </c>
      <c r="D957" s="116">
        <v>204.55</v>
      </c>
      <c r="E957" s="116">
        <v>205</v>
      </c>
      <c r="F957" s="116">
        <v>205.2</v>
      </c>
      <c r="G957">
        <v>13279</v>
      </c>
      <c r="H957" s="116"/>
      <c r="I957" s="116"/>
      <c r="L957" s="170">
        <v>43411</v>
      </c>
      <c r="M957" s="116">
        <v>205.6</v>
      </c>
      <c r="N957" s="116">
        <v>206.35</v>
      </c>
      <c r="O957" s="116">
        <v>204.55</v>
      </c>
      <c r="P957" s="116">
        <v>205.6</v>
      </c>
      <c r="Q957" s="116">
        <v>205.6</v>
      </c>
      <c r="R957">
        <v>172463</v>
      </c>
    </row>
    <row r="958" spans="1:18" x14ac:dyDescent="0.25">
      <c r="A958" s="170">
        <v>43413</v>
      </c>
      <c r="B958" s="116">
        <v>207.25</v>
      </c>
      <c r="C958" s="116">
        <v>205.25</v>
      </c>
      <c r="D958" s="116">
        <v>204.65</v>
      </c>
      <c r="E958" s="116">
        <v>206.45</v>
      </c>
      <c r="F958" s="116">
        <v>205.25</v>
      </c>
      <c r="G958">
        <v>54309</v>
      </c>
      <c r="H958" s="116"/>
      <c r="I958" s="116"/>
      <c r="L958" s="170">
        <v>43413</v>
      </c>
      <c r="M958" s="116">
        <v>205.3</v>
      </c>
      <c r="N958" s="116">
        <v>207.45</v>
      </c>
      <c r="O958" s="116">
        <v>204.75</v>
      </c>
      <c r="P958" s="116">
        <v>207.35</v>
      </c>
      <c r="Q958" s="116">
        <v>205.3</v>
      </c>
      <c r="R958">
        <v>1849981</v>
      </c>
    </row>
    <row r="959" spans="1:18" x14ac:dyDescent="0.25">
      <c r="A959" s="170">
        <v>43416</v>
      </c>
      <c r="B959" s="116">
        <v>208</v>
      </c>
      <c r="C959" s="116">
        <v>203.15</v>
      </c>
      <c r="D959" s="116">
        <v>201.5</v>
      </c>
      <c r="E959" s="116">
        <v>206</v>
      </c>
      <c r="F959" s="116">
        <v>203.15</v>
      </c>
      <c r="G959">
        <v>89557</v>
      </c>
      <c r="H959" s="116"/>
      <c r="I959" s="116"/>
      <c r="L959" s="170">
        <v>43416</v>
      </c>
      <c r="M959" s="116">
        <v>203.35</v>
      </c>
      <c r="N959" s="116">
        <v>208.4</v>
      </c>
      <c r="O959" s="116">
        <v>201.8</v>
      </c>
      <c r="P959" s="116">
        <v>205.9</v>
      </c>
      <c r="Q959" s="116">
        <v>203.35</v>
      </c>
      <c r="R959">
        <v>3828786</v>
      </c>
    </row>
    <row r="960" spans="1:18" x14ac:dyDescent="0.25">
      <c r="A960" s="170">
        <v>43417</v>
      </c>
      <c r="B960" s="116">
        <v>206.25</v>
      </c>
      <c r="C960" s="116">
        <v>205.8</v>
      </c>
      <c r="D960" s="116">
        <v>201.5</v>
      </c>
      <c r="E960" s="116">
        <v>202.8</v>
      </c>
      <c r="F960" s="116">
        <v>205.8</v>
      </c>
      <c r="G960">
        <v>76223</v>
      </c>
      <c r="H960" s="116"/>
      <c r="I960" s="116"/>
      <c r="L960" s="170">
        <v>43417</v>
      </c>
      <c r="M960" s="116">
        <v>205.85</v>
      </c>
      <c r="N960" s="116">
        <v>206.4</v>
      </c>
      <c r="O960" s="116">
        <v>201.4</v>
      </c>
      <c r="P960" s="116">
        <v>202.95</v>
      </c>
      <c r="Q960" s="116">
        <v>205.85</v>
      </c>
      <c r="R960">
        <v>2024625</v>
      </c>
    </row>
    <row r="961" spans="1:18" x14ac:dyDescent="0.25">
      <c r="A961" s="170">
        <v>43418</v>
      </c>
      <c r="B961" s="116">
        <v>213.65</v>
      </c>
      <c r="C961" s="116">
        <v>211.15</v>
      </c>
      <c r="D961" s="116">
        <v>206.5</v>
      </c>
      <c r="E961" s="116">
        <v>206.8</v>
      </c>
      <c r="F961" s="116">
        <v>211.15</v>
      </c>
      <c r="G961">
        <v>5066829</v>
      </c>
      <c r="H961" s="116"/>
      <c r="I961" s="116"/>
      <c r="L961" s="170">
        <v>43418</v>
      </c>
      <c r="M961" s="116">
        <v>211.2</v>
      </c>
      <c r="N961" s="116">
        <v>214.35</v>
      </c>
      <c r="O961" s="116">
        <v>206.55</v>
      </c>
      <c r="P961" s="116">
        <v>207</v>
      </c>
      <c r="Q961" s="116">
        <v>211.2</v>
      </c>
      <c r="R961">
        <v>5341589</v>
      </c>
    </row>
    <row r="962" spans="1:18" x14ac:dyDescent="0.25">
      <c r="A962" s="170">
        <v>43419</v>
      </c>
      <c r="B962" s="116">
        <v>218.3</v>
      </c>
      <c r="C962" s="116">
        <v>217.1</v>
      </c>
      <c r="D962" s="116">
        <v>208.25</v>
      </c>
      <c r="E962" s="116">
        <v>211</v>
      </c>
      <c r="F962" s="116">
        <v>217.1</v>
      </c>
      <c r="G962">
        <v>153731</v>
      </c>
      <c r="H962" s="116"/>
      <c r="I962" s="116"/>
      <c r="L962" s="170">
        <v>43419</v>
      </c>
      <c r="M962" s="116">
        <v>217.85</v>
      </c>
      <c r="N962" s="116">
        <v>219</v>
      </c>
      <c r="O962" s="116">
        <v>208.2</v>
      </c>
      <c r="P962" s="116">
        <v>211.4</v>
      </c>
      <c r="Q962" s="116">
        <v>217.85</v>
      </c>
      <c r="R962">
        <v>3028344</v>
      </c>
    </row>
    <row r="963" spans="1:18" x14ac:dyDescent="0.25">
      <c r="A963" s="170">
        <v>43420</v>
      </c>
      <c r="B963" s="116">
        <v>219</v>
      </c>
      <c r="C963" s="116">
        <v>216.8</v>
      </c>
      <c r="D963" s="116">
        <v>215.2</v>
      </c>
      <c r="E963" s="116">
        <v>217.55</v>
      </c>
      <c r="F963" s="116">
        <v>216.8</v>
      </c>
      <c r="G963">
        <v>79337</v>
      </c>
      <c r="H963" s="116"/>
      <c r="I963" s="116"/>
      <c r="L963" s="170">
        <v>43420</v>
      </c>
      <c r="M963" s="116">
        <v>217.25</v>
      </c>
      <c r="N963" s="116">
        <v>219</v>
      </c>
      <c r="O963" s="116">
        <v>215</v>
      </c>
      <c r="P963" s="116">
        <v>217.9</v>
      </c>
      <c r="Q963" s="116">
        <v>217.25</v>
      </c>
      <c r="R963">
        <v>1845708</v>
      </c>
    </row>
    <row r="964" spans="1:18" x14ac:dyDescent="0.25">
      <c r="A964" s="170">
        <v>43423</v>
      </c>
      <c r="B964" s="116">
        <v>221.25</v>
      </c>
      <c r="C964" s="116">
        <v>219.7</v>
      </c>
      <c r="D964" s="116">
        <v>215</v>
      </c>
      <c r="E964" s="116">
        <v>217.9</v>
      </c>
      <c r="F964" s="116">
        <v>219.7</v>
      </c>
      <c r="G964">
        <v>104347</v>
      </c>
      <c r="H964" s="116"/>
      <c r="I964" s="116"/>
      <c r="L964" s="170">
        <v>43423</v>
      </c>
      <c r="M964" s="116">
        <v>220.4</v>
      </c>
      <c r="N964" s="116">
        <v>221.65</v>
      </c>
      <c r="O964" s="116">
        <v>214.95</v>
      </c>
      <c r="P964" s="116">
        <v>218</v>
      </c>
      <c r="Q964" s="116">
        <v>220.4</v>
      </c>
      <c r="R964">
        <v>3289421</v>
      </c>
    </row>
    <row r="965" spans="1:18" x14ac:dyDescent="0.25">
      <c r="A965" s="170">
        <v>43424</v>
      </c>
      <c r="B965" s="116">
        <v>219.9</v>
      </c>
      <c r="C965" s="116">
        <v>215.1</v>
      </c>
      <c r="D965" s="116">
        <v>214</v>
      </c>
      <c r="E965" s="116">
        <v>219.9</v>
      </c>
      <c r="F965" s="116">
        <v>215.1</v>
      </c>
      <c r="G965">
        <v>42594</v>
      </c>
      <c r="H965" s="116"/>
      <c r="I965" s="116"/>
      <c r="L965" s="170">
        <v>43424</v>
      </c>
      <c r="M965" s="116">
        <v>215</v>
      </c>
      <c r="N965" s="116">
        <v>219.25</v>
      </c>
      <c r="O965" s="116">
        <v>214.05</v>
      </c>
      <c r="P965" s="116">
        <v>219.25</v>
      </c>
      <c r="Q965" s="116">
        <v>215</v>
      </c>
      <c r="R965">
        <v>1207441</v>
      </c>
    </row>
    <row r="966" spans="1:18" x14ac:dyDescent="0.25">
      <c r="A966" s="170">
        <v>43425</v>
      </c>
      <c r="B966" s="116">
        <v>218.4</v>
      </c>
      <c r="C966" s="116">
        <v>217.6</v>
      </c>
      <c r="D966" s="116">
        <v>214.25</v>
      </c>
      <c r="E966" s="116">
        <v>217.4</v>
      </c>
      <c r="F966" s="116">
        <v>217.6</v>
      </c>
      <c r="G966">
        <v>30720</v>
      </c>
      <c r="H966" s="116"/>
      <c r="I966" s="116"/>
      <c r="L966" s="170">
        <v>43425</v>
      </c>
      <c r="M966" s="116">
        <v>217.6</v>
      </c>
      <c r="N966" s="116">
        <v>218.2</v>
      </c>
      <c r="O966" s="116">
        <v>214.05</v>
      </c>
      <c r="P966" s="116">
        <v>216</v>
      </c>
      <c r="Q966" s="116">
        <v>217.6</v>
      </c>
      <c r="R966">
        <v>1599264</v>
      </c>
    </row>
    <row r="967" spans="1:18" x14ac:dyDescent="0.25">
      <c r="A967" s="170">
        <v>43426</v>
      </c>
      <c r="B967" s="116">
        <v>219.2</v>
      </c>
      <c r="C967" s="116">
        <v>214.65</v>
      </c>
      <c r="D967" s="116">
        <v>213.55</v>
      </c>
      <c r="E967" s="116">
        <v>219.2</v>
      </c>
      <c r="F967" s="116">
        <v>214.65</v>
      </c>
      <c r="G967">
        <v>39660</v>
      </c>
      <c r="H967" s="116"/>
      <c r="I967" s="116"/>
      <c r="L967" s="170">
        <v>43426</v>
      </c>
      <c r="M967" s="116">
        <v>214.65</v>
      </c>
      <c r="N967" s="116">
        <v>218.8</v>
      </c>
      <c r="O967" s="116">
        <v>213.8</v>
      </c>
      <c r="P967" s="116">
        <v>218.8</v>
      </c>
      <c r="Q967" s="116">
        <v>214.65</v>
      </c>
      <c r="R967">
        <v>1093305</v>
      </c>
    </row>
    <row r="968" spans="1:18" x14ac:dyDescent="0.25">
      <c r="A968" s="170">
        <v>43430</v>
      </c>
      <c r="B968" s="116">
        <v>216.9</v>
      </c>
      <c r="C968" s="116">
        <v>216.4</v>
      </c>
      <c r="D968" s="116">
        <v>211.75</v>
      </c>
      <c r="E968" s="116">
        <v>215.05</v>
      </c>
      <c r="F968" s="116">
        <v>216.4</v>
      </c>
      <c r="G968">
        <v>91294</v>
      </c>
      <c r="H968" s="116"/>
      <c r="I968" s="116"/>
      <c r="L968" s="170">
        <v>43430</v>
      </c>
      <c r="M968" s="116">
        <v>216.45</v>
      </c>
      <c r="N968" s="116">
        <v>217</v>
      </c>
      <c r="O968" s="116">
        <v>211.65</v>
      </c>
      <c r="P968" s="116">
        <v>214.2</v>
      </c>
      <c r="Q968" s="116">
        <v>216.45</v>
      </c>
      <c r="R968">
        <v>2129029</v>
      </c>
    </row>
    <row r="969" spans="1:18" x14ac:dyDescent="0.25">
      <c r="A969" s="170">
        <v>43431</v>
      </c>
      <c r="B969" s="116">
        <v>218</v>
      </c>
      <c r="C969" s="116">
        <v>215.35</v>
      </c>
      <c r="D969" s="116">
        <v>214.4</v>
      </c>
      <c r="E969" s="116">
        <v>215.7</v>
      </c>
      <c r="F969" s="116">
        <v>215.35</v>
      </c>
      <c r="G969">
        <v>299254</v>
      </c>
      <c r="H969" s="116"/>
      <c r="I969" s="116"/>
      <c r="L969" s="170">
        <v>43431</v>
      </c>
      <c r="M969" s="116">
        <v>215.85</v>
      </c>
      <c r="N969" s="116">
        <v>218.15</v>
      </c>
      <c r="O969" s="116">
        <v>214.3</v>
      </c>
      <c r="P969" s="116">
        <v>215.95</v>
      </c>
      <c r="Q969" s="116">
        <v>215.85</v>
      </c>
      <c r="R969">
        <v>1843182</v>
      </c>
    </row>
    <row r="970" spans="1:18" x14ac:dyDescent="0.25">
      <c r="A970" s="170">
        <v>43432</v>
      </c>
      <c r="B970" s="116">
        <v>217.4</v>
      </c>
      <c r="C970" s="116">
        <v>214.3</v>
      </c>
      <c r="D970" s="116">
        <v>213.5</v>
      </c>
      <c r="E970" s="116">
        <v>216.8</v>
      </c>
      <c r="F970" s="116">
        <v>214.3</v>
      </c>
      <c r="G970">
        <v>41299</v>
      </c>
      <c r="H970" s="116"/>
      <c r="I970" s="116"/>
      <c r="L970" s="170">
        <v>43432</v>
      </c>
      <c r="M970" s="116">
        <v>214.55</v>
      </c>
      <c r="N970" s="116">
        <v>217.5</v>
      </c>
      <c r="O970" s="116">
        <v>213.65</v>
      </c>
      <c r="P970" s="116">
        <v>216.5</v>
      </c>
      <c r="Q970" s="116">
        <v>214.55</v>
      </c>
      <c r="R970">
        <v>1252402</v>
      </c>
    </row>
    <row r="971" spans="1:18" x14ac:dyDescent="0.25">
      <c r="A971" s="170">
        <v>43433</v>
      </c>
      <c r="B971" s="116">
        <v>219.85</v>
      </c>
      <c r="C971" s="116">
        <v>217</v>
      </c>
      <c r="D971" s="116">
        <v>215.2</v>
      </c>
      <c r="E971" s="116">
        <v>216.35</v>
      </c>
      <c r="F971" s="116">
        <v>217</v>
      </c>
      <c r="G971">
        <v>2145749</v>
      </c>
      <c r="H971" s="116"/>
      <c r="I971" s="116"/>
      <c r="L971" s="170">
        <v>43433</v>
      </c>
      <c r="M971" s="116">
        <v>216.8</v>
      </c>
      <c r="N971" s="116">
        <v>220</v>
      </c>
      <c r="O971" s="116">
        <v>214.9</v>
      </c>
      <c r="P971" s="116">
        <v>217.6</v>
      </c>
      <c r="Q971" s="116">
        <v>216.8</v>
      </c>
      <c r="R971">
        <v>2647720</v>
      </c>
    </row>
    <row r="972" spans="1:18" x14ac:dyDescent="0.25">
      <c r="A972" s="170">
        <v>43434</v>
      </c>
      <c r="B972" s="116">
        <v>220.75</v>
      </c>
      <c r="C972" s="116">
        <v>218</v>
      </c>
      <c r="D972" s="116">
        <v>216</v>
      </c>
      <c r="E972" s="116">
        <v>217.1</v>
      </c>
      <c r="F972" s="116">
        <v>218</v>
      </c>
      <c r="G972">
        <v>1217563</v>
      </c>
      <c r="H972" s="116"/>
      <c r="I972" s="116"/>
      <c r="L972" s="170">
        <v>43434</v>
      </c>
      <c r="M972" s="116">
        <v>217.45</v>
      </c>
      <c r="N972" s="116">
        <v>220.9</v>
      </c>
      <c r="O972" s="116">
        <v>215.7</v>
      </c>
      <c r="P972" s="116">
        <v>217.6</v>
      </c>
      <c r="Q972" s="116">
        <v>217.45</v>
      </c>
      <c r="R972">
        <v>4396332</v>
      </c>
    </row>
    <row r="973" spans="1:18" x14ac:dyDescent="0.25">
      <c r="A973" s="170">
        <v>43437</v>
      </c>
      <c r="B973" s="116">
        <v>222.85</v>
      </c>
      <c r="C973" s="116">
        <v>220.4</v>
      </c>
      <c r="D973" s="116">
        <v>215.55</v>
      </c>
      <c r="E973" s="116">
        <v>215.55</v>
      </c>
      <c r="F973" s="116">
        <v>220.4</v>
      </c>
      <c r="G973">
        <v>113902</v>
      </c>
      <c r="H973" s="116"/>
      <c r="I973" s="116"/>
      <c r="L973" s="170">
        <v>43437</v>
      </c>
      <c r="M973" s="116">
        <v>220</v>
      </c>
      <c r="N973" s="116">
        <v>222.8</v>
      </c>
      <c r="O973" s="116">
        <v>217.6</v>
      </c>
      <c r="P973" s="116">
        <v>218.6</v>
      </c>
      <c r="Q973" s="116">
        <v>220</v>
      </c>
      <c r="R973">
        <v>2823065</v>
      </c>
    </row>
    <row r="974" spans="1:18" x14ac:dyDescent="0.25">
      <c r="A974" s="170">
        <v>43438</v>
      </c>
      <c r="B974" s="116">
        <v>223.5</v>
      </c>
      <c r="C974" s="116">
        <v>219.45</v>
      </c>
      <c r="D974" s="116">
        <v>217.95</v>
      </c>
      <c r="E974" s="116">
        <v>220.65</v>
      </c>
      <c r="F974" s="116">
        <v>219.45</v>
      </c>
      <c r="G974">
        <v>73107</v>
      </c>
      <c r="H974" s="116"/>
      <c r="I974" s="116"/>
      <c r="L974" s="170">
        <v>43438</v>
      </c>
      <c r="M974" s="116">
        <v>219</v>
      </c>
      <c r="N974" s="116">
        <v>223.6</v>
      </c>
      <c r="O974" s="116">
        <v>217.5</v>
      </c>
      <c r="P974" s="116">
        <v>220</v>
      </c>
      <c r="Q974" s="116">
        <v>219</v>
      </c>
      <c r="R974">
        <v>1995824</v>
      </c>
    </row>
    <row r="975" spans="1:18" x14ac:dyDescent="0.25">
      <c r="A975" s="170">
        <v>43439</v>
      </c>
      <c r="B975" s="116">
        <v>218.6</v>
      </c>
      <c r="C975" s="116">
        <v>216.45</v>
      </c>
      <c r="D975" s="116">
        <v>215.5</v>
      </c>
      <c r="E975" s="116">
        <v>218.25</v>
      </c>
      <c r="F975" s="116">
        <v>216.45</v>
      </c>
      <c r="G975">
        <v>65155</v>
      </c>
      <c r="H975" s="116"/>
      <c r="I975" s="116"/>
      <c r="L975" s="170">
        <v>43439</v>
      </c>
      <c r="M975" s="116">
        <v>216.65</v>
      </c>
      <c r="N975" s="116">
        <v>218.8</v>
      </c>
      <c r="O975" s="116">
        <v>215.35</v>
      </c>
      <c r="P975" s="116">
        <v>218.8</v>
      </c>
      <c r="Q975" s="116">
        <v>216.65</v>
      </c>
      <c r="R975">
        <v>1836318</v>
      </c>
    </row>
    <row r="976" spans="1:18" x14ac:dyDescent="0.25">
      <c r="A976" s="170">
        <v>43440</v>
      </c>
      <c r="B976" s="116">
        <v>215.5</v>
      </c>
      <c r="C976" s="116">
        <v>208.45</v>
      </c>
      <c r="D976" s="116">
        <v>207.05</v>
      </c>
      <c r="E976" s="116">
        <v>214.95</v>
      </c>
      <c r="F976" s="116">
        <v>208.45</v>
      </c>
      <c r="G976">
        <v>68721</v>
      </c>
      <c r="H976" s="116"/>
      <c r="I976" s="116"/>
      <c r="L976" s="170">
        <v>43440</v>
      </c>
      <c r="M976" s="116">
        <v>208.15</v>
      </c>
      <c r="N976" s="116">
        <v>215.55</v>
      </c>
      <c r="O976" s="116">
        <v>206.85</v>
      </c>
      <c r="P976" s="116">
        <v>214.7</v>
      </c>
      <c r="Q976" s="116">
        <v>208.15</v>
      </c>
      <c r="R976">
        <v>1873533</v>
      </c>
    </row>
    <row r="977" spans="1:18" x14ac:dyDescent="0.25">
      <c r="A977" s="170">
        <v>43441</v>
      </c>
      <c r="B977" s="116">
        <v>213</v>
      </c>
      <c r="C977" s="116">
        <v>212.15</v>
      </c>
      <c r="D977" s="116">
        <v>207.95</v>
      </c>
      <c r="E977" s="116">
        <v>209.8</v>
      </c>
      <c r="F977" s="116">
        <v>212.15</v>
      </c>
      <c r="G977">
        <v>46903</v>
      </c>
      <c r="H977" s="116"/>
      <c r="I977" s="116"/>
      <c r="L977" s="170">
        <v>43441</v>
      </c>
      <c r="M977" s="116">
        <v>212.45</v>
      </c>
      <c r="N977" s="116">
        <v>213.5</v>
      </c>
      <c r="O977" s="116">
        <v>207.6</v>
      </c>
      <c r="P977" s="116">
        <v>209.8</v>
      </c>
      <c r="Q977" s="116">
        <v>212.45</v>
      </c>
      <c r="R977">
        <v>1040049</v>
      </c>
    </row>
    <row r="978" spans="1:18" x14ac:dyDescent="0.25">
      <c r="A978" s="170">
        <v>43444</v>
      </c>
      <c r="B978" s="116">
        <v>209.65</v>
      </c>
      <c r="C978" s="116">
        <v>205.1</v>
      </c>
      <c r="D978" s="116">
        <v>204</v>
      </c>
      <c r="E978" s="116">
        <v>209.65</v>
      </c>
      <c r="F978" s="116">
        <v>205.1</v>
      </c>
      <c r="G978">
        <v>164120</v>
      </c>
      <c r="H978" s="116"/>
      <c r="I978" s="116"/>
      <c r="L978" s="170">
        <v>43444</v>
      </c>
      <c r="M978" s="116">
        <v>204.9</v>
      </c>
      <c r="N978" s="116">
        <v>209.95</v>
      </c>
      <c r="O978" s="116">
        <v>204.5</v>
      </c>
      <c r="P978" s="116">
        <v>209.4</v>
      </c>
      <c r="Q978" s="116">
        <v>204.9</v>
      </c>
      <c r="R978">
        <v>1114367</v>
      </c>
    </row>
    <row r="979" spans="1:18" x14ac:dyDescent="0.25">
      <c r="A979" s="170">
        <v>43445</v>
      </c>
      <c r="B979" s="116">
        <v>215.15</v>
      </c>
      <c r="C979" s="116">
        <v>212.4</v>
      </c>
      <c r="D979" s="116">
        <v>203</v>
      </c>
      <c r="E979" s="116">
        <v>204.05</v>
      </c>
      <c r="F979" s="116">
        <v>212.4</v>
      </c>
      <c r="G979">
        <v>175043</v>
      </c>
      <c r="H979" s="116"/>
      <c r="I979" s="116"/>
      <c r="L979" s="170">
        <v>43445</v>
      </c>
      <c r="M979" s="116">
        <v>213.1</v>
      </c>
      <c r="N979" s="116">
        <v>215.7</v>
      </c>
      <c r="O979" s="116">
        <v>200.25</v>
      </c>
      <c r="P979" s="116">
        <v>200.25</v>
      </c>
      <c r="Q979" s="116">
        <v>213.1</v>
      </c>
      <c r="R979">
        <v>4298081</v>
      </c>
    </row>
    <row r="980" spans="1:18" x14ac:dyDescent="0.25">
      <c r="A980" s="170">
        <v>43446</v>
      </c>
      <c r="B980" s="116">
        <v>218.35</v>
      </c>
      <c r="C980" s="116">
        <v>216.15</v>
      </c>
      <c r="D980" s="116">
        <v>212.9</v>
      </c>
      <c r="E980" s="116">
        <v>212.9</v>
      </c>
      <c r="F980" s="116">
        <v>216.15</v>
      </c>
      <c r="G980">
        <v>115299</v>
      </c>
      <c r="H980" s="116"/>
      <c r="I980" s="116"/>
      <c r="L980" s="170">
        <v>43446</v>
      </c>
      <c r="M980" s="116">
        <v>215.95</v>
      </c>
      <c r="N980" s="116">
        <v>218.6</v>
      </c>
      <c r="O980" s="116">
        <v>212.65</v>
      </c>
      <c r="P980" s="116">
        <v>213</v>
      </c>
      <c r="Q980" s="116">
        <v>215.95</v>
      </c>
      <c r="R980">
        <v>3558108</v>
      </c>
    </row>
    <row r="981" spans="1:18" x14ac:dyDescent="0.25">
      <c r="A981" s="170">
        <v>43447</v>
      </c>
      <c r="B981" s="116">
        <v>221</v>
      </c>
      <c r="C981" s="116">
        <v>218.75</v>
      </c>
      <c r="D981" s="116">
        <v>216.25</v>
      </c>
      <c r="E981" s="116">
        <v>217.8</v>
      </c>
      <c r="F981" s="116">
        <v>218.75</v>
      </c>
      <c r="G981">
        <v>89942</v>
      </c>
      <c r="H981" s="116"/>
      <c r="I981" s="116"/>
      <c r="L981" s="170">
        <v>43447</v>
      </c>
      <c r="M981" s="116">
        <v>218.7</v>
      </c>
      <c r="N981" s="116">
        <v>220.65</v>
      </c>
      <c r="O981" s="116">
        <v>216.15</v>
      </c>
      <c r="P981" s="116">
        <v>216.2</v>
      </c>
      <c r="Q981" s="116">
        <v>218.7</v>
      </c>
      <c r="R981">
        <v>2819659</v>
      </c>
    </row>
    <row r="982" spans="1:18" x14ac:dyDescent="0.25">
      <c r="A982" s="170">
        <v>43448</v>
      </c>
      <c r="B982" s="116">
        <v>224.85</v>
      </c>
      <c r="C982" s="116">
        <v>219.25</v>
      </c>
      <c r="D982" s="116">
        <v>217.6</v>
      </c>
      <c r="E982" s="116">
        <v>223</v>
      </c>
      <c r="F982" s="116">
        <v>219.25</v>
      </c>
      <c r="G982">
        <v>305808</v>
      </c>
      <c r="H982" s="116"/>
      <c r="I982" s="116"/>
      <c r="L982" s="170">
        <v>43448</v>
      </c>
      <c r="M982" s="116">
        <v>219.45</v>
      </c>
      <c r="N982" s="116">
        <v>224.85</v>
      </c>
      <c r="O982" s="116">
        <v>218.2</v>
      </c>
      <c r="P982" s="116">
        <v>223.6</v>
      </c>
      <c r="Q982" s="116">
        <v>219.45</v>
      </c>
      <c r="R982">
        <v>5023903</v>
      </c>
    </row>
    <row r="983" spans="1:18" x14ac:dyDescent="0.25">
      <c r="A983" s="170">
        <v>43451</v>
      </c>
      <c r="B983" s="116">
        <v>221</v>
      </c>
      <c r="C983" s="116">
        <v>218.6</v>
      </c>
      <c r="D983" s="116">
        <v>217.5</v>
      </c>
      <c r="E983" s="116">
        <v>220</v>
      </c>
      <c r="F983" s="116">
        <v>218.6</v>
      </c>
      <c r="G983">
        <v>118511</v>
      </c>
      <c r="H983" s="116"/>
      <c r="I983" s="116"/>
      <c r="L983" s="170">
        <v>43451</v>
      </c>
      <c r="M983" s="116">
        <v>218.75</v>
      </c>
      <c r="N983" s="116">
        <v>221.15</v>
      </c>
      <c r="O983" s="116">
        <v>217.35</v>
      </c>
      <c r="P983" s="116">
        <v>219.55</v>
      </c>
      <c r="Q983" s="116">
        <v>218.75</v>
      </c>
      <c r="R983">
        <v>1236838</v>
      </c>
    </row>
    <row r="984" spans="1:18" x14ac:dyDescent="0.25">
      <c r="A984" s="170">
        <v>43452</v>
      </c>
      <c r="B984" s="116">
        <v>221.95</v>
      </c>
      <c r="C984" s="116">
        <v>219.75</v>
      </c>
      <c r="D984" s="116">
        <v>218.15</v>
      </c>
      <c r="E984" s="116">
        <v>218.7</v>
      </c>
      <c r="F984" s="116">
        <v>219.75</v>
      </c>
      <c r="G984">
        <v>54631</v>
      </c>
      <c r="H984" s="116"/>
      <c r="I984" s="116"/>
      <c r="L984" s="170">
        <v>43452</v>
      </c>
      <c r="M984" s="116">
        <v>219.65</v>
      </c>
      <c r="N984" s="116">
        <v>220.95</v>
      </c>
      <c r="O984" s="116">
        <v>218</v>
      </c>
      <c r="P984" s="116">
        <v>219.25</v>
      </c>
      <c r="Q984" s="116">
        <v>219.65</v>
      </c>
      <c r="R984">
        <v>1565567</v>
      </c>
    </row>
    <row r="985" spans="1:18" x14ac:dyDescent="0.25">
      <c r="A985" s="170">
        <v>43453</v>
      </c>
      <c r="B985" s="116">
        <v>230.25</v>
      </c>
      <c r="C985" s="116">
        <v>227.2</v>
      </c>
      <c r="D985" s="116">
        <v>220</v>
      </c>
      <c r="E985" s="116">
        <v>220</v>
      </c>
      <c r="F985" s="116">
        <v>227.2</v>
      </c>
      <c r="G985">
        <v>431567</v>
      </c>
      <c r="H985" s="116"/>
      <c r="I985" s="116"/>
      <c r="L985" s="170">
        <v>43453</v>
      </c>
      <c r="M985" s="116">
        <v>227.25</v>
      </c>
      <c r="N985" s="116">
        <v>230.65</v>
      </c>
      <c r="O985" s="116">
        <v>220.55</v>
      </c>
      <c r="P985" s="116">
        <v>221.1</v>
      </c>
      <c r="Q985" s="116">
        <v>227.25</v>
      </c>
      <c r="R985">
        <v>6142902</v>
      </c>
    </row>
    <row r="986" spans="1:18" x14ac:dyDescent="0.25">
      <c r="A986" s="170">
        <v>43454</v>
      </c>
      <c r="B986" s="116">
        <v>229.45</v>
      </c>
      <c r="C986" s="116">
        <v>225.1</v>
      </c>
      <c r="D986" s="116">
        <v>223.9</v>
      </c>
      <c r="E986" s="116">
        <v>226.8</v>
      </c>
      <c r="F986" s="116">
        <v>225.1</v>
      </c>
      <c r="G986">
        <v>112146</v>
      </c>
      <c r="H986" s="116"/>
      <c r="I986" s="116"/>
      <c r="L986" s="170">
        <v>43454</v>
      </c>
      <c r="M986" s="116">
        <v>225.1</v>
      </c>
      <c r="N986" s="116">
        <v>229.5</v>
      </c>
      <c r="O986" s="116">
        <v>223.45</v>
      </c>
      <c r="P986" s="116">
        <v>225.95</v>
      </c>
      <c r="Q986" s="116">
        <v>225.1</v>
      </c>
      <c r="R986">
        <v>2215666</v>
      </c>
    </row>
    <row r="987" spans="1:18" x14ac:dyDescent="0.25">
      <c r="A987" s="170">
        <v>43455</v>
      </c>
      <c r="B987" s="116">
        <v>225.85</v>
      </c>
      <c r="C987" s="116">
        <v>220.75</v>
      </c>
      <c r="D987" s="116">
        <v>219</v>
      </c>
      <c r="E987" s="116">
        <v>224.4</v>
      </c>
      <c r="F987" s="116">
        <v>220.75</v>
      </c>
      <c r="G987">
        <v>79778</v>
      </c>
      <c r="H987" s="116"/>
      <c r="I987" s="116"/>
      <c r="L987" s="170">
        <v>43455</v>
      </c>
      <c r="M987" s="116">
        <v>220.7</v>
      </c>
      <c r="N987" s="116">
        <v>226.2</v>
      </c>
      <c r="O987" s="116">
        <v>219.3</v>
      </c>
      <c r="P987" s="116">
        <v>225.25</v>
      </c>
      <c r="Q987" s="116">
        <v>220.7</v>
      </c>
      <c r="R987">
        <v>1677202</v>
      </c>
    </row>
    <row r="988" spans="1:18" x14ac:dyDescent="0.25">
      <c r="A988" s="170">
        <v>43458</v>
      </c>
      <c r="B988" s="116">
        <v>218.5</v>
      </c>
      <c r="C988" s="116">
        <v>214.05</v>
      </c>
      <c r="D988" s="116">
        <v>213.25</v>
      </c>
      <c r="E988" s="116">
        <v>216.8</v>
      </c>
      <c r="F988" s="116">
        <v>214.05</v>
      </c>
      <c r="G988">
        <v>107304</v>
      </c>
      <c r="H988" s="116"/>
      <c r="I988" s="116"/>
      <c r="L988" s="170">
        <v>43458</v>
      </c>
      <c r="M988" s="116">
        <v>213.25</v>
      </c>
      <c r="N988" s="116">
        <v>219.6</v>
      </c>
      <c r="O988" s="116">
        <v>212.55</v>
      </c>
      <c r="P988" s="116">
        <v>216</v>
      </c>
      <c r="Q988" s="116">
        <v>213.25</v>
      </c>
      <c r="R988">
        <v>2431010</v>
      </c>
    </row>
    <row r="989" spans="1:18" x14ac:dyDescent="0.25">
      <c r="A989" s="170">
        <v>43460</v>
      </c>
      <c r="B989" s="116">
        <v>221.45</v>
      </c>
      <c r="C989" s="116">
        <v>220.6</v>
      </c>
      <c r="D989" s="116">
        <v>210</v>
      </c>
      <c r="E989" s="116">
        <v>213.9</v>
      </c>
      <c r="F989" s="116">
        <v>220.6</v>
      </c>
      <c r="G989">
        <v>151432</v>
      </c>
      <c r="H989" s="116"/>
      <c r="I989" s="116"/>
      <c r="L989" s="170">
        <v>43460</v>
      </c>
      <c r="M989" s="116">
        <v>221.1</v>
      </c>
      <c r="N989" s="116">
        <v>222</v>
      </c>
      <c r="O989" s="116">
        <v>209.9</v>
      </c>
      <c r="P989" s="116">
        <v>212.65</v>
      </c>
      <c r="Q989" s="116">
        <v>221.1</v>
      </c>
      <c r="R989">
        <v>3303641</v>
      </c>
    </row>
    <row r="990" spans="1:18" x14ac:dyDescent="0.25">
      <c r="A990" s="170">
        <v>43461</v>
      </c>
      <c r="B990" s="116">
        <v>222.75</v>
      </c>
      <c r="C990" s="116">
        <v>216.75</v>
      </c>
      <c r="D990" s="116">
        <v>215.95</v>
      </c>
      <c r="E990" s="116">
        <v>220.1</v>
      </c>
      <c r="F990" s="116">
        <v>216.75</v>
      </c>
      <c r="G990">
        <v>105599</v>
      </c>
      <c r="H990" s="116"/>
      <c r="I990" s="116"/>
      <c r="L990" s="170">
        <v>43461</v>
      </c>
      <c r="M990" s="116">
        <v>216.85</v>
      </c>
      <c r="N990" s="116">
        <v>222.8</v>
      </c>
      <c r="O990" s="116">
        <v>216.05</v>
      </c>
      <c r="P990" s="116">
        <v>217.45</v>
      </c>
      <c r="Q990" s="116">
        <v>216.85</v>
      </c>
      <c r="R990">
        <v>1684054</v>
      </c>
    </row>
    <row r="991" spans="1:18" x14ac:dyDescent="0.25">
      <c r="A991" s="170">
        <v>43462</v>
      </c>
      <c r="B991" s="116">
        <v>222.75</v>
      </c>
      <c r="C991" s="116">
        <v>220.75</v>
      </c>
      <c r="D991" s="116">
        <v>217.25</v>
      </c>
      <c r="E991" s="116">
        <v>218.05</v>
      </c>
      <c r="F991" s="116">
        <v>220.75</v>
      </c>
      <c r="G991">
        <v>66416</v>
      </c>
      <c r="H991" s="116"/>
      <c r="I991" s="116"/>
      <c r="L991" s="170">
        <v>43462</v>
      </c>
      <c r="M991" s="116">
        <v>220.95</v>
      </c>
      <c r="N991" s="116">
        <v>222.8</v>
      </c>
      <c r="O991" s="116">
        <v>217.1</v>
      </c>
      <c r="P991" s="116">
        <v>217.1</v>
      </c>
      <c r="Q991" s="116">
        <v>220.95</v>
      </c>
      <c r="R991">
        <v>2241527</v>
      </c>
    </row>
    <row r="992" spans="1:18" x14ac:dyDescent="0.25">
      <c r="A992" s="170">
        <v>43465</v>
      </c>
      <c r="B992" s="116">
        <v>225.2</v>
      </c>
      <c r="C992" s="116">
        <v>224.4</v>
      </c>
      <c r="D992" s="116">
        <v>219.95</v>
      </c>
      <c r="E992" s="116">
        <v>221</v>
      </c>
      <c r="F992" s="116">
        <v>224.4</v>
      </c>
      <c r="G992">
        <v>97388</v>
      </c>
      <c r="H992" s="116"/>
      <c r="I992" s="116"/>
      <c r="L992" s="170">
        <v>43465</v>
      </c>
      <c r="M992" s="116">
        <v>225.1</v>
      </c>
      <c r="N992" s="116">
        <v>225.85</v>
      </c>
      <c r="O992" s="116">
        <v>219.6</v>
      </c>
      <c r="P992" s="116">
        <v>222</v>
      </c>
      <c r="Q992" s="116">
        <v>225.1</v>
      </c>
      <c r="R992">
        <v>2836456</v>
      </c>
    </row>
    <row r="993" spans="1:18" x14ac:dyDescent="0.25">
      <c r="A993" s="170">
        <v>43466</v>
      </c>
      <c r="B993" s="116">
        <v>225.55</v>
      </c>
      <c r="C993" s="116">
        <v>222.65</v>
      </c>
      <c r="D993" s="116">
        <v>221.3</v>
      </c>
      <c r="E993" s="116">
        <v>225.55</v>
      </c>
      <c r="F993" s="116">
        <v>222.65</v>
      </c>
      <c r="G993">
        <v>35048</v>
      </c>
      <c r="H993" s="116"/>
      <c r="I993" s="116"/>
      <c r="L993" s="170">
        <v>43466</v>
      </c>
      <c r="M993" s="116">
        <v>222.9</v>
      </c>
      <c r="N993" s="116">
        <v>229</v>
      </c>
      <c r="O993" s="116">
        <v>221.05</v>
      </c>
      <c r="P993" s="116">
        <v>224.5</v>
      </c>
      <c r="Q993" s="116">
        <v>222.9</v>
      </c>
      <c r="R993">
        <v>1594627</v>
      </c>
    </row>
    <row r="994" spans="1:18" x14ac:dyDescent="0.25">
      <c r="A994" s="170">
        <v>43467</v>
      </c>
      <c r="B994" s="116">
        <v>223.55</v>
      </c>
      <c r="C994" s="116">
        <v>219.1</v>
      </c>
      <c r="D994" s="116">
        <v>218.3</v>
      </c>
      <c r="E994" s="116">
        <v>223.25</v>
      </c>
      <c r="F994" s="116">
        <v>219.1</v>
      </c>
      <c r="G994">
        <v>74421</v>
      </c>
      <c r="H994" s="116"/>
      <c r="I994" s="116"/>
      <c r="L994" s="170">
        <v>43467</v>
      </c>
      <c r="M994" s="116">
        <v>218.95</v>
      </c>
      <c r="N994" s="116">
        <v>223.8</v>
      </c>
      <c r="O994" s="116">
        <v>218.05</v>
      </c>
      <c r="P994" s="116">
        <v>222.9</v>
      </c>
      <c r="Q994" s="116">
        <v>218.95</v>
      </c>
      <c r="R994">
        <v>1826162</v>
      </c>
    </row>
    <row r="995" spans="1:18" x14ac:dyDescent="0.25">
      <c r="A995" s="170">
        <v>43468</v>
      </c>
      <c r="B995" s="116">
        <v>220.5</v>
      </c>
      <c r="C995" s="116">
        <v>214</v>
      </c>
      <c r="D995" s="116">
        <v>213.5</v>
      </c>
      <c r="E995" s="116">
        <v>219.75</v>
      </c>
      <c r="F995" s="116">
        <v>214</v>
      </c>
      <c r="G995">
        <v>108528</v>
      </c>
      <c r="H995" s="116"/>
      <c r="I995" s="116"/>
      <c r="L995" s="170">
        <v>43468</v>
      </c>
      <c r="M995" s="116">
        <v>213.85</v>
      </c>
      <c r="N995" s="116">
        <v>220.9</v>
      </c>
      <c r="O995" s="116">
        <v>213.15</v>
      </c>
      <c r="P995" s="116">
        <v>219</v>
      </c>
      <c r="Q995" s="116">
        <v>213.85</v>
      </c>
      <c r="R995">
        <v>1612955</v>
      </c>
    </row>
    <row r="996" spans="1:18" x14ac:dyDescent="0.25">
      <c r="A996" s="170">
        <v>43469</v>
      </c>
      <c r="B996" s="116">
        <v>218.5</v>
      </c>
      <c r="C996" s="116">
        <v>216.05</v>
      </c>
      <c r="D996" s="116">
        <v>211.2</v>
      </c>
      <c r="E996" s="116">
        <v>218.5</v>
      </c>
      <c r="F996" s="116">
        <v>216.05</v>
      </c>
      <c r="G996">
        <v>95017</v>
      </c>
      <c r="H996" s="116"/>
      <c r="I996" s="116"/>
      <c r="L996" s="170">
        <v>43469</v>
      </c>
      <c r="M996" s="116">
        <v>216.55</v>
      </c>
      <c r="N996" s="116">
        <v>216.95</v>
      </c>
      <c r="O996" s="116">
        <v>211.2</v>
      </c>
      <c r="P996" s="116">
        <v>214.5</v>
      </c>
      <c r="Q996" s="116">
        <v>216.55</v>
      </c>
      <c r="R996">
        <v>2344100</v>
      </c>
    </row>
    <row r="997" spans="1:18" x14ac:dyDescent="0.25">
      <c r="A997" s="170">
        <v>43472</v>
      </c>
      <c r="B997" s="116">
        <v>220.2</v>
      </c>
      <c r="C997" s="116">
        <v>218.3</v>
      </c>
      <c r="D997" s="116">
        <v>216.6</v>
      </c>
      <c r="E997" s="116">
        <v>219.35</v>
      </c>
      <c r="F997" s="116">
        <v>218.3</v>
      </c>
      <c r="G997">
        <v>96587</v>
      </c>
      <c r="H997" s="116"/>
      <c r="I997" s="116"/>
      <c r="L997" s="170">
        <v>43472</v>
      </c>
      <c r="M997" s="116">
        <v>218</v>
      </c>
      <c r="N997" s="116">
        <v>220.25</v>
      </c>
      <c r="O997" s="116">
        <v>216.4</v>
      </c>
      <c r="P997" s="116">
        <v>218.5</v>
      </c>
      <c r="Q997" s="116">
        <v>218</v>
      </c>
      <c r="R997">
        <v>1280088</v>
      </c>
    </row>
    <row r="998" spans="1:18" x14ac:dyDescent="0.25">
      <c r="A998" s="170">
        <v>43473</v>
      </c>
      <c r="B998" s="116">
        <v>219.65</v>
      </c>
      <c r="C998" s="116">
        <v>218.45</v>
      </c>
      <c r="D998" s="116">
        <v>215.3</v>
      </c>
      <c r="E998" s="116">
        <v>217.5</v>
      </c>
      <c r="F998" s="116">
        <v>218.45</v>
      </c>
      <c r="G998">
        <v>47348</v>
      </c>
      <c r="H998" s="116"/>
      <c r="I998" s="116"/>
      <c r="L998" s="170">
        <v>43473</v>
      </c>
      <c r="M998" s="116">
        <v>218.7</v>
      </c>
      <c r="N998" s="116">
        <v>219.65</v>
      </c>
      <c r="O998" s="116">
        <v>215.2</v>
      </c>
      <c r="P998" s="116">
        <v>217.1</v>
      </c>
      <c r="Q998" s="116">
        <v>218.7</v>
      </c>
      <c r="R998">
        <v>1678459</v>
      </c>
    </row>
    <row r="999" spans="1:18" x14ac:dyDescent="0.25">
      <c r="A999" s="170">
        <v>43474</v>
      </c>
      <c r="B999" s="116">
        <v>220</v>
      </c>
      <c r="C999" s="116">
        <v>212.95</v>
      </c>
      <c r="D999" s="116">
        <v>211.45</v>
      </c>
      <c r="E999" s="116">
        <v>220</v>
      </c>
      <c r="F999" s="116">
        <v>212.95</v>
      </c>
      <c r="G999">
        <v>113527</v>
      </c>
      <c r="H999" s="116"/>
      <c r="I999" s="116"/>
      <c r="L999" s="170">
        <v>43474</v>
      </c>
      <c r="M999" s="116">
        <v>212.85</v>
      </c>
      <c r="N999" s="116">
        <v>219.5</v>
      </c>
      <c r="O999" s="116">
        <v>211.6</v>
      </c>
      <c r="P999" s="116">
        <v>219.5</v>
      </c>
      <c r="Q999" s="116">
        <v>212.85</v>
      </c>
      <c r="R999">
        <v>2005058</v>
      </c>
    </row>
    <row r="1000" spans="1:18" x14ac:dyDescent="0.25">
      <c r="A1000" s="170">
        <v>43475</v>
      </c>
      <c r="B1000" s="116">
        <v>215.1</v>
      </c>
      <c r="C1000" s="116">
        <v>212.45</v>
      </c>
      <c r="D1000" s="116">
        <v>210.9</v>
      </c>
      <c r="E1000" s="116">
        <v>213.35</v>
      </c>
      <c r="F1000" s="116">
        <v>212.45</v>
      </c>
      <c r="G1000">
        <v>3065591</v>
      </c>
      <c r="H1000" s="116"/>
      <c r="I1000" s="116"/>
      <c r="L1000" s="170">
        <v>43475</v>
      </c>
      <c r="M1000" s="116">
        <v>213.15</v>
      </c>
      <c r="N1000" s="116">
        <v>215.4</v>
      </c>
      <c r="O1000" s="116">
        <v>211.3</v>
      </c>
      <c r="P1000" s="116">
        <v>213.85</v>
      </c>
      <c r="Q1000" s="116">
        <v>213.15</v>
      </c>
      <c r="R1000">
        <v>2033769</v>
      </c>
    </row>
    <row r="1001" spans="1:18" x14ac:dyDescent="0.25">
      <c r="A1001" s="170">
        <v>43476</v>
      </c>
      <c r="B1001" s="116">
        <v>214.6</v>
      </c>
      <c r="C1001" s="116">
        <v>212.7</v>
      </c>
      <c r="D1001" s="116">
        <v>211.7</v>
      </c>
      <c r="E1001" s="116">
        <v>213.65</v>
      </c>
      <c r="F1001" s="116">
        <v>212.7</v>
      </c>
      <c r="G1001">
        <v>100719</v>
      </c>
      <c r="H1001" s="116"/>
      <c r="I1001" s="116"/>
      <c r="L1001" s="170">
        <v>43476</v>
      </c>
      <c r="M1001" s="116">
        <v>212.85</v>
      </c>
      <c r="N1001" s="116">
        <v>214.15</v>
      </c>
      <c r="O1001" s="116">
        <v>211.5</v>
      </c>
      <c r="P1001" s="116">
        <v>213.85</v>
      </c>
      <c r="Q1001" s="116">
        <v>212.85</v>
      </c>
      <c r="R1001">
        <v>1279076</v>
      </c>
    </row>
    <row r="1002" spans="1:18" x14ac:dyDescent="0.25">
      <c r="A1002" s="170">
        <v>43479</v>
      </c>
      <c r="B1002" s="116">
        <v>215.15</v>
      </c>
      <c r="C1002" s="116">
        <v>214.65</v>
      </c>
      <c r="D1002" s="116">
        <v>211.5</v>
      </c>
      <c r="E1002" s="116">
        <v>213.1</v>
      </c>
      <c r="F1002" s="116">
        <v>214.65</v>
      </c>
      <c r="G1002">
        <v>105257</v>
      </c>
      <c r="H1002" s="116"/>
      <c r="I1002" s="116"/>
      <c r="L1002" s="170">
        <v>43479</v>
      </c>
      <c r="M1002" s="116">
        <v>214.85</v>
      </c>
      <c r="N1002" s="116">
        <v>215.3</v>
      </c>
      <c r="O1002" s="116">
        <v>211.55</v>
      </c>
      <c r="P1002" s="116">
        <v>213</v>
      </c>
      <c r="Q1002" s="116">
        <v>214.85</v>
      </c>
      <c r="R1002">
        <v>1231366</v>
      </c>
    </row>
    <row r="1003" spans="1:18" x14ac:dyDescent="0.25">
      <c r="A1003" s="170">
        <v>43480</v>
      </c>
      <c r="B1003" s="116">
        <v>217.4</v>
      </c>
      <c r="C1003" s="116">
        <v>216.5</v>
      </c>
      <c r="D1003" s="116">
        <v>214.8</v>
      </c>
      <c r="E1003" s="116">
        <v>214.9</v>
      </c>
      <c r="F1003" s="116">
        <v>216.5</v>
      </c>
      <c r="G1003">
        <v>50186</v>
      </c>
      <c r="H1003" s="116"/>
      <c r="I1003" s="116"/>
      <c r="L1003" s="170">
        <v>43480</v>
      </c>
      <c r="M1003" s="116">
        <v>216.75</v>
      </c>
      <c r="N1003" s="116">
        <v>217.5</v>
      </c>
      <c r="O1003" s="116">
        <v>214.85</v>
      </c>
      <c r="P1003" s="116">
        <v>215.45</v>
      </c>
      <c r="Q1003" s="116">
        <v>216.75</v>
      </c>
      <c r="R1003">
        <v>1294415</v>
      </c>
    </row>
    <row r="1004" spans="1:18" x14ac:dyDescent="0.25">
      <c r="A1004" s="170">
        <v>43481</v>
      </c>
      <c r="B1004" s="116">
        <v>219.5</v>
      </c>
      <c r="C1004" s="116">
        <v>216.5</v>
      </c>
      <c r="D1004" s="116">
        <v>215.75</v>
      </c>
      <c r="E1004" s="116">
        <v>216.5</v>
      </c>
      <c r="F1004" s="116">
        <v>216.5</v>
      </c>
      <c r="G1004">
        <v>37882</v>
      </c>
      <c r="H1004" s="116"/>
      <c r="I1004" s="116"/>
      <c r="L1004" s="170">
        <v>43481</v>
      </c>
      <c r="M1004" s="116">
        <v>216.85</v>
      </c>
      <c r="N1004" s="116">
        <v>220</v>
      </c>
      <c r="O1004" s="116">
        <v>215.7</v>
      </c>
      <c r="P1004" s="116">
        <v>217</v>
      </c>
      <c r="Q1004" s="116">
        <v>216.85</v>
      </c>
      <c r="R1004">
        <v>975644</v>
      </c>
    </row>
    <row r="1005" spans="1:18" x14ac:dyDescent="0.25">
      <c r="A1005" s="170">
        <v>43482</v>
      </c>
      <c r="B1005" s="116">
        <v>218.55</v>
      </c>
      <c r="C1005" s="116">
        <v>215.1</v>
      </c>
      <c r="D1005" s="116">
        <v>214.3</v>
      </c>
      <c r="E1005" s="116">
        <v>218.5</v>
      </c>
      <c r="F1005" s="116">
        <v>215.1</v>
      </c>
      <c r="G1005">
        <v>45111</v>
      </c>
      <c r="H1005" s="116"/>
      <c r="I1005" s="116"/>
      <c r="L1005" s="170">
        <v>43482</v>
      </c>
      <c r="M1005" s="116">
        <v>215.25</v>
      </c>
      <c r="N1005" s="116">
        <v>218.4</v>
      </c>
      <c r="O1005" s="116">
        <v>214.2</v>
      </c>
      <c r="P1005" s="116">
        <v>218</v>
      </c>
      <c r="Q1005" s="116">
        <v>215.25</v>
      </c>
      <c r="R1005">
        <v>934332</v>
      </c>
    </row>
    <row r="1006" spans="1:18" x14ac:dyDescent="0.25">
      <c r="A1006" s="170">
        <v>43483</v>
      </c>
      <c r="B1006" s="116">
        <v>216.15</v>
      </c>
      <c r="C1006" s="116">
        <v>212.9</v>
      </c>
      <c r="D1006" s="116">
        <v>212.4</v>
      </c>
      <c r="E1006" s="116">
        <v>215.9</v>
      </c>
      <c r="F1006" s="116">
        <v>212.9</v>
      </c>
      <c r="G1006">
        <v>29973</v>
      </c>
      <c r="H1006" s="116"/>
      <c r="I1006" s="116"/>
      <c r="L1006" s="170">
        <v>43483</v>
      </c>
      <c r="M1006" s="116">
        <v>212.65</v>
      </c>
      <c r="N1006" s="116">
        <v>216</v>
      </c>
      <c r="O1006" s="116">
        <v>212.2</v>
      </c>
      <c r="P1006" s="116">
        <v>215.7</v>
      </c>
      <c r="Q1006" s="116">
        <v>212.65</v>
      </c>
      <c r="R1006">
        <v>787152</v>
      </c>
    </row>
    <row r="1007" spans="1:18" x14ac:dyDescent="0.25">
      <c r="A1007" s="170">
        <v>43486</v>
      </c>
      <c r="B1007" s="116">
        <v>214.5</v>
      </c>
      <c r="C1007" s="116">
        <v>212.55</v>
      </c>
      <c r="D1007" s="116">
        <v>211.5</v>
      </c>
      <c r="E1007" s="116">
        <v>212.6</v>
      </c>
      <c r="F1007" s="116">
        <v>212.55</v>
      </c>
      <c r="G1007">
        <v>115806</v>
      </c>
      <c r="H1007" s="116"/>
      <c r="I1007" s="116"/>
      <c r="L1007" s="170">
        <v>43486</v>
      </c>
      <c r="M1007" s="116">
        <v>212.3</v>
      </c>
      <c r="N1007" s="116">
        <v>214.8</v>
      </c>
      <c r="O1007" s="116">
        <v>211.2</v>
      </c>
      <c r="P1007" s="116">
        <v>213</v>
      </c>
      <c r="Q1007" s="116">
        <v>212.3</v>
      </c>
      <c r="R1007">
        <v>1028461</v>
      </c>
    </row>
    <row r="1008" spans="1:18" x14ac:dyDescent="0.25">
      <c r="A1008" s="170">
        <v>43487</v>
      </c>
      <c r="B1008" s="116">
        <v>215.25</v>
      </c>
      <c r="C1008" s="116">
        <v>213.55</v>
      </c>
      <c r="D1008" s="116">
        <v>211.5</v>
      </c>
      <c r="E1008" s="116">
        <v>212.3</v>
      </c>
      <c r="F1008" s="116">
        <v>213.55</v>
      </c>
      <c r="G1008">
        <v>51555</v>
      </c>
      <c r="H1008" s="116"/>
      <c r="I1008" s="116"/>
      <c r="L1008" s="170">
        <v>43487</v>
      </c>
      <c r="M1008" s="116">
        <v>213.85</v>
      </c>
      <c r="N1008" s="116">
        <v>215</v>
      </c>
      <c r="O1008" s="116">
        <v>211.4</v>
      </c>
      <c r="P1008" s="116">
        <v>212.2</v>
      </c>
      <c r="Q1008" s="116">
        <v>213.85</v>
      </c>
      <c r="R1008">
        <v>996452</v>
      </c>
    </row>
    <row r="1009" spans="1:18" x14ac:dyDescent="0.25">
      <c r="A1009" s="170">
        <v>43488</v>
      </c>
      <c r="B1009" s="116">
        <v>215.5</v>
      </c>
      <c r="C1009" s="116">
        <v>212</v>
      </c>
      <c r="D1009" s="116">
        <v>210.65</v>
      </c>
      <c r="E1009" s="116">
        <v>212.35</v>
      </c>
      <c r="F1009" s="116">
        <v>212</v>
      </c>
      <c r="G1009">
        <v>38739</v>
      </c>
      <c r="H1009" s="116"/>
      <c r="I1009" s="116"/>
      <c r="L1009" s="170">
        <v>43488</v>
      </c>
      <c r="M1009" s="116">
        <v>212.4</v>
      </c>
      <c r="N1009" s="116">
        <v>215.55</v>
      </c>
      <c r="O1009" s="116">
        <v>211.5</v>
      </c>
      <c r="P1009" s="116">
        <v>213</v>
      </c>
      <c r="Q1009" s="116">
        <v>212.4</v>
      </c>
      <c r="R1009">
        <v>979376</v>
      </c>
    </row>
    <row r="1010" spans="1:18" x14ac:dyDescent="0.25">
      <c r="A1010" s="170">
        <v>43489</v>
      </c>
      <c r="B1010" s="116">
        <v>213.4</v>
      </c>
      <c r="C1010" s="116">
        <v>210.7</v>
      </c>
      <c r="D1010" s="116">
        <v>208.5</v>
      </c>
      <c r="E1010" s="116">
        <v>212.6</v>
      </c>
      <c r="F1010" s="116">
        <v>210.7</v>
      </c>
      <c r="G1010">
        <v>81934</v>
      </c>
      <c r="H1010" s="116"/>
      <c r="I1010" s="116"/>
      <c r="L1010" s="170">
        <v>43489</v>
      </c>
      <c r="M1010" s="116">
        <v>211.2</v>
      </c>
      <c r="N1010" s="116">
        <v>213.8</v>
      </c>
      <c r="O1010" s="116">
        <v>208.75</v>
      </c>
      <c r="P1010" s="116">
        <v>213.8</v>
      </c>
      <c r="Q1010" s="116">
        <v>211.2</v>
      </c>
      <c r="R1010">
        <v>1682064</v>
      </c>
    </row>
    <row r="1011" spans="1:18" x14ac:dyDescent="0.25">
      <c r="A1011" s="170">
        <v>43490</v>
      </c>
      <c r="B1011" s="116">
        <v>213.5</v>
      </c>
      <c r="C1011" s="116">
        <v>202.5</v>
      </c>
      <c r="D1011" s="116">
        <v>201.35</v>
      </c>
      <c r="E1011" s="116">
        <v>212.65</v>
      </c>
      <c r="F1011" s="116">
        <v>202.5</v>
      </c>
      <c r="G1011">
        <v>104675</v>
      </c>
      <c r="H1011" s="116"/>
      <c r="I1011" s="116"/>
      <c r="L1011" s="170">
        <v>43490</v>
      </c>
      <c r="M1011" s="116">
        <v>202.35</v>
      </c>
      <c r="N1011" s="116">
        <v>213.7</v>
      </c>
      <c r="O1011" s="116">
        <v>201.25</v>
      </c>
      <c r="P1011" s="116">
        <v>211.9</v>
      </c>
      <c r="Q1011" s="116">
        <v>202.35</v>
      </c>
      <c r="R1011">
        <v>2945463</v>
      </c>
    </row>
    <row r="1012" spans="1:18" x14ac:dyDescent="0.25">
      <c r="A1012" s="170">
        <v>43493</v>
      </c>
      <c r="B1012" s="116">
        <v>204.15</v>
      </c>
      <c r="C1012" s="116">
        <v>199.2</v>
      </c>
      <c r="D1012" s="116">
        <v>198.1</v>
      </c>
      <c r="E1012" s="116">
        <v>200</v>
      </c>
      <c r="F1012" s="116">
        <v>199.2</v>
      </c>
      <c r="G1012">
        <v>134938</v>
      </c>
      <c r="H1012" s="116"/>
      <c r="I1012" s="116"/>
      <c r="L1012" s="170">
        <v>43493</v>
      </c>
      <c r="M1012" s="116">
        <v>199.75</v>
      </c>
      <c r="N1012" s="116">
        <v>204.35</v>
      </c>
      <c r="O1012" s="116">
        <v>197.9</v>
      </c>
      <c r="P1012" s="116">
        <v>201</v>
      </c>
      <c r="Q1012" s="116">
        <v>199.75</v>
      </c>
      <c r="R1012">
        <v>3278879</v>
      </c>
    </row>
    <row r="1013" spans="1:18" x14ac:dyDescent="0.25">
      <c r="A1013" s="170">
        <v>43494</v>
      </c>
      <c r="B1013" s="116">
        <v>205</v>
      </c>
      <c r="C1013" s="116">
        <v>200.9</v>
      </c>
      <c r="D1013" s="116">
        <v>198.35</v>
      </c>
      <c r="E1013" s="116">
        <v>199</v>
      </c>
      <c r="F1013" s="116">
        <v>200.9</v>
      </c>
      <c r="G1013">
        <v>147613</v>
      </c>
      <c r="H1013" s="116"/>
      <c r="I1013" s="116"/>
      <c r="L1013" s="170">
        <v>43494</v>
      </c>
      <c r="M1013" s="116">
        <v>200.85</v>
      </c>
      <c r="N1013" s="116">
        <v>204.75</v>
      </c>
      <c r="O1013" s="116">
        <v>198.3</v>
      </c>
      <c r="P1013" s="116">
        <v>198.7</v>
      </c>
      <c r="Q1013" s="116">
        <v>200.85</v>
      </c>
      <c r="R1013">
        <v>2643774</v>
      </c>
    </row>
    <row r="1014" spans="1:18" x14ac:dyDescent="0.25">
      <c r="A1014" s="170">
        <v>43495</v>
      </c>
      <c r="B1014" s="116">
        <v>205.25</v>
      </c>
      <c r="C1014" s="116">
        <v>204.2</v>
      </c>
      <c r="D1014" s="116">
        <v>198.55</v>
      </c>
      <c r="E1014" s="116">
        <v>201</v>
      </c>
      <c r="F1014" s="116">
        <v>204.2</v>
      </c>
      <c r="G1014">
        <v>72359</v>
      </c>
      <c r="H1014" s="116"/>
      <c r="I1014" s="116"/>
      <c r="L1014" s="170">
        <v>43495</v>
      </c>
      <c r="M1014" s="116">
        <v>204.65</v>
      </c>
      <c r="N1014" s="116">
        <v>205.8</v>
      </c>
      <c r="O1014" s="116">
        <v>198.5</v>
      </c>
      <c r="P1014" s="116">
        <v>201.85</v>
      </c>
      <c r="Q1014" s="116">
        <v>204.65</v>
      </c>
      <c r="R1014">
        <v>1461921</v>
      </c>
    </row>
    <row r="1015" spans="1:18" x14ac:dyDescent="0.25">
      <c r="A1015" s="170">
        <v>43496</v>
      </c>
      <c r="B1015" s="116">
        <v>211.75</v>
      </c>
      <c r="C1015" s="116">
        <v>210.2</v>
      </c>
      <c r="D1015" s="116">
        <v>204.5</v>
      </c>
      <c r="E1015" s="116">
        <v>206</v>
      </c>
      <c r="F1015" s="116">
        <v>210.2</v>
      </c>
      <c r="G1015">
        <v>114191</v>
      </c>
      <c r="H1015" s="116"/>
      <c r="I1015" s="116"/>
      <c r="L1015" s="170">
        <v>43496</v>
      </c>
      <c r="M1015" s="116">
        <v>209.9</v>
      </c>
      <c r="N1015" s="116">
        <v>212</v>
      </c>
      <c r="O1015" s="116">
        <v>204.45</v>
      </c>
      <c r="P1015" s="116">
        <v>205.7</v>
      </c>
      <c r="Q1015" s="116">
        <v>209.9</v>
      </c>
      <c r="R1015">
        <v>7669625</v>
      </c>
    </row>
    <row r="1016" spans="1:18" x14ac:dyDescent="0.25">
      <c r="A1016" s="170">
        <v>43497</v>
      </c>
      <c r="B1016" s="116">
        <v>215.15</v>
      </c>
      <c r="C1016" s="116">
        <v>211.8</v>
      </c>
      <c r="D1016" s="116">
        <v>209.3</v>
      </c>
      <c r="E1016" s="116">
        <v>210.35</v>
      </c>
      <c r="F1016" s="116">
        <v>211.8</v>
      </c>
      <c r="G1016">
        <v>125752</v>
      </c>
      <c r="H1016" s="116"/>
      <c r="I1016" s="116"/>
      <c r="L1016" s="170">
        <v>43497</v>
      </c>
      <c r="M1016" s="116">
        <v>212.5</v>
      </c>
      <c r="N1016" s="116">
        <v>215.35</v>
      </c>
      <c r="O1016" s="116">
        <v>209.6</v>
      </c>
      <c r="P1016" s="116">
        <v>210.8</v>
      </c>
      <c r="Q1016" s="116">
        <v>212.5</v>
      </c>
      <c r="R1016">
        <v>3350137</v>
      </c>
    </row>
    <row r="1017" spans="1:18" x14ac:dyDescent="0.25">
      <c r="A1017" s="170">
        <v>43500</v>
      </c>
      <c r="B1017" s="116">
        <v>212.8</v>
      </c>
      <c r="C1017" s="116">
        <v>212.3</v>
      </c>
      <c r="D1017" s="116">
        <v>208.2</v>
      </c>
      <c r="E1017" s="116">
        <v>211.8</v>
      </c>
      <c r="F1017" s="116">
        <v>212.3</v>
      </c>
      <c r="G1017">
        <v>69512</v>
      </c>
      <c r="H1017" s="116"/>
      <c r="I1017" s="116"/>
      <c r="L1017" s="170">
        <v>43500</v>
      </c>
      <c r="M1017" s="116">
        <v>212.5</v>
      </c>
      <c r="N1017" s="116">
        <v>213</v>
      </c>
      <c r="O1017" s="116">
        <v>207.8</v>
      </c>
      <c r="P1017" s="116">
        <v>212</v>
      </c>
      <c r="Q1017" s="116">
        <v>212.5</v>
      </c>
      <c r="R1017">
        <v>816759</v>
      </c>
    </row>
    <row r="1018" spans="1:18" x14ac:dyDescent="0.25">
      <c r="A1018" s="170">
        <v>43501</v>
      </c>
      <c r="B1018" s="116">
        <v>215.1</v>
      </c>
      <c r="C1018" s="116">
        <v>209.05</v>
      </c>
      <c r="D1018" s="116">
        <v>206.5</v>
      </c>
      <c r="E1018" s="116">
        <v>213</v>
      </c>
      <c r="F1018" s="116">
        <v>209.05</v>
      </c>
      <c r="G1018">
        <v>98561</v>
      </c>
      <c r="H1018" s="116"/>
      <c r="I1018" s="116"/>
      <c r="L1018" s="170">
        <v>43501</v>
      </c>
      <c r="M1018" s="116">
        <v>209.25</v>
      </c>
      <c r="N1018" s="116">
        <v>215.3</v>
      </c>
      <c r="O1018" s="116">
        <v>206.05</v>
      </c>
      <c r="P1018" s="116">
        <v>212.1</v>
      </c>
      <c r="Q1018" s="116">
        <v>209.25</v>
      </c>
      <c r="R1018">
        <v>1990920</v>
      </c>
    </row>
    <row r="1019" spans="1:18" x14ac:dyDescent="0.25">
      <c r="A1019" s="170">
        <v>43502</v>
      </c>
      <c r="B1019" s="116">
        <v>215.1</v>
      </c>
      <c r="C1019" s="116">
        <v>214.35</v>
      </c>
      <c r="D1019" s="116">
        <v>208.5</v>
      </c>
      <c r="E1019" s="116">
        <v>210</v>
      </c>
      <c r="F1019" s="116">
        <v>214.35</v>
      </c>
      <c r="G1019">
        <v>67965</v>
      </c>
      <c r="H1019" s="116"/>
      <c r="I1019" s="116"/>
      <c r="L1019" s="170">
        <v>43502</v>
      </c>
      <c r="M1019" s="116">
        <v>214.5</v>
      </c>
      <c r="N1019" s="116">
        <v>215.55</v>
      </c>
      <c r="O1019" s="116">
        <v>208.65</v>
      </c>
      <c r="P1019" s="116">
        <v>210.3</v>
      </c>
      <c r="Q1019" s="116">
        <v>214.5</v>
      </c>
      <c r="R1019">
        <v>2419386</v>
      </c>
    </row>
    <row r="1020" spans="1:18" x14ac:dyDescent="0.25">
      <c r="A1020" s="170">
        <v>43503</v>
      </c>
      <c r="B1020" s="116">
        <v>218.3</v>
      </c>
      <c r="C1020" s="116">
        <v>215.15</v>
      </c>
      <c r="D1020" s="116">
        <v>213.35</v>
      </c>
      <c r="E1020" s="116">
        <v>215</v>
      </c>
      <c r="F1020" s="116">
        <v>215.15</v>
      </c>
      <c r="G1020">
        <v>46050</v>
      </c>
      <c r="H1020" s="116"/>
      <c r="I1020" s="116"/>
      <c r="L1020" s="170">
        <v>43503</v>
      </c>
      <c r="M1020" s="116">
        <v>214.95</v>
      </c>
      <c r="N1020" s="116">
        <v>218.6</v>
      </c>
      <c r="O1020" s="116">
        <v>213.5</v>
      </c>
      <c r="P1020" s="116">
        <v>214.05</v>
      </c>
      <c r="Q1020" s="116">
        <v>214.95</v>
      </c>
      <c r="R1020">
        <v>1560735</v>
      </c>
    </row>
    <row r="1021" spans="1:18" x14ac:dyDescent="0.25">
      <c r="A1021" s="170">
        <v>43504</v>
      </c>
      <c r="B1021" s="116">
        <v>217.05</v>
      </c>
      <c r="C1021" s="116">
        <v>213.4</v>
      </c>
      <c r="D1021" s="116">
        <v>212</v>
      </c>
      <c r="E1021" s="116">
        <v>216</v>
      </c>
      <c r="F1021" s="116">
        <v>213.4</v>
      </c>
      <c r="G1021">
        <v>42426</v>
      </c>
      <c r="H1021" s="116"/>
      <c r="I1021" s="116"/>
      <c r="L1021" s="170">
        <v>43504</v>
      </c>
      <c r="M1021" s="116">
        <v>213.25</v>
      </c>
      <c r="N1021" s="116">
        <v>217.4</v>
      </c>
      <c r="O1021" s="116">
        <v>212.1</v>
      </c>
      <c r="P1021" s="116">
        <v>215.65</v>
      </c>
      <c r="Q1021" s="116">
        <v>213.25</v>
      </c>
      <c r="R1021">
        <v>1071280</v>
      </c>
    </row>
    <row r="1022" spans="1:18" x14ac:dyDescent="0.25">
      <c r="A1022" s="170">
        <v>43507</v>
      </c>
      <c r="B1022" s="116">
        <v>214.1</v>
      </c>
      <c r="C1022" s="116">
        <v>208</v>
      </c>
      <c r="D1022" s="116">
        <v>206</v>
      </c>
      <c r="E1022" s="116">
        <v>214.1</v>
      </c>
      <c r="F1022" s="116">
        <v>208</v>
      </c>
      <c r="G1022">
        <v>47351</v>
      </c>
      <c r="H1022" s="116"/>
      <c r="I1022" s="116"/>
      <c r="L1022" s="170">
        <v>43507</v>
      </c>
      <c r="M1022" s="116">
        <v>207.6</v>
      </c>
      <c r="N1022" s="116">
        <v>213.7</v>
      </c>
      <c r="O1022" s="116">
        <v>206.8</v>
      </c>
      <c r="P1022" s="116">
        <v>213.3</v>
      </c>
      <c r="Q1022" s="116">
        <v>207.6</v>
      </c>
      <c r="R1022">
        <v>1168695</v>
      </c>
    </row>
    <row r="1023" spans="1:18" x14ac:dyDescent="0.25">
      <c r="A1023" s="170">
        <v>43508</v>
      </c>
      <c r="B1023" s="116">
        <v>209</v>
      </c>
      <c r="C1023" s="116">
        <v>207.4</v>
      </c>
      <c r="D1023" s="116">
        <v>203.95</v>
      </c>
      <c r="E1023" s="116">
        <v>205.8</v>
      </c>
      <c r="F1023" s="116">
        <v>207.4</v>
      </c>
      <c r="G1023">
        <v>45321</v>
      </c>
      <c r="H1023" s="116"/>
      <c r="I1023" s="116"/>
      <c r="L1023" s="170">
        <v>43508</v>
      </c>
      <c r="M1023" s="116">
        <v>207.45</v>
      </c>
      <c r="N1023" s="116">
        <v>209</v>
      </c>
      <c r="O1023" s="116">
        <v>203.75</v>
      </c>
      <c r="P1023" s="116">
        <v>207.55</v>
      </c>
      <c r="Q1023" s="116">
        <v>207.45</v>
      </c>
      <c r="R1023">
        <v>1731437</v>
      </c>
    </row>
    <row r="1024" spans="1:18" x14ac:dyDescent="0.25">
      <c r="A1024" s="170">
        <v>43509</v>
      </c>
      <c r="B1024" s="116">
        <v>209.8</v>
      </c>
      <c r="C1024" s="116">
        <v>206.4</v>
      </c>
      <c r="D1024" s="116">
        <v>205.2</v>
      </c>
      <c r="E1024" s="116">
        <v>207.45</v>
      </c>
      <c r="F1024" s="116">
        <v>206.4</v>
      </c>
      <c r="G1024">
        <v>51649</v>
      </c>
      <c r="H1024" s="116"/>
      <c r="I1024" s="116"/>
      <c r="L1024" s="170">
        <v>43509</v>
      </c>
      <c r="M1024" s="116">
        <v>205.95</v>
      </c>
      <c r="N1024" s="116">
        <v>210.25</v>
      </c>
      <c r="O1024" s="116">
        <v>205.05</v>
      </c>
      <c r="P1024" s="116">
        <v>208.35</v>
      </c>
      <c r="Q1024" s="116">
        <v>205.95</v>
      </c>
      <c r="R1024">
        <v>1736762</v>
      </c>
    </row>
    <row r="1025" spans="1:18" x14ac:dyDescent="0.25">
      <c r="A1025" s="170">
        <v>43510</v>
      </c>
      <c r="B1025" s="116">
        <v>206.95</v>
      </c>
      <c r="C1025" s="116">
        <v>204.75</v>
      </c>
      <c r="D1025" s="116">
        <v>203.2</v>
      </c>
      <c r="E1025" s="116">
        <v>205.45</v>
      </c>
      <c r="F1025" s="116">
        <v>204.75</v>
      </c>
      <c r="G1025">
        <v>116434</v>
      </c>
      <c r="H1025" s="116"/>
      <c r="I1025" s="116"/>
      <c r="L1025" s="170">
        <v>43510</v>
      </c>
      <c r="M1025" s="116">
        <v>204.4</v>
      </c>
      <c r="N1025" s="116">
        <v>207.55</v>
      </c>
      <c r="O1025" s="116">
        <v>203.1</v>
      </c>
      <c r="P1025" s="116">
        <v>205.95</v>
      </c>
      <c r="Q1025" s="116">
        <v>204.4</v>
      </c>
      <c r="R1025">
        <v>1234816</v>
      </c>
    </row>
    <row r="1026" spans="1:18" x14ac:dyDescent="0.25">
      <c r="A1026" s="170">
        <v>43511</v>
      </c>
      <c r="B1026" s="116">
        <v>205.9</v>
      </c>
      <c r="C1026" s="116">
        <v>204.95</v>
      </c>
      <c r="D1026" s="116">
        <v>200.65</v>
      </c>
      <c r="E1026" s="116">
        <v>203.5</v>
      </c>
      <c r="F1026" s="116">
        <v>204.95</v>
      </c>
      <c r="G1026">
        <v>119270</v>
      </c>
      <c r="H1026" s="116"/>
      <c r="I1026" s="116"/>
      <c r="L1026" s="170">
        <v>43511</v>
      </c>
      <c r="M1026" s="116">
        <v>204.8</v>
      </c>
      <c r="N1026" s="116">
        <v>205.95</v>
      </c>
      <c r="O1026" s="116">
        <v>200.5</v>
      </c>
      <c r="P1026" s="116">
        <v>203.7</v>
      </c>
      <c r="Q1026" s="116">
        <v>204.8</v>
      </c>
      <c r="R1026">
        <v>1516899</v>
      </c>
    </row>
    <row r="1027" spans="1:18" x14ac:dyDescent="0.25">
      <c r="A1027" s="170">
        <v>43514</v>
      </c>
      <c r="B1027" s="116">
        <v>204.9</v>
      </c>
      <c r="C1027" s="116">
        <v>197.85</v>
      </c>
      <c r="D1027" s="116">
        <v>196.6</v>
      </c>
      <c r="E1027" s="116">
        <v>204.7</v>
      </c>
      <c r="F1027" s="116">
        <v>197.85</v>
      </c>
      <c r="G1027">
        <v>398396</v>
      </c>
      <c r="H1027" s="116"/>
      <c r="I1027" s="116"/>
      <c r="L1027" s="170">
        <v>43514</v>
      </c>
      <c r="M1027" s="116">
        <v>198</v>
      </c>
      <c r="N1027" s="116">
        <v>204.8</v>
      </c>
      <c r="O1027" s="116">
        <v>196.6</v>
      </c>
      <c r="P1027" s="116">
        <v>204.05</v>
      </c>
      <c r="Q1027" s="116">
        <v>198</v>
      </c>
      <c r="R1027">
        <v>4557434</v>
      </c>
    </row>
    <row r="1028" spans="1:18" x14ac:dyDescent="0.25">
      <c r="A1028" s="170">
        <v>43515</v>
      </c>
      <c r="B1028" s="116">
        <v>202.7</v>
      </c>
      <c r="C1028" s="116">
        <v>200.1</v>
      </c>
      <c r="D1028" s="116">
        <v>197.2</v>
      </c>
      <c r="E1028" s="116">
        <v>198.1</v>
      </c>
      <c r="F1028" s="116">
        <v>200.1</v>
      </c>
      <c r="G1028">
        <v>447321</v>
      </c>
      <c r="H1028" s="116"/>
      <c r="I1028" s="116"/>
      <c r="L1028" s="170">
        <v>43515</v>
      </c>
      <c r="M1028" s="116">
        <v>199.6</v>
      </c>
      <c r="N1028" s="116">
        <v>202.8</v>
      </c>
      <c r="O1028" s="116">
        <v>196.65</v>
      </c>
      <c r="P1028" s="116">
        <v>198.6</v>
      </c>
      <c r="Q1028" s="116">
        <v>199.6</v>
      </c>
      <c r="R1028">
        <v>12045263</v>
      </c>
    </row>
    <row r="1029" spans="1:18" x14ac:dyDescent="0.25">
      <c r="A1029" s="170">
        <v>43516</v>
      </c>
      <c r="B1029" s="116">
        <v>208</v>
      </c>
      <c r="C1029" s="116">
        <v>206.85</v>
      </c>
      <c r="D1029" s="116">
        <v>199</v>
      </c>
      <c r="E1029" s="116">
        <v>199</v>
      </c>
      <c r="F1029" s="116">
        <v>206.85</v>
      </c>
      <c r="G1029">
        <v>212387</v>
      </c>
      <c r="H1029" s="116"/>
      <c r="I1029" s="116"/>
      <c r="L1029" s="170">
        <v>43516</v>
      </c>
      <c r="M1029" s="116">
        <v>206.8</v>
      </c>
      <c r="N1029" s="116">
        <v>207.8</v>
      </c>
      <c r="O1029" s="116">
        <v>199.6</v>
      </c>
      <c r="P1029" s="116">
        <v>199.6</v>
      </c>
      <c r="Q1029" s="116">
        <v>206.8</v>
      </c>
      <c r="R1029">
        <v>3528149</v>
      </c>
    </row>
    <row r="1030" spans="1:18" x14ac:dyDescent="0.25">
      <c r="A1030" s="170">
        <v>43517</v>
      </c>
      <c r="B1030" s="116">
        <v>214</v>
      </c>
      <c r="C1030" s="116">
        <v>210</v>
      </c>
      <c r="D1030" s="116">
        <v>202.65</v>
      </c>
      <c r="E1030" s="116">
        <v>214</v>
      </c>
      <c r="F1030" s="116">
        <v>210</v>
      </c>
      <c r="G1030">
        <v>189234</v>
      </c>
      <c r="H1030" s="116"/>
      <c r="I1030" s="116"/>
      <c r="L1030" s="170">
        <v>43517</v>
      </c>
      <c r="M1030" s="116">
        <v>209.6</v>
      </c>
      <c r="N1030" s="116">
        <v>210.5</v>
      </c>
      <c r="O1030" s="116">
        <v>205.5</v>
      </c>
      <c r="P1030" s="116">
        <v>206.9</v>
      </c>
      <c r="Q1030" s="116">
        <v>209.6</v>
      </c>
      <c r="R1030">
        <v>2197983</v>
      </c>
    </row>
    <row r="1031" spans="1:18" x14ac:dyDescent="0.25">
      <c r="A1031" s="170">
        <v>43518</v>
      </c>
      <c r="B1031" s="116">
        <v>211.7</v>
      </c>
      <c r="C1031" s="116">
        <v>211.25</v>
      </c>
      <c r="D1031" s="116">
        <v>208.4</v>
      </c>
      <c r="E1031" s="116">
        <v>210</v>
      </c>
      <c r="F1031" s="116">
        <v>211.25</v>
      </c>
      <c r="G1031">
        <v>72449</v>
      </c>
      <c r="H1031" s="116"/>
      <c r="I1031" s="116"/>
      <c r="L1031" s="170">
        <v>43518</v>
      </c>
      <c r="M1031" s="116">
        <v>210.95</v>
      </c>
      <c r="N1031" s="116">
        <v>211.45</v>
      </c>
      <c r="O1031" s="116">
        <v>208.15</v>
      </c>
      <c r="P1031" s="116">
        <v>209.95</v>
      </c>
      <c r="Q1031" s="116">
        <v>210.95</v>
      </c>
      <c r="R1031">
        <v>1375220</v>
      </c>
    </row>
    <row r="1032" spans="1:18" x14ac:dyDescent="0.25">
      <c r="A1032" s="170">
        <v>43521</v>
      </c>
      <c r="B1032" s="116">
        <v>212.5</v>
      </c>
      <c r="C1032" s="116">
        <v>210.35</v>
      </c>
      <c r="D1032" s="116">
        <v>209.5</v>
      </c>
      <c r="E1032" s="116">
        <v>211</v>
      </c>
      <c r="F1032" s="116">
        <v>210.35</v>
      </c>
      <c r="G1032">
        <v>50298</v>
      </c>
      <c r="H1032" s="116"/>
      <c r="I1032" s="116"/>
      <c r="L1032" s="170">
        <v>43521</v>
      </c>
      <c r="M1032" s="116">
        <v>210.1</v>
      </c>
      <c r="N1032" s="116">
        <v>212.45</v>
      </c>
      <c r="O1032" s="116">
        <v>209</v>
      </c>
      <c r="P1032" s="116">
        <v>211.85</v>
      </c>
      <c r="Q1032" s="116">
        <v>210.1</v>
      </c>
      <c r="R1032">
        <v>1323218</v>
      </c>
    </row>
    <row r="1033" spans="1:18" x14ac:dyDescent="0.25">
      <c r="A1033" s="170">
        <v>43522</v>
      </c>
      <c r="B1033" s="116">
        <v>212.85</v>
      </c>
      <c r="C1033" s="116">
        <v>212.05</v>
      </c>
      <c r="D1033" s="116">
        <v>205</v>
      </c>
      <c r="E1033" s="116">
        <v>209.7</v>
      </c>
      <c r="F1033" s="116">
        <v>212.05</v>
      </c>
      <c r="G1033">
        <v>371354</v>
      </c>
      <c r="H1033" s="116"/>
      <c r="I1033" s="116"/>
      <c r="L1033" s="170">
        <v>43522</v>
      </c>
      <c r="M1033" s="116">
        <v>212.35</v>
      </c>
      <c r="N1033" s="116">
        <v>213</v>
      </c>
      <c r="O1033" s="116">
        <v>207.4</v>
      </c>
      <c r="P1033" s="116">
        <v>208.25</v>
      </c>
      <c r="Q1033" s="116">
        <v>212.35</v>
      </c>
      <c r="R1033">
        <v>1651331</v>
      </c>
    </row>
    <row r="1034" spans="1:18" x14ac:dyDescent="0.25">
      <c r="A1034" s="170">
        <v>43523</v>
      </c>
      <c r="B1034" s="116">
        <v>219.45</v>
      </c>
      <c r="C1034" s="116">
        <v>214.45</v>
      </c>
      <c r="D1034" s="116">
        <v>212.05</v>
      </c>
      <c r="E1034" s="116">
        <v>214.95</v>
      </c>
      <c r="F1034" s="116">
        <v>214.45</v>
      </c>
      <c r="G1034">
        <v>149547</v>
      </c>
      <c r="H1034" s="116"/>
      <c r="I1034" s="116"/>
      <c r="L1034" s="170">
        <v>43523</v>
      </c>
      <c r="M1034" s="116">
        <v>213.95</v>
      </c>
      <c r="N1034" s="116">
        <v>219.3</v>
      </c>
      <c r="O1034" s="116">
        <v>209.15</v>
      </c>
      <c r="P1034" s="116">
        <v>212.1</v>
      </c>
      <c r="Q1034" s="116">
        <v>213.95</v>
      </c>
      <c r="R1034">
        <v>2325569</v>
      </c>
    </row>
    <row r="1035" spans="1:18" x14ac:dyDescent="0.25">
      <c r="A1035" s="170">
        <v>43524</v>
      </c>
      <c r="B1035" s="116">
        <v>216.4</v>
      </c>
      <c r="C1035" s="116">
        <v>212.3</v>
      </c>
      <c r="D1035" s="116">
        <v>211</v>
      </c>
      <c r="E1035" s="116">
        <v>216.4</v>
      </c>
      <c r="F1035" s="116">
        <v>212.3</v>
      </c>
      <c r="G1035">
        <v>82776</v>
      </c>
      <c r="H1035" s="116"/>
      <c r="I1035" s="116"/>
      <c r="L1035" s="170">
        <v>43524</v>
      </c>
      <c r="M1035" s="116">
        <v>212.05</v>
      </c>
      <c r="N1035" s="116">
        <v>216.4</v>
      </c>
      <c r="O1035" s="116">
        <v>210.7</v>
      </c>
      <c r="P1035" s="116">
        <v>215.25</v>
      </c>
      <c r="Q1035" s="116">
        <v>212.05</v>
      </c>
      <c r="R1035">
        <v>5667560</v>
      </c>
    </row>
    <row r="1036" spans="1:18" x14ac:dyDescent="0.25">
      <c r="A1036" s="170">
        <v>43525</v>
      </c>
      <c r="B1036" s="116">
        <v>219</v>
      </c>
      <c r="C1036" s="116">
        <v>217.3</v>
      </c>
      <c r="D1036" s="116">
        <v>213.1</v>
      </c>
      <c r="E1036" s="116">
        <v>215</v>
      </c>
      <c r="F1036" s="116">
        <v>217.3</v>
      </c>
      <c r="G1036">
        <v>88884</v>
      </c>
      <c r="H1036" s="116"/>
      <c r="I1036" s="116"/>
      <c r="L1036" s="170">
        <v>43525</v>
      </c>
      <c r="M1036" s="116">
        <v>217.45</v>
      </c>
      <c r="N1036" s="116">
        <v>219.3</v>
      </c>
      <c r="O1036" s="116">
        <v>212.75</v>
      </c>
      <c r="P1036" s="116">
        <v>212.95</v>
      </c>
      <c r="Q1036" s="116">
        <v>217.45</v>
      </c>
      <c r="R1036">
        <v>1389426</v>
      </c>
    </row>
    <row r="1037" spans="1:18" x14ac:dyDescent="0.25">
      <c r="A1037" s="170">
        <v>43529</v>
      </c>
      <c r="B1037" s="116">
        <v>223.2</v>
      </c>
      <c r="C1037" s="116">
        <v>221.85</v>
      </c>
      <c r="D1037" s="116">
        <v>217.8</v>
      </c>
      <c r="E1037" s="116">
        <v>218.05</v>
      </c>
      <c r="F1037" s="116">
        <v>221.85</v>
      </c>
      <c r="G1037">
        <v>138997</v>
      </c>
      <c r="H1037" s="116"/>
      <c r="I1037" s="116"/>
      <c r="L1037" s="170">
        <v>43529</v>
      </c>
      <c r="M1037" s="116">
        <v>222</v>
      </c>
      <c r="N1037" s="116">
        <v>223.35</v>
      </c>
      <c r="O1037" s="116">
        <v>217.65</v>
      </c>
      <c r="P1037" s="116">
        <v>218</v>
      </c>
      <c r="Q1037" s="116">
        <v>222</v>
      </c>
      <c r="R1037">
        <v>2838170</v>
      </c>
    </row>
    <row r="1038" spans="1:18" x14ac:dyDescent="0.25">
      <c r="A1038" s="170">
        <v>43530</v>
      </c>
      <c r="B1038" s="116">
        <v>226.15</v>
      </c>
      <c r="C1038" s="116">
        <v>220.5</v>
      </c>
      <c r="D1038" s="116">
        <v>219.7</v>
      </c>
      <c r="E1038" s="116">
        <v>222.05</v>
      </c>
      <c r="F1038" s="116">
        <v>220.5</v>
      </c>
      <c r="G1038">
        <v>138989</v>
      </c>
      <c r="H1038" s="116"/>
      <c r="I1038" s="116"/>
      <c r="L1038" s="170">
        <v>43530</v>
      </c>
      <c r="M1038" s="116">
        <v>220.25</v>
      </c>
      <c r="N1038" s="116">
        <v>226.4</v>
      </c>
      <c r="O1038" s="116">
        <v>219.55</v>
      </c>
      <c r="P1038" s="116">
        <v>222.9</v>
      </c>
      <c r="Q1038" s="116">
        <v>220.25</v>
      </c>
      <c r="R1038">
        <v>4240764</v>
      </c>
    </row>
    <row r="1039" spans="1:18" x14ac:dyDescent="0.25">
      <c r="A1039" s="170">
        <v>43531</v>
      </c>
      <c r="B1039" s="116">
        <v>224.8</v>
      </c>
      <c r="C1039" s="116">
        <v>221.15</v>
      </c>
      <c r="D1039" s="116">
        <v>219.3</v>
      </c>
      <c r="E1039" s="116">
        <v>223.8</v>
      </c>
      <c r="F1039" s="116">
        <v>221.15</v>
      </c>
      <c r="G1039">
        <v>134681</v>
      </c>
      <c r="H1039" s="116"/>
      <c r="I1039" s="116"/>
      <c r="L1039" s="170">
        <v>43531</v>
      </c>
      <c r="M1039" s="116">
        <v>221.2</v>
      </c>
      <c r="N1039" s="116">
        <v>224.9</v>
      </c>
      <c r="O1039" s="116">
        <v>219.15</v>
      </c>
      <c r="P1039" s="116">
        <v>221.5</v>
      </c>
      <c r="Q1039" s="116">
        <v>221.2</v>
      </c>
      <c r="R1039">
        <v>6193867</v>
      </c>
    </row>
    <row r="1040" spans="1:18" x14ac:dyDescent="0.25">
      <c r="A1040" s="170">
        <v>43532</v>
      </c>
      <c r="B1040" s="116">
        <v>227</v>
      </c>
      <c r="C1040" s="116">
        <v>225.7</v>
      </c>
      <c r="D1040" s="116">
        <v>220.45</v>
      </c>
      <c r="E1040" s="116">
        <v>222</v>
      </c>
      <c r="F1040" s="116">
        <v>225.7</v>
      </c>
      <c r="G1040">
        <v>131100</v>
      </c>
      <c r="H1040" s="116"/>
      <c r="I1040" s="116"/>
      <c r="L1040" s="170">
        <v>43532</v>
      </c>
      <c r="M1040" s="116">
        <v>226.15</v>
      </c>
      <c r="N1040" s="116">
        <v>227.1</v>
      </c>
      <c r="O1040" s="116">
        <v>220.55</v>
      </c>
      <c r="P1040" s="116">
        <v>221.3</v>
      </c>
      <c r="Q1040" s="116">
        <v>226.15</v>
      </c>
      <c r="R1040">
        <v>2803088</v>
      </c>
    </row>
    <row r="1041" spans="1:18" x14ac:dyDescent="0.25">
      <c r="A1041" s="170">
        <v>43535</v>
      </c>
      <c r="B1041" s="116">
        <v>233.9</v>
      </c>
      <c r="C1041" s="116">
        <v>232.8</v>
      </c>
      <c r="D1041" s="116">
        <v>225.5</v>
      </c>
      <c r="E1041" s="116">
        <v>225.5</v>
      </c>
      <c r="F1041" s="116">
        <v>232.8</v>
      </c>
      <c r="G1041">
        <v>192883</v>
      </c>
      <c r="H1041" s="116"/>
      <c r="I1041" s="116"/>
      <c r="L1041" s="170">
        <v>43535</v>
      </c>
      <c r="M1041" s="116">
        <v>233.3</v>
      </c>
      <c r="N1041" s="116">
        <v>234.7</v>
      </c>
      <c r="O1041" s="116">
        <v>226.45</v>
      </c>
      <c r="P1041" s="116">
        <v>226.75</v>
      </c>
      <c r="Q1041" s="116">
        <v>233.3</v>
      </c>
      <c r="R1041">
        <v>4030315</v>
      </c>
    </row>
    <row r="1042" spans="1:18" x14ac:dyDescent="0.25">
      <c r="A1042" s="170">
        <v>43536</v>
      </c>
      <c r="B1042" s="116">
        <v>236.9</v>
      </c>
      <c r="C1042" s="116">
        <v>233.35</v>
      </c>
      <c r="D1042" s="116">
        <v>231</v>
      </c>
      <c r="E1042" s="116">
        <v>233</v>
      </c>
      <c r="F1042" s="116">
        <v>233.35</v>
      </c>
      <c r="G1042">
        <v>119264</v>
      </c>
      <c r="H1042" s="116"/>
      <c r="I1042" s="116"/>
      <c r="L1042" s="170">
        <v>43536</v>
      </c>
      <c r="M1042" s="116">
        <v>233.15</v>
      </c>
      <c r="N1042" s="116">
        <v>237.1</v>
      </c>
      <c r="O1042" s="116">
        <v>232.35</v>
      </c>
      <c r="P1042" s="116">
        <v>233.75</v>
      </c>
      <c r="Q1042" s="116">
        <v>233.15</v>
      </c>
      <c r="R1042">
        <v>6903177</v>
      </c>
    </row>
    <row r="1043" spans="1:18" x14ac:dyDescent="0.25">
      <c r="A1043" s="170">
        <v>43537</v>
      </c>
      <c r="B1043" s="116">
        <v>235.5</v>
      </c>
      <c r="C1043" s="116">
        <v>229.75</v>
      </c>
      <c r="D1043" s="116">
        <v>228.5</v>
      </c>
      <c r="E1043" s="116">
        <v>235</v>
      </c>
      <c r="F1043" s="116">
        <v>229.75</v>
      </c>
      <c r="G1043">
        <v>108414</v>
      </c>
      <c r="H1043" s="116"/>
      <c r="I1043" s="116"/>
      <c r="L1043" s="170">
        <v>43537</v>
      </c>
      <c r="M1043" s="116">
        <v>229.8</v>
      </c>
      <c r="N1043" s="116">
        <v>235.6</v>
      </c>
      <c r="O1043" s="116">
        <v>228.6</v>
      </c>
      <c r="P1043" s="116">
        <v>234</v>
      </c>
      <c r="Q1043" s="116">
        <v>229.8</v>
      </c>
      <c r="R1043">
        <v>3736991</v>
      </c>
    </row>
    <row r="1044" spans="1:18" x14ac:dyDescent="0.25">
      <c r="A1044" s="170">
        <v>43538</v>
      </c>
      <c r="B1044" s="116">
        <v>231.4</v>
      </c>
      <c r="C1044" s="116">
        <v>224.65</v>
      </c>
      <c r="D1044" s="116">
        <v>224</v>
      </c>
      <c r="E1044" s="116">
        <v>231.4</v>
      </c>
      <c r="F1044" s="116">
        <v>224.65</v>
      </c>
      <c r="G1044">
        <v>76577</v>
      </c>
      <c r="H1044" s="116"/>
      <c r="I1044" s="116"/>
      <c r="L1044" s="170">
        <v>43538</v>
      </c>
      <c r="M1044" s="116">
        <v>224.15</v>
      </c>
      <c r="N1044" s="116">
        <v>232.95</v>
      </c>
      <c r="O1044" s="116">
        <v>223.65</v>
      </c>
      <c r="P1044" s="116">
        <v>230</v>
      </c>
      <c r="Q1044" s="116">
        <v>224.15</v>
      </c>
      <c r="R1044">
        <v>2916976</v>
      </c>
    </row>
    <row r="1045" spans="1:18" x14ac:dyDescent="0.25">
      <c r="A1045" s="170">
        <v>43539</v>
      </c>
      <c r="B1045" s="116">
        <v>229.45</v>
      </c>
      <c r="C1045" s="116">
        <v>225.35</v>
      </c>
      <c r="D1045" s="116">
        <v>223</v>
      </c>
      <c r="E1045" s="116">
        <v>223</v>
      </c>
      <c r="F1045" s="116">
        <v>225.35</v>
      </c>
      <c r="G1045">
        <v>124176</v>
      </c>
      <c r="H1045" s="116"/>
      <c r="I1045" s="116"/>
      <c r="L1045" s="170">
        <v>43539</v>
      </c>
      <c r="M1045" s="116">
        <v>225.35</v>
      </c>
      <c r="N1045" s="116">
        <v>229.5</v>
      </c>
      <c r="O1045" s="116">
        <v>223.55</v>
      </c>
      <c r="P1045" s="116">
        <v>223.9</v>
      </c>
      <c r="Q1045" s="116">
        <v>225.35</v>
      </c>
      <c r="R1045">
        <v>3226639</v>
      </c>
    </row>
    <row r="1046" spans="1:18" x14ac:dyDescent="0.25">
      <c r="A1046" s="170">
        <v>43542</v>
      </c>
      <c r="B1046" s="116">
        <v>229.6</v>
      </c>
      <c r="C1046" s="116">
        <v>226.65</v>
      </c>
      <c r="D1046" s="116">
        <v>225.1</v>
      </c>
      <c r="E1046" s="116">
        <v>225.4</v>
      </c>
      <c r="F1046" s="116">
        <v>226.65</v>
      </c>
      <c r="G1046">
        <v>72782</v>
      </c>
      <c r="H1046" s="116"/>
      <c r="I1046" s="116"/>
      <c r="L1046" s="170">
        <v>43542</v>
      </c>
      <c r="M1046" s="116">
        <v>226.45</v>
      </c>
      <c r="N1046" s="116">
        <v>229.55</v>
      </c>
      <c r="O1046" s="116">
        <v>225</v>
      </c>
      <c r="P1046" s="116">
        <v>226.9</v>
      </c>
      <c r="Q1046" s="116">
        <v>226.45</v>
      </c>
      <c r="R1046">
        <v>1524697</v>
      </c>
    </row>
    <row r="1047" spans="1:18" x14ac:dyDescent="0.25">
      <c r="A1047" s="170">
        <v>43543</v>
      </c>
      <c r="B1047" s="116">
        <v>231.2</v>
      </c>
      <c r="C1047" s="116">
        <v>229.8</v>
      </c>
      <c r="D1047" s="116">
        <v>226.7</v>
      </c>
      <c r="E1047" s="116">
        <v>226.7</v>
      </c>
      <c r="F1047" s="116">
        <v>229.8</v>
      </c>
      <c r="G1047">
        <v>69993</v>
      </c>
      <c r="H1047" s="116"/>
      <c r="I1047" s="116"/>
      <c r="L1047" s="170">
        <v>43543</v>
      </c>
      <c r="M1047" s="116">
        <v>229.85</v>
      </c>
      <c r="N1047" s="116">
        <v>231.35</v>
      </c>
      <c r="O1047" s="116">
        <v>226.55</v>
      </c>
      <c r="P1047" s="116">
        <v>226.55</v>
      </c>
      <c r="Q1047" s="116">
        <v>229.85</v>
      </c>
      <c r="R1047">
        <v>1620753</v>
      </c>
    </row>
    <row r="1048" spans="1:18" x14ac:dyDescent="0.25">
      <c r="A1048" s="170">
        <v>43544</v>
      </c>
      <c r="B1048" s="116">
        <v>230.65</v>
      </c>
      <c r="C1048" s="116">
        <v>227.9</v>
      </c>
      <c r="D1048" s="116">
        <v>227.2</v>
      </c>
      <c r="E1048" s="116">
        <v>230.5</v>
      </c>
      <c r="F1048" s="116">
        <v>227.9</v>
      </c>
      <c r="G1048">
        <v>31472</v>
      </c>
      <c r="H1048" s="116"/>
      <c r="I1048" s="116"/>
      <c r="L1048" s="170">
        <v>43544</v>
      </c>
      <c r="M1048" s="116">
        <v>227.45</v>
      </c>
      <c r="N1048" s="116">
        <v>230.95</v>
      </c>
      <c r="O1048" s="116">
        <v>226.8</v>
      </c>
      <c r="P1048" s="116">
        <v>230.9</v>
      </c>
      <c r="Q1048" s="116">
        <v>227.45</v>
      </c>
      <c r="R1048">
        <v>1640049</v>
      </c>
    </row>
    <row r="1049" spans="1:18" x14ac:dyDescent="0.25">
      <c r="A1049" s="170">
        <v>43546</v>
      </c>
      <c r="B1049" s="116">
        <v>233.25</v>
      </c>
      <c r="C1049" s="116">
        <v>229.45</v>
      </c>
      <c r="D1049" s="116">
        <v>227.1</v>
      </c>
      <c r="E1049" s="116">
        <v>227.1</v>
      </c>
      <c r="F1049" s="116">
        <v>229.45</v>
      </c>
      <c r="G1049">
        <v>98894</v>
      </c>
      <c r="H1049" s="116"/>
      <c r="I1049" s="116"/>
      <c r="L1049" s="170">
        <v>43546</v>
      </c>
      <c r="M1049" s="116">
        <v>229.85</v>
      </c>
      <c r="N1049" s="116">
        <v>233.4</v>
      </c>
      <c r="O1049" s="116">
        <v>227.4</v>
      </c>
      <c r="P1049" s="116">
        <v>228.75</v>
      </c>
      <c r="Q1049" s="116">
        <v>229.85</v>
      </c>
      <c r="R1049">
        <v>2103761</v>
      </c>
    </row>
    <row r="1050" spans="1:18" x14ac:dyDescent="0.25">
      <c r="A1050" s="170">
        <v>43549</v>
      </c>
      <c r="B1050" s="116">
        <v>232</v>
      </c>
      <c r="C1050" s="116">
        <v>229.35</v>
      </c>
      <c r="D1050" s="116">
        <v>226.5</v>
      </c>
      <c r="E1050" s="116">
        <v>229.45</v>
      </c>
      <c r="F1050" s="116">
        <v>229.35</v>
      </c>
      <c r="G1050">
        <v>142009</v>
      </c>
      <c r="H1050" s="116"/>
      <c r="I1050" s="116"/>
      <c r="L1050" s="170">
        <v>43549</v>
      </c>
      <c r="M1050" s="116">
        <v>229.35</v>
      </c>
      <c r="N1050" s="116">
        <v>232.2</v>
      </c>
      <c r="O1050" s="116">
        <v>226.3</v>
      </c>
      <c r="P1050" s="116">
        <v>229</v>
      </c>
      <c r="Q1050" s="116">
        <v>229.35</v>
      </c>
      <c r="R1050">
        <v>2495275</v>
      </c>
    </row>
    <row r="1051" spans="1:18" x14ac:dyDescent="0.25">
      <c r="A1051" s="170">
        <v>43550</v>
      </c>
      <c r="B1051" s="116">
        <v>232.25</v>
      </c>
      <c r="C1051" s="116">
        <v>231.4</v>
      </c>
      <c r="D1051" s="116">
        <v>228</v>
      </c>
      <c r="E1051" s="116">
        <v>228</v>
      </c>
      <c r="F1051" s="116">
        <v>231.4</v>
      </c>
      <c r="G1051">
        <v>67172</v>
      </c>
      <c r="H1051" s="116"/>
      <c r="I1051" s="116"/>
      <c r="L1051" s="170">
        <v>43550</v>
      </c>
      <c r="M1051" s="116">
        <v>231.4</v>
      </c>
      <c r="N1051" s="116">
        <v>232.2</v>
      </c>
      <c r="O1051" s="116">
        <v>228.4</v>
      </c>
      <c r="P1051" s="116">
        <v>228.45</v>
      </c>
      <c r="Q1051" s="116">
        <v>231.4</v>
      </c>
      <c r="R1051">
        <v>2582780</v>
      </c>
    </row>
    <row r="1052" spans="1:18" x14ac:dyDescent="0.25">
      <c r="A1052" s="170">
        <v>43551</v>
      </c>
      <c r="B1052" s="116">
        <v>238.15</v>
      </c>
      <c r="C1052" s="116">
        <v>232.4</v>
      </c>
      <c r="D1052" s="116">
        <v>230.65</v>
      </c>
      <c r="E1052" s="116">
        <v>232</v>
      </c>
      <c r="F1052" s="116">
        <v>232.4</v>
      </c>
      <c r="G1052">
        <v>154964</v>
      </c>
      <c r="H1052" s="116"/>
      <c r="I1052" s="116"/>
      <c r="L1052" s="170">
        <v>43551</v>
      </c>
      <c r="M1052" s="116">
        <v>232.25</v>
      </c>
      <c r="N1052" s="116">
        <v>238.25</v>
      </c>
      <c r="O1052" s="116">
        <v>230.4</v>
      </c>
      <c r="P1052" s="116">
        <v>233</v>
      </c>
      <c r="Q1052" s="116">
        <v>232.25</v>
      </c>
      <c r="R1052">
        <v>4639012</v>
      </c>
    </row>
    <row r="1053" spans="1:18" x14ac:dyDescent="0.25">
      <c r="A1053" s="170">
        <v>43552</v>
      </c>
      <c r="B1053" s="116">
        <v>234.6</v>
      </c>
      <c r="C1053" s="116">
        <v>231.75</v>
      </c>
      <c r="D1053" s="116">
        <v>227.9</v>
      </c>
      <c r="E1053" s="116">
        <v>232</v>
      </c>
      <c r="F1053" s="116">
        <v>231.75</v>
      </c>
      <c r="G1053">
        <v>65478</v>
      </c>
      <c r="H1053" s="116"/>
      <c r="I1053" s="116"/>
      <c r="L1053" s="170">
        <v>43552</v>
      </c>
      <c r="M1053" s="116">
        <v>231.85</v>
      </c>
      <c r="N1053" s="116">
        <v>234.9</v>
      </c>
      <c r="O1053" s="116">
        <v>227.5</v>
      </c>
      <c r="P1053" s="116">
        <v>232.3</v>
      </c>
      <c r="Q1053" s="116">
        <v>231.85</v>
      </c>
      <c r="R1053">
        <v>5196003</v>
      </c>
    </row>
    <row r="1054" spans="1:18" x14ac:dyDescent="0.25">
      <c r="A1054" s="170">
        <v>43553</v>
      </c>
      <c r="B1054" s="116">
        <v>236</v>
      </c>
      <c r="C1054" s="116">
        <v>235.05</v>
      </c>
      <c r="D1054" s="116">
        <v>230.55</v>
      </c>
      <c r="E1054" s="116">
        <v>232.8</v>
      </c>
      <c r="F1054" s="116">
        <v>235.05</v>
      </c>
      <c r="G1054">
        <v>123294</v>
      </c>
      <c r="H1054" s="116"/>
      <c r="I1054" s="116"/>
      <c r="L1054" s="170">
        <v>43553</v>
      </c>
      <c r="M1054" s="116">
        <v>235.3</v>
      </c>
      <c r="N1054" s="116">
        <v>236.2</v>
      </c>
      <c r="O1054" s="116">
        <v>230.4</v>
      </c>
      <c r="P1054" s="116">
        <v>234.9</v>
      </c>
      <c r="Q1054" s="116">
        <v>235.3</v>
      </c>
      <c r="R1054">
        <v>4810352</v>
      </c>
    </row>
    <row r="1055" spans="1:18" x14ac:dyDescent="0.25">
      <c r="A1055" s="170">
        <v>43556</v>
      </c>
      <c r="B1055" s="116">
        <v>244</v>
      </c>
      <c r="C1055" s="116">
        <v>234.5</v>
      </c>
      <c r="D1055" s="116">
        <v>233.45</v>
      </c>
      <c r="E1055" s="116">
        <v>236.25</v>
      </c>
      <c r="F1055" s="116">
        <v>234.5</v>
      </c>
      <c r="G1055">
        <v>178056</v>
      </c>
      <c r="H1055" s="116"/>
      <c r="I1055" s="116"/>
      <c r="L1055" s="170">
        <v>43556</v>
      </c>
      <c r="M1055" s="116">
        <v>234.55</v>
      </c>
      <c r="N1055" s="116">
        <v>244</v>
      </c>
      <c r="O1055" s="116">
        <v>233.45</v>
      </c>
      <c r="P1055" s="116">
        <v>237</v>
      </c>
      <c r="Q1055" s="116">
        <v>234.55</v>
      </c>
      <c r="R1055">
        <v>5454846</v>
      </c>
    </row>
    <row r="1056" spans="1:18" x14ac:dyDescent="0.25">
      <c r="A1056" s="170">
        <v>43557</v>
      </c>
      <c r="B1056" s="116">
        <v>236.55</v>
      </c>
      <c r="C1056" s="116">
        <v>229.8</v>
      </c>
      <c r="D1056" s="116">
        <v>227.25</v>
      </c>
      <c r="E1056" s="116">
        <v>234</v>
      </c>
      <c r="F1056" s="116">
        <v>229.8</v>
      </c>
      <c r="G1056">
        <v>140449</v>
      </c>
      <c r="H1056" s="116"/>
      <c r="I1056" s="116"/>
      <c r="L1056" s="170">
        <v>43557</v>
      </c>
      <c r="M1056" s="116">
        <v>229.95</v>
      </c>
      <c r="N1056" s="116">
        <v>236.5</v>
      </c>
      <c r="O1056" s="116">
        <v>228.8</v>
      </c>
      <c r="P1056" s="116">
        <v>235</v>
      </c>
      <c r="Q1056" s="116">
        <v>229.95</v>
      </c>
      <c r="R1056">
        <v>3626882</v>
      </c>
    </row>
    <row r="1057" spans="1:18" x14ac:dyDescent="0.25">
      <c r="A1057" s="170">
        <v>43558</v>
      </c>
      <c r="B1057" s="116">
        <v>235.55</v>
      </c>
      <c r="C1057" s="116">
        <v>227</v>
      </c>
      <c r="D1057" s="116">
        <v>226.35</v>
      </c>
      <c r="E1057" s="116">
        <v>230</v>
      </c>
      <c r="F1057" s="116">
        <v>227</v>
      </c>
      <c r="G1057">
        <v>79391</v>
      </c>
      <c r="H1057" s="116"/>
      <c r="I1057" s="116"/>
      <c r="L1057" s="170">
        <v>43558</v>
      </c>
      <c r="M1057" s="116">
        <v>226.75</v>
      </c>
      <c r="N1057" s="116">
        <v>235.9</v>
      </c>
      <c r="O1057" s="116">
        <v>225.95</v>
      </c>
      <c r="P1057" s="116">
        <v>231</v>
      </c>
      <c r="Q1057" s="116">
        <v>226.75</v>
      </c>
      <c r="R1057">
        <v>4591977</v>
      </c>
    </row>
    <row r="1058" spans="1:18" x14ac:dyDescent="0.25">
      <c r="A1058" s="170">
        <v>43559</v>
      </c>
      <c r="B1058" s="116">
        <v>229.4</v>
      </c>
      <c r="C1058" s="116">
        <v>222.75</v>
      </c>
      <c r="D1058" s="116">
        <v>222.05</v>
      </c>
      <c r="E1058" s="116">
        <v>228</v>
      </c>
      <c r="F1058" s="116">
        <v>222.75</v>
      </c>
      <c r="G1058">
        <v>154084</v>
      </c>
      <c r="H1058" s="116"/>
      <c r="I1058" s="116"/>
      <c r="L1058" s="170">
        <v>43559</v>
      </c>
      <c r="M1058" s="116">
        <v>222.6</v>
      </c>
      <c r="N1058" s="116">
        <v>229.35</v>
      </c>
      <c r="O1058" s="116">
        <v>222.05</v>
      </c>
      <c r="P1058" s="116">
        <v>226.75</v>
      </c>
      <c r="Q1058" s="116">
        <v>222.6</v>
      </c>
      <c r="R1058">
        <v>11011371</v>
      </c>
    </row>
    <row r="1059" spans="1:18" x14ac:dyDescent="0.25">
      <c r="A1059" s="170">
        <v>43560</v>
      </c>
      <c r="B1059" s="116">
        <v>227.5</v>
      </c>
      <c r="C1059" s="116">
        <v>224.15</v>
      </c>
      <c r="D1059" s="116">
        <v>222.75</v>
      </c>
      <c r="E1059" s="116">
        <v>223.6</v>
      </c>
      <c r="F1059" s="116">
        <v>224.15</v>
      </c>
      <c r="G1059">
        <v>130217</v>
      </c>
      <c r="H1059" s="116"/>
      <c r="I1059" s="116"/>
      <c r="L1059" s="170">
        <v>43560</v>
      </c>
      <c r="M1059" s="116">
        <v>224</v>
      </c>
      <c r="N1059" s="116">
        <v>227.9</v>
      </c>
      <c r="O1059" s="116">
        <v>222.55</v>
      </c>
      <c r="P1059" s="116">
        <v>224.7</v>
      </c>
      <c r="Q1059" s="116">
        <v>224</v>
      </c>
      <c r="R1059">
        <v>8983871</v>
      </c>
    </row>
    <row r="1060" spans="1:18" x14ac:dyDescent="0.25">
      <c r="A1060" s="170">
        <v>43563</v>
      </c>
      <c r="B1060" s="116">
        <v>228.9</v>
      </c>
      <c r="C1060" s="116">
        <v>225.5</v>
      </c>
      <c r="D1060" s="116">
        <v>224.4</v>
      </c>
      <c r="E1060" s="116">
        <v>226.8</v>
      </c>
      <c r="F1060" s="116">
        <v>225.5</v>
      </c>
      <c r="G1060">
        <v>131875</v>
      </c>
      <c r="H1060" s="116"/>
      <c r="I1060" s="116"/>
      <c r="L1060" s="170">
        <v>43563</v>
      </c>
      <c r="M1060" s="116">
        <v>225.6</v>
      </c>
      <c r="N1060" s="116">
        <v>228.9</v>
      </c>
      <c r="O1060" s="116">
        <v>224.45</v>
      </c>
      <c r="P1060" s="116">
        <v>227.75</v>
      </c>
      <c r="Q1060" s="116">
        <v>225.6</v>
      </c>
      <c r="R1060">
        <v>3693810</v>
      </c>
    </row>
    <row r="1061" spans="1:18" x14ac:dyDescent="0.25">
      <c r="A1061" s="170">
        <v>43564</v>
      </c>
      <c r="B1061" s="116">
        <v>228</v>
      </c>
      <c r="C1061" s="116">
        <v>227.15</v>
      </c>
      <c r="D1061" s="116">
        <v>222</v>
      </c>
      <c r="E1061" s="116">
        <v>225.55</v>
      </c>
      <c r="F1061" s="116">
        <v>227.15</v>
      </c>
      <c r="G1061">
        <v>57945</v>
      </c>
      <c r="H1061" s="116"/>
      <c r="I1061" s="116"/>
      <c r="L1061" s="170">
        <v>43564</v>
      </c>
      <c r="M1061" s="116">
        <v>227.15</v>
      </c>
      <c r="N1061" s="116">
        <v>227.95</v>
      </c>
      <c r="O1061" s="116">
        <v>221.8</v>
      </c>
      <c r="P1061" s="116">
        <v>225.6</v>
      </c>
      <c r="Q1061" s="116">
        <v>227.15</v>
      </c>
      <c r="R1061">
        <v>2110961</v>
      </c>
    </row>
    <row r="1062" spans="1:18" x14ac:dyDescent="0.25">
      <c r="A1062" s="170">
        <v>43565</v>
      </c>
      <c r="B1062" s="116">
        <v>227.5</v>
      </c>
      <c r="C1062" s="116">
        <v>223.85</v>
      </c>
      <c r="D1062" s="116">
        <v>223.2</v>
      </c>
      <c r="E1062" s="116">
        <v>226.8</v>
      </c>
      <c r="F1062" s="116">
        <v>223.85</v>
      </c>
      <c r="G1062">
        <v>53357</v>
      </c>
      <c r="H1062" s="116"/>
      <c r="I1062" s="116"/>
      <c r="L1062" s="170">
        <v>43565</v>
      </c>
      <c r="M1062" s="116">
        <v>223.9</v>
      </c>
      <c r="N1062" s="116">
        <v>227.65</v>
      </c>
      <c r="O1062" s="116">
        <v>223.05</v>
      </c>
      <c r="P1062" s="116">
        <v>226.5</v>
      </c>
      <c r="Q1062" s="116">
        <v>223.9</v>
      </c>
      <c r="R1062">
        <v>1489964</v>
      </c>
    </row>
    <row r="1063" spans="1:18" x14ac:dyDescent="0.25">
      <c r="A1063" s="170">
        <v>43566</v>
      </c>
      <c r="B1063" s="116">
        <v>228.05</v>
      </c>
      <c r="C1063" s="116">
        <v>226.65</v>
      </c>
      <c r="D1063" s="116">
        <v>222.75</v>
      </c>
      <c r="E1063" s="116">
        <v>224.2</v>
      </c>
      <c r="F1063" s="116">
        <v>226.65</v>
      </c>
      <c r="G1063">
        <v>89981</v>
      </c>
      <c r="H1063" s="116"/>
      <c r="I1063" s="116"/>
      <c r="L1063" s="170">
        <v>43566</v>
      </c>
      <c r="M1063" s="116">
        <v>227.2</v>
      </c>
      <c r="N1063" s="116">
        <v>228.8</v>
      </c>
      <c r="O1063" s="116">
        <v>222.6</v>
      </c>
      <c r="P1063" s="116">
        <v>224.05</v>
      </c>
      <c r="Q1063" s="116">
        <v>227.2</v>
      </c>
      <c r="R1063">
        <v>1907836</v>
      </c>
    </row>
    <row r="1064" spans="1:18" x14ac:dyDescent="0.25">
      <c r="A1064" s="170">
        <v>43567</v>
      </c>
      <c r="B1064" s="116">
        <v>230.65</v>
      </c>
      <c r="C1064" s="116">
        <v>228.65</v>
      </c>
      <c r="D1064" s="116">
        <v>226.8</v>
      </c>
      <c r="E1064" s="116">
        <v>228</v>
      </c>
      <c r="F1064" s="116">
        <v>228.65</v>
      </c>
      <c r="G1064">
        <v>88671</v>
      </c>
      <c r="H1064" s="116"/>
      <c r="I1064" s="116"/>
      <c r="L1064" s="170">
        <v>43567</v>
      </c>
      <c r="M1064" s="116">
        <v>229.15</v>
      </c>
      <c r="N1064" s="116">
        <v>230.9</v>
      </c>
      <c r="O1064" s="116">
        <v>226.7</v>
      </c>
      <c r="P1064" s="116">
        <v>227.1</v>
      </c>
      <c r="Q1064" s="116">
        <v>229.15</v>
      </c>
      <c r="R1064">
        <v>2171386</v>
      </c>
    </row>
    <row r="1065" spans="1:18" x14ac:dyDescent="0.25">
      <c r="A1065" s="170">
        <v>43570</v>
      </c>
      <c r="B1065" s="116">
        <v>230.1</v>
      </c>
      <c r="C1065" s="116">
        <v>228.1</v>
      </c>
      <c r="D1065" s="116">
        <v>226.8</v>
      </c>
      <c r="E1065" s="116">
        <v>229.2</v>
      </c>
      <c r="F1065" s="116">
        <v>228.1</v>
      </c>
      <c r="G1065">
        <v>65546</v>
      </c>
      <c r="H1065" s="116"/>
      <c r="I1065" s="116"/>
      <c r="L1065" s="170">
        <v>43570</v>
      </c>
      <c r="M1065" s="116">
        <v>227.45</v>
      </c>
      <c r="N1065" s="116">
        <v>230.35</v>
      </c>
      <c r="O1065" s="116">
        <v>226.9</v>
      </c>
      <c r="P1065" s="116">
        <v>230.2</v>
      </c>
      <c r="Q1065" s="116">
        <v>227.45</v>
      </c>
      <c r="R1065">
        <v>2875556</v>
      </c>
    </row>
    <row r="1066" spans="1:18" x14ac:dyDescent="0.25">
      <c r="A1066" s="170">
        <v>43571</v>
      </c>
      <c r="B1066" s="116">
        <v>232.8</v>
      </c>
      <c r="C1066" s="116">
        <v>231.55</v>
      </c>
      <c r="D1066" s="116">
        <v>227.8</v>
      </c>
      <c r="E1066" s="116">
        <v>228.9</v>
      </c>
      <c r="F1066" s="116">
        <v>231.55</v>
      </c>
      <c r="G1066">
        <v>79590</v>
      </c>
      <c r="H1066" s="116"/>
      <c r="I1066" s="116"/>
      <c r="L1066" s="170">
        <v>43571</v>
      </c>
      <c r="M1066" s="116">
        <v>232</v>
      </c>
      <c r="N1066" s="116">
        <v>233</v>
      </c>
      <c r="O1066" s="116">
        <v>227.65</v>
      </c>
      <c r="P1066" s="116">
        <v>228.4</v>
      </c>
      <c r="Q1066" s="116">
        <v>232</v>
      </c>
      <c r="R1066">
        <v>4568324</v>
      </c>
    </row>
    <row r="1067" spans="1:18" x14ac:dyDescent="0.25">
      <c r="A1067" s="170">
        <v>43573</v>
      </c>
      <c r="B1067" s="116">
        <v>235.25</v>
      </c>
      <c r="C1067" s="116">
        <v>234</v>
      </c>
      <c r="D1067" s="116">
        <v>230</v>
      </c>
      <c r="E1067" s="116">
        <v>231.55</v>
      </c>
      <c r="F1067" s="116">
        <v>234</v>
      </c>
      <c r="G1067">
        <v>113414</v>
      </c>
      <c r="H1067" s="116"/>
      <c r="I1067" s="116"/>
      <c r="L1067" s="170">
        <v>43573</v>
      </c>
      <c r="M1067" s="116">
        <v>233.4</v>
      </c>
      <c r="N1067" s="116">
        <v>235.25</v>
      </c>
      <c r="O1067" s="116">
        <v>230</v>
      </c>
      <c r="P1067" s="116">
        <v>232</v>
      </c>
      <c r="Q1067" s="116">
        <v>233.4</v>
      </c>
      <c r="R1067">
        <v>2742711</v>
      </c>
    </row>
    <row r="1068" spans="1:18" x14ac:dyDescent="0.25">
      <c r="A1068" s="170">
        <v>43577</v>
      </c>
      <c r="B1068" s="116">
        <v>232.9</v>
      </c>
      <c r="C1068" s="116">
        <v>226.45</v>
      </c>
      <c r="D1068" s="116">
        <v>225.4</v>
      </c>
      <c r="E1068" s="116">
        <v>232.9</v>
      </c>
      <c r="F1068" s="116">
        <v>226.45</v>
      </c>
      <c r="G1068">
        <v>68873</v>
      </c>
      <c r="H1068" s="116"/>
      <c r="I1068" s="116"/>
      <c r="L1068" s="170">
        <v>43577</v>
      </c>
      <c r="M1068" s="116">
        <v>226.1</v>
      </c>
      <c r="N1068" s="116">
        <v>232.1</v>
      </c>
      <c r="O1068" s="116">
        <v>225.1</v>
      </c>
      <c r="P1068" s="116">
        <v>231.5</v>
      </c>
      <c r="Q1068" s="116">
        <v>226.1</v>
      </c>
      <c r="R1068">
        <v>1348195</v>
      </c>
    </row>
    <row r="1069" spans="1:18" x14ac:dyDescent="0.25">
      <c r="A1069" s="170">
        <v>43578</v>
      </c>
      <c r="B1069" s="116">
        <v>228.8</v>
      </c>
      <c r="C1069" s="116">
        <v>226.8</v>
      </c>
      <c r="D1069" s="116">
        <v>225</v>
      </c>
      <c r="E1069" s="116">
        <v>226.5</v>
      </c>
      <c r="F1069" s="116">
        <v>226.8</v>
      </c>
      <c r="G1069">
        <v>51810</v>
      </c>
      <c r="H1069" s="116"/>
      <c r="I1069" s="116"/>
      <c r="L1069" s="170">
        <v>43578</v>
      </c>
      <c r="M1069" s="116">
        <v>226.8</v>
      </c>
      <c r="N1069" s="116">
        <v>228.85</v>
      </c>
      <c r="O1069" s="116">
        <v>225.6</v>
      </c>
      <c r="P1069" s="116">
        <v>226.45</v>
      </c>
      <c r="Q1069" s="116">
        <v>226.8</v>
      </c>
      <c r="R1069">
        <v>965185</v>
      </c>
    </row>
    <row r="1070" spans="1:18" x14ac:dyDescent="0.25">
      <c r="A1070" s="170">
        <v>43579</v>
      </c>
      <c r="B1070" s="116">
        <v>226</v>
      </c>
      <c r="C1070" s="116">
        <v>224.4</v>
      </c>
      <c r="D1070" s="116">
        <v>216.5</v>
      </c>
      <c r="E1070" s="116">
        <v>223.8</v>
      </c>
      <c r="F1070" s="116">
        <v>224.4</v>
      </c>
      <c r="G1070">
        <v>293157</v>
      </c>
      <c r="H1070" s="116"/>
      <c r="I1070" s="116"/>
      <c r="L1070" s="170">
        <v>43579</v>
      </c>
      <c r="M1070" s="116">
        <v>224.1</v>
      </c>
      <c r="N1070" s="116">
        <v>226.35</v>
      </c>
      <c r="O1070" s="116">
        <v>216.05</v>
      </c>
      <c r="P1070" s="116">
        <v>223</v>
      </c>
      <c r="Q1070" s="116">
        <v>224.1</v>
      </c>
      <c r="R1070">
        <v>6235599</v>
      </c>
    </row>
    <row r="1071" spans="1:18" x14ac:dyDescent="0.25">
      <c r="A1071" s="170">
        <v>43580</v>
      </c>
      <c r="B1071" s="116">
        <v>229.95</v>
      </c>
      <c r="C1071" s="116">
        <v>220.1</v>
      </c>
      <c r="D1071" s="116">
        <v>219.5</v>
      </c>
      <c r="E1071" s="116">
        <v>223</v>
      </c>
      <c r="F1071" s="116">
        <v>220.1</v>
      </c>
      <c r="G1071">
        <v>152227</v>
      </c>
      <c r="H1071" s="116"/>
      <c r="I1071" s="116"/>
      <c r="L1071" s="170">
        <v>43580</v>
      </c>
      <c r="M1071" s="116">
        <v>220.55</v>
      </c>
      <c r="N1071" s="116">
        <v>229.85</v>
      </c>
      <c r="O1071" s="116">
        <v>219.5</v>
      </c>
      <c r="P1071" s="116">
        <v>222.35</v>
      </c>
      <c r="Q1071" s="116">
        <v>220.55</v>
      </c>
      <c r="R1071">
        <v>7167694</v>
      </c>
    </row>
    <row r="1072" spans="1:18" x14ac:dyDescent="0.25">
      <c r="A1072" s="170">
        <v>43581</v>
      </c>
      <c r="B1072" s="116">
        <v>226.5</v>
      </c>
      <c r="C1072" s="116">
        <v>225.9</v>
      </c>
      <c r="D1072" s="116">
        <v>221.3</v>
      </c>
      <c r="E1072" s="116">
        <v>221.3</v>
      </c>
      <c r="F1072" s="116">
        <v>225.9</v>
      </c>
      <c r="G1072">
        <v>63837</v>
      </c>
      <c r="H1072" s="116"/>
      <c r="I1072" s="116"/>
      <c r="L1072" s="170">
        <v>43581</v>
      </c>
      <c r="M1072" s="116">
        <v>226</v>
      </c>
      <c r="N1072" s="116">
        <v>226.55</v>
      </c>
      <c r="O1072" s="116">
        <v>221.75</v>
      </c>
      <c r="P1072" s="116">
        <v>223</v>
      </c>
      <c r="Q1072" s="116">
        <v>226</v>
      </c>
      <c r="R1072">
        <v>2114460</v>
      </c>
    </row>
    <row r="1073" spans="1:18" x14ac:dyDescent="0.25">
      <c r="A1073" s="170">
        <v>43585</v>
      </c>
      <c r="B1073" s="116">
        <v>227.8</v>
      </c>
      <c r="C1073" s="116">
        <v>220.7</v>
      </c>
      <c r="D1073" s="116">
        <v>217.9</v>
      </c>
      <c r="E1073" s="116">
        <v>226.55</v>
      </c>
      <c r="F1073" s="116">
        <v>220.7</v>
      </c>
      <c r="G1073">
        <v>429606</v>
      </c>
      <c r="H1073" s="116"/>
      <c r="I1073" s="116"/>
      <c r="L1073" s="170">
        <v>43585</v>
      </c>
      <c r="M1073" s="116">
        <v>220.5</v>
      </c>
      <c r="N1073" s="116">
        <v>227.7</v>
      </c>
      <c r="O1073" s="116">
        <v>217.6</v>
      </c>
      <c r="P1073" s="116">
        <v>227</v>
      </c>
      <c r="Q1073" s="116">
        <v>220.5</v>
      </c>
      <c r="R1073">
        <v>9288005</v>
      </c>
    </row>
    <row r="1074" spans="1:18" x14ac:dyDescent="0.25">
      <c r="A1074" s="170">
        <v>43587</v>
      </c>
      <c r="B1074" s="116">
        <v>225.8</v>
      </c>
      <c r="C1074" s="116">
        <v>221.1</v>
      </c>
      <c r="D1074" s="116">
        <v>218.05</v>
      </c>
      <c r="E1074" s="116">
        <v>220.5</v>
      </c>
      <c r="F1074" s="116">
        <v>221.1</v>
      </c>
      <c r="G1074">
        <v>256463</v>
      </c>
      <c r="H1074" s="116"/>
      <c r="I1074" s="116"/>
      <c r="L1074" s="170">
        <v>43587</v>
      </c>
      <c r="M1074" s="116">
        <v>221.05</v>
      </c>
      <c r="N1074" s="116">
        <v>225.95</v>
      </c>
      <c r="O1074" s="116">
        <v>218.05</v>
      </c>
      <c r="P1074" s="116">
        <v>219.5</v>
      </c>
      <c r="Q1074" s="116">
        <v>221.05</v>
      </c>
      <c r="R1074">
        <v>5897979</v>
      </c>
    </row>
    <row r="1075" spans="1:18" x14ac:dyDescent="0.25">
      <c r="A1075" s="170">
        <v>43588</v>
      </c>
      <c r="B1075" s="116">
        <v>223.5</v>
      </c>
      <c r="C1075" s="116">
        <v>221.4</v>
      </c>
      <c r="D1075" s="116">
        <v>220.4</v>
      </c>
      <c r="E1075" s="116">
        <v>221.15</v>
      </c>
      <c r="F1075" s="116">
        <v>221.4</v>
      </c>
      <c r="G1075">
        <v>71369</v>
      </c>
      <c r="H1075" s="116"/>
      <c r="I1075" s="116"/>
      <c r="L1075" s="170">
        <v>43588</v>
      </c>
      <c r="M1075" s="116">
        <v>221.7</v>
      </c>
      <c r="N1075" s="116">
        <v>223.3</v>
      </c>
      <c r="O1075" s="116">
        <v>220.15</v>
      </c>
      <c r="P1075" s="116">
        <v>221.5</v>
      </c>
      <c r="Q1075" s="116">
        <v>221.7</v>
      </c>
      <c r="R1075">
        <v>1515314</v>
      </c>
    </row>
    <row r="1076" spans="1:18" x14ac:dyDescent="0.25">
      <c r="A1076" s="170">
        <v>43591</v>
      </c>
      <c r="B1076" s="116">
        <v>221.2</v>
      </c>
      <c r="C1076" s="116">
        <v>219.15</v>
      </c>
      <c r="D1076" s="116">
        <v>217.2</v>
      </c>
      <c r="E1076" s="116">
        <v>221.2</v>
      </c>
      <c r="F1076" s="116">
        <v>219.15</v>
      </c>
      <c r="G1076">
        <v>79290</v>
      </c>
      <c r="H1076" s="116"/>
      <c r="I1076" s="116"/>
      <c r="L1076" s="170">
        <v>43591</v>
      </c>
      <c r="M1076" s="116">
        <v>219.7</v>
      </c>
      <c r="N1076" s="116">
        <v>221.25</v>
      </c>
      <c r="O1076" s="116">
        <v>218.05</v>
      </c>
      <c r="P1076" s="116">
        <v>220.25</v>
      </c>
      <c r="Q1076" s="116">
        <v>219.7</v>
      </c>
      <c r="R1076">
        <v>1376657</v>
      </c>
    </row>
    <row r="1077" spans="1:18" x14ac:dyDescent="0.25">
      <c r="A1077" s="170">
        <v>43592</v>
      </c>
      <c r="B1077" s="116">
        <v>222.45</v>
      </c>
      <c r="C1077" s="116">
        <v>218.2</v>
      </c>
      <c r="D1077" s="116">
        <v>217.3</v>
      </c>
      <c r="E1077" s="116">
        <v>220.8</v>
      </c>
      <c r="F1077" s="116">
        <v>218.2</v>
      </c>
      <c r="G1077">
        <v>81405</v>
      </c>
      <c r="H1077" s="116"/>
      <c r="I1077" s="116"/>
      <c r="L1077" s="170">
        <v>43592</v>
      </c>
      <c r="M1077" s="116">
        <v>218.2</v>
      </c>
      <c r="N1077" s="116">
        <v>222.45</v>
      </c>
      <c r="O1077" s="116">
        <v>217.5</v>
      </c>
      <c r="P1077" s="116">
        <v>221.25</v>
      </c>
      <c r="Q1077" s="116">
        <v>218.2</v>
      </c>
      <c r="R1077">
        <v>1610407</v>
      </c>
    </row>
    <row r="1078" spans="1:18" x14ac:dyDescent="0.25">
      <c r="A1078" s="170">
        <v>43593</v>
      </c>
      <c r="B1078" s="116">
        <v>219.1</v>
      </c>
      <c r="C1078" s="116">
        <v>213.5</v>
      </c>
      <c r="D1078" s="116">
        <v>213</v>
      </c>
      <c r="E1078" s="116">
        <v>218.5</v>
      </c>
      <c r="F1078" s="116">
        <v>213.5</v>
      </c>
      <c r="G1078">
        <v>145172</v>
      </c>
      <c r="H1078" s="116"/>
      <c r="I1078" s="116"/>
      <c r="L1078" s="170">
        <v>43593</v>
      </c>
      <c r="M1078" s="116">
        <v>213.35</v>
      </c>
      <c r="N1078" s="116">
        <v>219.1</v>
      </c>
      <c r="O1078" s="116">
        <v>212.4</v>
      </c>
      <c r="P1078" s="116">
        <v>218.25</v>
      </c>
      <c r="Q1078" s="116">
        <v>213.35</v>
      </c>
      <c r="R1078">
        <v>3350658</v>
      </c>
    </row>
    <row r="1079" spans="1:18" x14ac:dyDescent="0.25">
      <c r="A1079" s="170">
        <v>43594</v>
      </c>
      <c r="B1079" s="116">
        <v>214.1</v>
      </c>
      <c r="C1079" s="116">
        <v>213.1</v>
      </c>
      <c r="D1079" s="116">
        <v>210.6</v>
      </c>
      <c r="E1079" s="116">
        <v>213.5</v>
      </c>
      <c r="F1079" s="116">
        <v>213.1</v>
      </c>
      <c r="G1079">
        <v>151493</v>
      </c>
      <c r="H1079" s="116"/>
      <c r="I1079" s="116"/>
      <c r="L1079" s="170">
        <v>43594</v>
      </c>
      <c r="M1079" s="116">
        <v>213.95</v>
      </c>
      <c r="N1079" s="116">
        <v>214.75</v>
      </c>
      <c r="O1079" s="116">
        <v>210.55</v>
      </c>
      <c r="P1079" s="116">
        <v>212.5</v>
      </c>
      <c r="Q1079" s="116">
        <v>213.95</v>
      </c>
      <c r="R1079">
        <v>1599486</v>
      </c>
    </row>
    <row r="1080" spans="1:18" x14ac:dyDescent="0.25">
      <c r="A1080" s="170">
        <v>43595</v>
      </c>
      <c r="B1080" s="116">
        <v>216</v>
      </c>
      <c r="C1080" s="116">
        <v>215</v>
      </c>
      <c r="D1080" s="116">
        <v>213.3</v>
      </c>
      <c r="E1080" s="116">
        <v>214.7</v>
      </c>
      <c r="F1080" s="116">
        <v>215</v>
      </c>
      <c r="G1080">
        <v>77135</v>
      </c>
      <c r="H1080" s="116"/>
      <c r="I1080" s="116"/>
      <c r="L1080" s="170">
        <v>43595</v>
      </c>
      <c r="M1080" s="116">
        <v>214.75</v>
      </c>
      <c r="N1080" s="116">
        <v>215.9</v>
      </c>
      <c r="O1080" s="116">
        <v>213.1</v>
      </c>
      <c r="P1080" s="116">
        <v>213.95</v>
      </c>
      <c r="Q1080" s="116">
        <v>214.75</v>
      </c>
      <c r="R1080">
        <v>1105200</v>
      </c>
    </row>
    <row r="1081" spans="1:18" x14ac:dyDescent="0.25">
      <c r="A1081" s="170">
        <v>43598</v>
      </c>
      <c r="B1081" s="116">
        <v>215.7</v>
      </c>
      <c r="C1081" s="116">
        <v>210.2</v>
      </c>
      <c r="D1081" s="116">
        <v>208.05</v>
      </c>
      <c r="E1081" s="116">
        <v>214.05</v>
      </c>
      <c r="F1081" s="116">
        <v>210.2</v>
      </c>
      <c r="G1081">
        <v>101902</v>
      </c>
      <c r="H1081" s="116"/>
      <c r="I1081" s="116"/>
      <c r="L1081" s="170">
        <v>43598</v>
      </c>
      <c r="M1081" s="116">
        <v>210</v>
      </c>
      <c r="N1081" s="116">
        <v>215.7</v>
      </c>
      <c r="O1081" s="116">
        <v>208.95</v>
      </c>
      <c r="P1081" s="116">
        <v>214.1</v>
      </c>
      <c r="Q1081" s="116">
        <v>210</v>
      </c>
      <c r="R1081">
        <v>1616073</v>
      </c>
    </row>
    <row r="1082" spans="1:18" x14ac:dyDescent="0.25">
      <c r="A1082" s="170">
        <v>43599</v>
      </c>
      <c r="B1082" s="116">
        <v>213.85</v>
      </c>
      <c r="C1082" s="116">
        <v>212.2</v>
      </c>
      <c r="D1082" s="116">
        <v>208.35</v>
      </c>
      <c r="E1082" s="116">
        <v>210</v>
      </c>
      <c r="F1082" s="116">
        <v>212.2</v>
      </c>
      <c r="G1082">
        <v>73580</v>
      </c>
      <c r="H1082" s="116"/>
      <c r="I1082" s="116"/>
      <c r="L1082" s="170">
        <v>43599</v>
      </c>
      <c r="M1082" s="116">
        <v>213.1</v>
      </c>
      <c r="N1082" s="116">
        <v>214.95</v>
      </c>
      <c r="O1082" s="116">
        <v>208.05</v>
      </c>
      <c r="P1082" s="116">
        <v>209.9</v>
      </c>
      <c r="Q1082" s="116">
        <v>213.1</v>
      </c>
      <c r="R1082">
        <v>1809112</v>
      </c>
    </row>
    <row r="1083" spans="1:18" x14ac:dyDescent="0.25">
      <c r="A1083" s="170">
        <v>43600</v>
      </c>
      <c r="B1083" s="116">
        <v>213.7</v>
      </c>
      <c r="C1083" s="116">
        <v>209.6</v>
      </c>
      <c r="D1083" s="116">
        <v>208.7</v>
      </c>
      <c r="E1083" s="116">
        <v>212.95</v>
      </c>
      <c r="F1083" s="116">
        <v>209.6</v>
      </c>
      <c r="G1083">
        <v>148464</v>
      </c>
      <c r="H1083" s="116"/>
      <c r="I1083" s="116"/>
      <c r="L1083" s="170">
        <v>43600</v>
      </c>
      <c r="M1083" s="116">
        <v>209.75</v>
      </c>
      <c r="N1083" s="116">
        <v>213.95</v>
      </c>
      <c r="O1083" s="116">
        <v>208.75</v>
      </c>
      <c r="P1083" s="116">
        <v>213.15</v>
      </c>
      <c r="Q1083" s="116">
        <v>209.75</v>
      </c>
      <c r="R1083">
        <v>3417094</v>
      </c>
    </row>
    <row r="1084" spans="1:18" x14ac:dyDescent="0.25">
      <c r="A1084" s="170">
        <v>43601</v>
      </c>
      <c r="B1084" s="116">
        <v>216.5</v>
      </c>
      <c r="C1084" s="116">
        <v>215.3</v>
      </c>
      <c r="D1084" s="116">
        <v>207.9</v>
      </c>
      <c r="E1084" s="116">
        <v>209</v>
      </c>
      <c r="F1084" s="116">
        <v>215.3</v>
      </c>
      <c r="G1084">
        <v>106440</v>
      </c>
      <c r="H1084" s="116"/>
      <c r="I1084" s="116"/>
      <c r="L1084" s="170">
        <v>43601</v>
      </c>
      <c r="M1084" s="116">
        <v>215.25</v>
      </c>
      <c r="N1084" s="116">
        <v>216.95</v>
      </c>
      <c r="O1084" s="116">
        <v>208.2</v>
      </c>
      <c r="P1084" s="116">
        <v>208.6</v>
      </c>
      <c r="Q1084" s="116">
        <v>215.25</v>
      </c>
      <c r="R1084">
        <v>2642018</v>
      </c>
    </row>
    <row r="1085" spans="1:18" x14ac:dyDescent="0.25">
      <c r="A1085" s="170">
        <v>43602</v>
      </c>
      <c r="B1085" s="116">
        <v>219.8</v>
      </c>
      <c r="C1085" s="116">
        <v>218.9</v>
      </c>
      <c r="D1085" s="116">
        <v>213.2</v>
      </c>
      <c r="E1085" s="116">
        <v>213.25</v>
      </c>
      <c r="F1085" s="116">
        <v>218.9</v>
      </c>
      <c r="G1085">
        <v>133501</v>
      </c>
      <c r="H1085" s="116"/>
      <c r="I1085" s="116"/>
      <c r="L1085" s="170">
        <v>43602</v>
      </c>
      <c r="M1085" s="116">
        <v>219</v>
      </c>
      <c r="N1085" s="116">
        <v>220</v>
      </c>
      <c r="O1085" s="116">
        <v>213.2</v>
      </c>
      <c r="P1085" s="116">
        <v>214.45</v>
      </c>
      <c r="Q1085" s="116">
        <v>219</v>
      </c>
      <c r="R1085">
        <v>3107238</v>
      </c>
    </row>
    <row r="1086" spans="1:18" x14ac:dyDescent="0.25">
      <c r="A1086" s="170">
        <v>43605</v>
      </c>
      <c r="B1086" s="116">
        <v>228.45</v>
      </c>
      <c r="C1086" s="116">
        <v>224.45</v>
      </c>
      <c r="D1086" s="116">
        <v>219.85</v>
      </c>
      <c r="E1086" s="116">
        <v>223</v>
      </c>
      <c r="F1086" s="116">
        <v>224.45</v>
      </c>
      <c r="G1086">
        <v>174748</v>
      </c>
      <c r="H1086" s="116"/>
      <c r="I1086" s="116"/>
      <c r="L1086" s="170">
        <v>43605</v>
      </c>
      <c r="M1086" s="116">
        <v>224.2</v>
      </c>
      <c r="N1086" s="116">
        <v>228.85</v>
      </c>
      <c r="O1086" s="116">
        <v>220</v>
      </c>
      <c r="P1086" s="116">
        <v>224</v>
      </c>
      <c r="Q1086" s="116">
        <v>224.2</v>
      </c>
      <c r="R1086">
        <v>6025899</v>
      </c>
    </row>
    <row r="1087" spans="1:18" x14ac:dyDescent="0.25">
      <c r="A1087" s="170">
        <v>43606</v>
      </c>
      <c r="B1087" s="116">
        <v>226.9</v>
      </c>
      <c r="C1087" s="116">
        <v>220.55</v>
      </c>
      <c r="D1087" s="116">
        <v>219.5</v>
      </c>
      <c r="E1087" s="116">
        <v>226</v>
      </c>
      <c r="F1087" s="116">
        <v>220.55</v>
      </c>
      <c r="G1087">
        <v>180923</v>
      </c>
      <c r="H1087" s="116"/>
      <c r="I1087" s="116"/>
      <c r="L1087" s="170">
        <v>43606</v>
      </c>
      <c r="M1087" s="116">
        <v>220.45</v>
      </c>
      <c r="N1087" s="116">
        <v>227.05</v>
      </c>
      <c r="O1087" s="116">
        <v>219.15</v>
      </c>
      <c r="P1087" s="116">
        <v>225.1</v>
      </c>
      <c r="Q1087" s="116">
        <v>220.45</v>
      </c>
      <c r="R1087">
        <v>3868084</v>
      </c>
    </row>
    <row r="1088" spans="1:18" x14ac:dyDescent="0.25">
      <c r="A1088" s="170">
        <v>43607</v>
      </c>
      <c r="B1088" s="116">
        <v>223.2</v>
      </c>
      <c r="C1088" s="116">
        <v>220.05</v>
      </c>
      <c r="D1088" s="116">
        <v>218.8</v>
      </c>
      <c r="E1088" s="116">
        <v>221</v>
      </c>
      <c r="F1088" s="116">
        <v>220.05</v>
      </c>
      <c r="G1088">
        <v>79134</v>
      </c>
      <c r="H1088" s="116"/>
      <c r="I1088" s="116"/>
      <c r="L1088" s="170">
        <v>43607</v>
      </c>
      <c r="M1088" s="116">
        <v>220.55</v>
      </c>
      <c r="N1088" s="116">
        <v>223.1</v>
      </c>
      <c r="O1088" s="116">
        <v>218.7</v>
      </c>
      <c r="P1088" s="116">
        <v>220.5</v>
      </c>
      <c r="Q1088" s="116">
        <v>220.55</v>
      </c>
      <c r="R1088">
        <v>1891609</v>
      </c>
    </row>
    <row r="1089" spans="1:18" x14ac:dyDescent="0.25">
      <c r="A1089" s="170">
        <v>43608</v>
      </c>
      <c r="B1089" s="116">
        <v>230.5</v>
      </c>
      <c r="C1089" s="116">
        <v>222.55</v>
      </c>
      <c r="D1089" s="116">
        <v>221.55</v>
      </c>
      <c r="E1089" s="116">
        <v>222.8</v>
      </c>
      <c r="F1089" s="116">
        <v>222.55</v>
      </c>
      <c r="G1089">
        <v>149658</v>
      </c>
      <c r="H1089" s="116"/>
      <c r="I1089" s="116"/>
      <c r="L1089" s="170">
        <v>43608</v>
      </c>
      <c r="M1089" s="116">
        <v>222.55</v>
      </c>
      <c r="N1089" s="116">
        <v>230.8</v>
      </c>
      <c r="O1089" s="116">
        <v>221.6</v>
      </c>
      <c r="P1089" s="116">
        <v>224.35</v>
      </c>
      <c r="Q1089" s="116">
        <v>222.55</v>
      </c>
      <c r="R1089">
        <v>5029385</v>
      </c>
    </row>
    <row r="1090" spans="1:18" x14ac:dyDescent="0.25">
      <c r="A1090" s="170">
        <v>43609</v>
      </c>
      <c r="B1090" s="116">
        <v>233.05</v>
      </c>
      <c r="C1090" s="116">
        <v>232.05</v>
      </c>
      <c r="D1090" s="116">
        <v>222.7</v>
      </c>
      <c r="E1090" s="116">
        <v>224.1</v>
      </c>
      <c r="F1090" s="116">
        <v>232.05</v>
      </c>
      <c r="G1090">
        <v>350035</v>
      </c>
      <c r="H1090" s="116"/>
      <c r="I1090" s="116"/>
      <c r="L1090" s="170">
        <v>43609</v>
      </c>
      <c r="M1090" s="116">
        <v>231.65</v>
      </c>
      <c r="N1090" s="116">
        <v>232.8</v>
      </c>
      <c r="O1090" s="116">
        <v>222.55</v>
      </c>
      <c r="P1090" s="116">
        <v>223.2</v>
      </c>
      <c r="Q1090" s="116">
        <v>231.65</v>
      </c>
      <c r="R1090">
        <v>5347116</v>
      </c>
    </row>
    <row r="1091" spans="1:18" x14ac:dyDescent="0.25">
      <c r="A1091" s="170">
        <v>43612</v>
      </c>
      <c r="B1091" s="116">
        <v>239.1</v>
      </c>
      <c r="C1091" s="116">
        <v>238.65</v>
      </c>
      <c r="D1091" s="116">
        <v>231.55</v>
      </c>
      <c r="E1091" s="116">
        <v>232.1</v>
      </c>
      <c r="F1091" s="116">
        <v>238.65</v>
      </c>
      <c r="G1091">
        <v>258495</v>
      </c>
      <c r="H1091" s="116"/>
      <c r="I1091" s="116"/>
      <c r="L1091" s="170">
        <v>43612</v>
      </c>
      <c r="M1091" s="116">
        <v>239.15</v>
      </c>
      <c r="N1091" s="116">
        <v>239.9</v>
      </c>
      <c r="O1091" s="116">
        <v>231.15</v>
      </c>
      <c r="P1091" s="116">
        <v>233</v>
      </c>
      <c r="Q1091" s="116">
        <v>239.15</v>
      </c>
      <c r="R1091">
        <v>2276077</v>
      </c>
    </row>
    <row r="1092" spans="1:18" x14ac:dyDescent="0.25">
      <c r="A1092" s="170">
        <v>43613</v>
      </c>
      <c r="B1092" s="116">
        <v>240.25</v>
      </c>
      <c r="C1092" s="116">
        <v>238.4</v>
      </c>
      <c r="D1092" s="116">
        <v>235.75</v>
      </c>
      <c r="E1092" s="116">
        <v>238</v>
      </c>
      <c r="F1092" s="116">
        <v>238.4</v>
      </c>
      <c r="G1092">
        <v>142958</v>
      </c>
      <c r="H1092" s="116"/>
      <c r="I1092" s="116"/>
      <c r="L1092" s="170">
        <v>43613</v>
      </c>
      <c r="M1092" s="116">
        <v>238.4</v>
      </c>
      <c r="N1092" s="116">
        <v>240.25</v>
      </c>
      <c r="O1092" s="116">
        <v>235.7</v>
      </c>
      <c r="P1092" s="116">
        <v>238</v>
      </c>
      <c r="Q1092" s="116">
        <v>238.4</v>
      </c>
      <c r="R1092">
        <v>5089113</v>
      </c>
    </row>
    <row r="1093" spans="1:18" x14ac:dyDescent="0.25">
      <c r="A1093" s="170">
        <v>43614</v>
      </c>
      <c r="B1093" s="116">
        <v>239.15</v>
      </c>
      <c r="C1093" s="116">
        <v>234.05</v>
      </c>
      <c r="D1093" s="116">
        <v>232</v>
      </c>
      <c r="E1093" s="116">
        <v>239</v>
      </c>
      <c r="F1093" s="116">
        <v>234.05</v>
      </c>
      <c r="G1093">
        <v>69092</v>
      </c>
      <c r="H1093" s="116"/>
      <c r="I1093" s="116"/>
      <c r="L1093" s="170">
        <v>43614</v>
      </c>
      <c r="M1093" s="116">
        <v>233.85</v>
      </c>
      <c r="N1093" s="116">
        <v>238.4</v>
      </c>
      <c r="O1093" s="116">
        <v>233.15</v>
      </c>
      <c r="P1093" s="116">
        <v>238.2</v>
      </c>
      <c r="Q1093" s="116">
        <v>233.85</v>
      </c>
      <c r="R1093">
        <v>1736796</v>
      </c>
    </row>
    <row r="1094" spans="1:18" x14ac:dyDescent="0.25">
      <c r="A1094" s="170">
        <v>43615</v>
      </c>
      <c r="B1094" s="116">
        <v>236.85</v>
      </c>
      <c r="C1094" s="116">
        <v>233.4</v>
      </c>
      <c r="D1094" s="116">
        <v>232.45</v>
      </c>
      <c r="E1094" s="116">
        <v>236.85</v>
      </c>
      <c r="F1094" s="116">
        <v>233.4</v>
      </c>
      <c r="G1094">
        <v>39040</v>
      </c>
      <c r="H1094" s="116"/>
      <c r="I1094" s="116"/>
      <c r="L1094" s="170">
        <v>43615</v>
      </c>
      <c r="M1094" s="116">
        <v>233</v>
      </c>
      <c r="N1094" s="116">
        <v>235.25</v>
      </c>
      <c r="O1094" s="116">
        <v>232.1</v>
      </c>
      <c r="P1094" s="116">
        <v>233.9</v>
      </c>
      <c r="Q1094" s="116">
        <v>233</v>
      </c>
      <c r="R1094">
        <v>2792300</v>
      </c>
    </row>
    <row r="1095" spans="1:18" x14ac:dyDescent="0.25">
      <c r="A1095" s="170">
        <v>43616</v>
      </c>
      <c r="B1095" s="116">
        <v>234.85</v>
      </c>
      <c r="C1095" s="116">
        <v>230.65</v>
      </c>
      <c r="D1095" s="116">
        <v>228.15</v>
      </c>
      <c r="E1095" s="116">
        <v>234</v>
      </c>
      <c r="F1095" s="116">
        <v>230.65</v>
      </c>
      <c r="G1095">
        <v>64505</v>
      </c>
      <c r="H1095" s="116"/>
      <c r="I1095" s="116"/>
      <c r="L1095" s="170">
        <v>43616</v>
      </c>
      <c r="M1095" s="116">
        <v>230.6</v>
      </c>
      <c r="N1095" s="116">
        <v>235</v>
      </c>
      <c r="O1095" s="116">
        <v>228</v>
      </c>
      <c r="P1095" s="116">
        <v>234.95</v>
      </c>
      <c r="Q1095" s="116">
        <v>230.6</v>
      </c>
      <c r="R1095">
        <v>2038520</v>
      </c>
    </row>
    <row r="1096" spans="1:18" x14ac:dyDescent="0.25">
      <c r="A1096" s="170">
        <v>43619</v>
      </c>
      <c r="B1096" s="116">
        <v>237.5</v>
      </c>
      <c r="C1096" s="116">
        <v>236.8</v>
      </c>
      <c r="D1096" s="116">
        <v>229.95</v>
      </c>
      <c r="E1096" s="116">
        <v>232</v>
      </c>
      <c r="F1096" s="116">
        <v>236.8</v>
      </c>
      <c r="G1096">
        <v>108275</v>
      </c>
      <c r="H1096" s="116"/>
      <c r="I1096" s="116"/>
      <c r="L1096" s="170">
        <v>43619</v>
      </c>
      <c r="M1096" s="116">
        <v>237.15</v>
      </c>
      <c r="N1096" s="116">
        <v>237.8</v>
      </c>
      <c r="O1096" s="116">
        <v>229.4</v>
      </c>
      <c r="P1096" s="116">
        <v>232.9</v>
      </c>
      <c r="Q1096" s="116">
        <v>237.15</v>
      </c>
      <c r="R1096">
        <v>2560455</v>
      </c>
    </row>
    <row r="1097" spans="1:18" x14ac:dyDescent="0.25">
      <c r="A1097" s="170">
        <v>43620</v>
      </c>
      <c r="B1097" s="116">
        <v>237.85</v>
      </c>
      <c r="C1097" s="116">
        <v>227</v>
      </c>
      <c r="D1097" s="116">
        <v>225.8</v>
      </c>
      <c r="E1097" s="116">
        <v>236</v>
      </c>
      <c r="F1097" s="116">
        <v>227</v>
      </c>
      <c r="G1097">
        <v>210627</v>
      </c>
      <c r="H1097" s="116"/>
      <c r="I1097" s="116"/>
      <c r="L1097" s="170">
        <v>43620</v>
      </c>
      <c r="M1097" s="116">
        <v>226.95</v>
      </c>
      <c r="N1097" s="116">
        <v>237.85</v>
      </c>
      <c r="O1097" s="116">
        <v>226.3</v>
      </c>
      <c r="P1097" s="116">
        <v>235.25</v>
      </c>
      <c r="Q1097" s="116">
        <v>226.95</v>
      </c>
      <c r="R1097">
        <v>3043423</v>
      </c>
    </row>
    <row r="1098" spans="1:18" x14ac:dyDescent="0.25">
      <c r="A1098" s="170">
        <v>43622</v>
      </c>
      <c r="B1098" s="116">
        <v>227.7</v>
      </c>
      <c r="C1098" s="116">
        <v>221.85</v>
      </c>
      <c r="D1098" s="116">
        <v>220</v>
      </c>
      <c r="E1098" s="116">
        <v>227.7</v>
      </c>
      <c r="F1098" s="116">
        <v>221.85</v>
      </c>
      <c r="G1098">
        <v>213497</v>
      </c>
      <c r="H1098" s="116"/>
      <c r="I1098" s="116"/>
      <c r="L1098" s="170">
        <v>43622</v>
      </c>
      <c r="M1098" s="116">
        <v>221.75</v>
      </c>
      <c r="N1098" s="116">
        <v>228.75</v>
      </c>
      <c r="O1098" s="116">
        <v>220</v>
      </c>
      <c r="P1098" s="116">
        <v>228.75</v>
      </c>
      <c r="Q1098" s="116">
        <v>221.75</v>
      </c>
      <c r="R1098">
        <v>4193682</v>
      </c>
    </row>
    <row r="1099" spans="1:18" x14ac:dyDescent="0.25">
      <c r="A1099" s="170">
        <v>43623</v>
      </c>
      <c r="B1099" s="116">
        <v>226.85</v>
      </c>
      <c r="C1099" s="116">
        <v>221.85</v>
      </c>
      <c r="D1099" s="116">
        <v>220.3</v>
      </c>
      <c r="E1099" s="116">
        <v>221.9</v>
      </c>
      <c r="F1099" s="116">
        <v>221.85</v>
      </c>
      <c r="G1099">
        <v>89999</v>
      </c>
      <c r="H1099" s="116"/>
      <c r="I1099" s="116"/>
      <c r="L1099" s="170">
        <v>43623</v>
      </c>
      <c r="M1099" s="116">
        <v>222.25</v>
      </c>
      <c r="N1099" s="116">
        <v>226.95</v>
      </c>
      <c r="O1099" s="116">
        <v>220.9</v>
      </c>
      <c r="P1099" s="116">
        <v>222.5</v>
      </c>
      <c r="Q1099" s="116">
        <v>222.25</v>
      </c>
      <c r="R1099">
        <v>2565750</v>
      </c>
    </row>
    <row r="1100" spans="1:18" x14ac:dyDescent="0.25">
      <c r="A1100" s="170">
        <v>43626</v>
      </c>
      <c r="B1100" s="116">
        <v>225</v>
      </c>
      <c r="C1100" s="116">
        <v>222.9</v>
      </c>
      <c r="D1100" s="116">
        <v>222</v>
      </c>
      <c r="E1100" s="116">
        <v>223.25</v>
      </c>
      <c r="F1100" s="116">
        <v>222.9</v>
      </c>
      <c r="G1100">
        <v>106633</v>
      </c>
      <c r="H1100" s="116"/>
      <c r="I1100" s="116"/>
      <c r="L1100" s="170">
        <v>43626</v>
      </c>
      <c r="M1100" s="116">
        <v>223.1</v>
      </c>
      <c r="N1100" s="116">
        <v>225</v>
      </c>
      <c r="O1100" s="116">
        <v>221.75</v>
      </c>
      <c r="P1100" s="116">
        <v>222.45</v>
      </c>
      <c r="Q1100" s="116">
        <v>223.1</v>
      </c>
      <c r="R1100">
        <v>2438810</v>
      </c>
    </row>
    <row r="1101" spans="1:18" x14ac:dyDescent="0.25">
      <c r="A1101" s="170">
        <v>43627</v>
      </c>
      <c r="B1101" s="116">
        <v>224.7</v>
      </c>
      <c r="C1101" s="116">
        <v>223.1</v>
      </c>
      <c r="D1101" s="116">
        <v>221.75</v>
      </c>
      <c r="E1101" s="116">
        <v>223.05</v>
      </c>
      <c r="F1101" s="116">
        <v>223.1</v>
      </c>
      <c r="G1101">
        <v>98431</v>
      </c>
      <c r="H1101" s="116"/>
      <c r="I1101" s="116"/>
      <c r="L1101" s="170">
        <v>43627</v>
      </c>
      <c r="M1101" s="116">
        <v>223.25</v>
      </c>
      <c r="N1101" s="116">
        <v>224.9</v>
      </c>
      <c r="O1101" s="116">
        <v>221.55</v>
      </c>
      <c r="P1101" s="116">
        <v>224</v>
      </c>
      <c r="Q1101" s="116">
        <v>223.25</v>
      </c>
      <c r="R1101">
        <v>1805276</v>
      </c>
    </row>
    <row r="1102" spans="1:18" x14ac:dyDescent="0.25">
      <c r="A1102" s="170">
        <v>43628</v>
      </c>
      <c r="B1102" s="116">
        <v>225</v>
      </c>
      <c r="C1102" s="116">
        <v>220.7</v>
      </c>
      <c r="D1102" s="116">
        <v>219.8</v>
      </c>
      <c r="E1102" s="116">
        <v>222</v>
      </c>
      <c r="F1102" s="116">
        <v>220.7</v>
      </c>
      <c r="G1102">
        <v>104312</v>
      </c>
      <c r="H1102" s="116"/>
      <c r="I1102" s="116"/>
      <c r="L1102" s="170">
        <v>43628</v>
      </c>
      <c r="M1102" s="116">
        <v>220.55</v>
      </c>
      <c r="N1102" s="116">
        <v>222.8</v>
      </c>
      <c r="O1102" s="116">
        <v>219.55</v>
      </c>
      <c r="P1102" s="116">
        <v>219.55</v>
      </c>
      <c r="Q1102" s="116">
        <v>220.55</v>
      </c>
      <c r="R1102">
        <v>1890005</v>
      </c>
    </row>
    <row r="1103" spans="1:18" x14ac:dyDescent="0.25">
      <c r="A1103" s="170">
        <v>43629</v>
      </c>
      <c r="B1103" s="116">
        <v>222</v>
      </c>
      <c r="C1103" s="116">
        <v>220.9</v>
      </c>
      <c r="D1103" s="116">
        <v>216.2</v>
      </c>
      <c r="E1103" s="116">
        <v>220.05</v>
      </c>
      <c r="F1103" s="116">
        <v>220.9</v>
      </c>
      <c r="G1103">
        <v>118993</v>
      </c>
      <c r="H1103" s="116"/>
      <c r="I1103" s="116"/>
      <c r="L1103" s="170">
        <v>43629</v>
      </c>
      <c r="M1103" s="116">
        <v>220.45</v>
      </c>
      <c r="N1103" s="116">
        <v>222</v>
      </c>
      <c r="O1103" s="116">
        <v>216.15</v>
      </c>
      <c r="P1103" s="116">
        <v>220.95</v>
      </c>
      <c r="Q1103" s="116">
        <v>220.45</v>
      </c>
      <c r="R1103">
        <v>1941299</v>
      </c>
    </row>
    <row r="1104" spans="1:18" x14ac:dyDescent="0.25">
      <c r="A1104" s="170">
        <v>43630</v>
      </c>
      <c r="B1104" s="116">
        <v>220.75</v>
      </c>
      <c r="C1104" s="116">
        <v>214.35</v>
      </c>
      <c r="D1104" s="116">
        <v>212.1</v>
      </c>
      <c r="E1104" s="116">
        <v>220.1</v>
      </c>
      <c r="F1104" s="116">
        <v>214.35</v>
      </c>
      <c r="G1104">
        <v>150250</v>
      </c>
      <c r="H1104" s="116"/>
      <c r="I1104" s="116"/>
      <c r="L1104" s="170">
        <v>43630</v>
      </c>
      <c r="M1104" s="116">
        <v>214.2</v>
      </c>
      <c r="N1104" s="116">
        <v>220.8</v>
      </c>
      <c r="O1104" s="116">
        <v>213.25</v>
      </c>
      <c r="P1104" s="116">
        <v>220</v>
      </c>
      <c r="Q1104" s="116">
        <v>214.2</v>
      </c>
      <c r="R1104">
        <v>1998514</v>
      </c>
    </row>
    <row r="1105" spans="1:18" x14ac:dyDescent="0.25">
      <c r="A1105" s="170">
        <v>43633</v>
      </c>
      <c r="B1105" s="116">
        <v>214.25</v>
      </c>
      <c r="C1105" s="116">
        <v>205.7</v>
      </c>
      <c r="D1105" s="116">
        <v>204.85</v>
      </c>
      <c r="E1105" s="116">
        <v>214.25</v>
      </c>
      <c r="F1105" s="116">
        <v>205.7</v>
      </c>
      <c r="G1105">
        <v>145702</v>
      </c>
      <c r="H1105" s="116"/>
      <c r="I1105" s="116"/>
      <c r="L1105" s="170">
        <v>43633</v>
      </c>
      <c r="M1105" s="116">
        <v>205.6</v>
      </c>
      <c r="N1105" s="116">
        <v>215.4</v>
      </c>
      <c r="O1105" s="116">
        <v>204.8</v>
      </c>
      <c r="P1105" s="116">
        <v>215.4</v>
      </c>
      <c r="Q1105" s="116">
        <v>205.6</v>
      </c>
      <c r="R1105">
        <v>3979462</v>
      </c>
    </row>
    <row r="1106" spans="1:18" x14ac:dyDescent="0.25">
      <c r="A1106" s="170">
        <v>43634</v>
      </c>
      <c r="B1106" s="116">
        <v>210.65</v>
      </c>
      <c r="C1106" s="116">
        <v>210.15</v>
      </c>
      <c r="D1106" s="116">
        <v>206.05</v>
      </c>
      <c r="E1106" s="116">
        <v>207.8</v>
      </c>
      <c r="F1106" s="116">
        <v>210.15</v>
      </c>
      <c r="G1106">
        <v>105668</v>
      </c>
      <c r="H1106" s="116"/>
      <c r="I1106" s="116"/>
      <c r="L1106" s="170">
        <v>43634</v>
      </c>
      <c r="M1106" s="116">
        <v>210</v>
      </c>
      <c r="N1106" s="116">
        <v>210.9</v>
      </c>
      <c r="O1106" s="116">
        <v>205.7</v>
      </c>
      <c r="P1106" s="116">
        <v>205.7</v>
      </c>
      <c r="Q1106" s="116">
        <v>210</v>
      </c>
      <c r="R1106">
        <v>1935444</v>
      </c>
    </row>
    <row r="1107" spans="1:18" x14ac:dyDescent="0.25">
      <c r="A1107" s="170">
        <v>43635</v>
      </c>
      <c r="B1107" s="116">
        <v>212.45</v>
      </c>
      <c r="C1107" s="116">
        <v>206.45</v>
      </c>
      <c r="D1107" s="116">
        <v>205.35</v>
      </c>
      <c r="E1107" s="116">
        <v>210.2</v>
      </c>
      <c r="F1107" s="116">
        <v>206.45</v>
      </c>
      <c r="G1107">
        <v>121581</v>
      </c>
      <c r="H1107" s="116"/>
      <c r="I1107" s="116"/>
      <c r="L1107" s="170">
        <v>43635</v>
      </c>
      <c r="M1107" s="116">
        <v>206.45</v>
      </c>
      <c r="N1107" s="116">
        <v>212.45</v>
      </c>
      <c r="O1107" s="116">
        <v>205.3</v>
      </c>
      <c r="P1107" s="116">
        <v>211.25</v>
      </c>
      <c r="Q1107" s="116">
        <v>206.45</v>
      </c>
      <c r="R1107">
        <v>3145947</v>
      </c>
    </row>
    <row r="1108" spans="1:18" x14ac:dyDescent="0.25">
      <c r="A1108" s="170">
        <v>43636</v>
      </c>
      <c r="B1108" s="116">
        <v>214.1</v>
      </c>
      <c r="C1108" s="116">
        <v>213.6</v>
      </c>
      <c r="D1108" s="116">
        <v>204.8</v>
      </c>
      <c r="E1108" s="116">
        <v>208.7</v>
      </c>
      <c r="F1108" s="116">
        <v>213.6</v>
      </c>
      <c r="G1108">
        <v>76978</v>
      </c>
      <c r="H1108" s="116"/>
      <c r="I1108" s="116"/>
      <c r="L1108" s="170">
        <v>43636</v>
      </c>
      <c r="M1108" s="116">
        <v>213.7</v>
      </c>
      <c r="N1108" s="116">
        <v>214.3</v>
      </c>
      <c r="O1108" s="116">
        <v>204.8</v>
      </c>
      <c r="P1108" s="116">
        <v>207.2</v>
      </c>
      <c r="Q1108" s="116">
        <v>213.7</v>
      </c>
      <c r="R1108">
        <v>1857056</v>
      </c>
    </row>
    <row r="1109" spans="1:18" x14ac:dyDescent="0.25">
      <c r="A1109" s="170">
        <v>43637</v>
      </c>
      <c r="B1109" s="116">
        <v>215.1</v>
      </c>
      <c r="C1109" s="116">
        <v>212.75</v>
      </c>
      <c r="D1109" s="116">
        <v>212</v>
      </c>
      <c r="E1109" s="116">
        <v>213.6</v>
      </c>
      <c r="F1109" s="116">
        <v>212.75</v>
      </c>
      <c r="G1109">
        <v>84089</v>
      </c>
      <c r="H1109" s="116"/>
      <c r="I1109" s="116"/>
      <c r="L1109" s="170">
        <v>43637</v>
      </c>
      <c r="M1109" s="116">
        <v>212.85</v>
      </c>
      <c r="N1109" s="116">
        <v>215.2</v>
      </c>
      <c r="O1109" s="116">
        <v>211.9</v>
      </c>
      <c r="P1109" s="116">
        <v>213.7</v>
      </c>
      <c r="Q1109" s="116">
        <v>212.85</v>
      </c>
      <c r="R1109">
        <v>4181731</v>
      </c>
    </row>
    <row r="1110" spans="1:18" x14ac:dyDescent="0.25">
      <c r="A1110" s="170">
        <v>43640</v>
      </c>
      <c r="B1110" s="116">
        <v>216.7</v>
      </c>
      <c r="C1110" s="116">
        <v>214.9</v>
      </c>
      <c r="D1110" s="116">
        <v>212.5</v>
      </c>
      <c r="E1110" s="116">
        <v>213</v>
      </c>
      <c r="F1110" s="116">
        <v>214.9</v>
      </c>
      <c r="G1110">
        <v>87939</v>
      </c>
      <c r="H1110" s="116"/>
      <c r="I1110" s="116"/>
      <c r="L1110" s="170">
        <v>43640</v>
      </c>
      <c r="M1110" s="116">
        <v>215</v>
      </c>
      <c r="N1110" s="116">
        <v>216.9</v>
      </c>
      <c r="O1110" s="116">
        <v>212.5</v>
      </c>
      <c r="P1110" s="116">
        <v>213.1</v>
      </c>
      <c r="Q1110" s="116">
        <v>215</v>
      </c>
      <c r="R1110">
        <v>2639044</v>
      </c>
    </row>
    <row r="1111" spans="1:18" x14ac:dyDescent="0.25">
      <c r="A1111" s="170">
        <v>43641</v>
      </c>
      <c r="B1111" s="116">
        <v>215.85</v>
      </c>
      <c r="C1111" s="116">
        <v>215.15</v>
      </c>
      <c r="D1111" s="116">
        <v>211.5</v>
      </c>
      <c r="E1111" s="116">
        <v>214.45</v>
      </c>
      <c r="F1111" s="116">
        <v>215.15</v>
      </c>
      <c r="G1111">
        <v>53229</v>
      </c>
      <c r="H1111" s="116"/>
      <c r="I1111" s="116"/>
      <c r="L1111" s="170">
        <v>43641</v>
      </c>
      <c r="M1111" s="116">
        <v>215.15</v>
      </c>
      <c r="N1111" s="116">
        <v>216</v>
      </c>
      <c r="O1111" s="116">
        <v>211.3</v>
      </c>
      <c r="P1111" s="116">
        <v>214.35</v>
      </c>
      <c r="Q1111" s="116">
        <v>215.15</v>
      </c>
      <c r="R1111">
        <v>2274581</v>
      </c>
    </row>
    <row r="1112" spans="1:18" x14ac:dyDescent="0.25">
      <c r="A1112" s="170">
        <v>43642</v>
      </c>
      <c r="B1112" s="116">
        <v>220</v>
      </c>
      <c r="C1112" s="116">
        <v>219.4</v>
      </c>
      <c r="D1112" s="116">
        <v>215</v>
      </c>
      <c r="E1112" s="116">
        <v>215.05</v>
      </c>
      <c r="F1112" s="116">
        <v>219.4</v>
      </c>
      <c r="G1112">
        <v>96068</v>
      </c>
      <c r="H1112" s="116"/>
      <c r="I1112" s="116"/>
      <c r="L1112" s="170">
        <v>43642</v>
      </c>
      <c r="M1112" s="116">
        <v>219.35</v>
      </c>
      <c r="N1112" s="116">
        <v>219.9</v>
      </c>
      <c r="O1112" s="116">
        <v>214.5</v>
      </c>
      <c r="P1112" s="116">
        <v>215</v>
      </c>
      <c r="Q1112" s="116">
        <v>219.35</v>
      </c>
      <c r="R1112">
        <v>2806007</v>
      </c>
    </row>
    <row r="1113" spans="1:18" x14ac:dyDescent="0.25">
      <c r="A1113" s="170">
        <v>43643</v>
      </c>
      <c r="B1113" s="116">
        <v>219.7</v>
      </c>
      <c r="C1113" s="116">
        <v>218.2</v>
      </c>
      <c r="D1113" s="116">
        <v>216.8</v>
      </c>
      <c r="E1113" s="116">
        <v>219</v>
      </c>
      <c r="F1113" s="116">
        <v>218.2</v>
      </c>
      <c r="G1113">
        <v>75503</v>
      </c>
      <c r="H1113" s="116"/>
      <c r="I1113" s="116"/>
      <c r="L1113" s="170">
        <v>43643</v>
      </c>
      <c r="M1113" s="116">
        <v>218.45</v>
      </c>
      <c r="N1113" s="116">
        <v>219.9</v>
      </c>
      <c r="O1113" s="116">
        <v>216.6</v>
      </c>
      <c r="P1113" s="116">
        <v>218.5</v>
      </c>
      <c r="Q1113" s="116">
        <v>218.45</v>
      </c>
      <c r="R1113">
        <v>2614407</v>
      </c>
    </row>
    <row r="1114" spans="1:18" x14ac:dyDescent="0.25">
      <c r="A1114" s="170">
        <v>43644</v>
      </c>
      <c r="B1114" s="116">
        <v>219.6</v>
      </c>
      <c r="C1114" s="116">
        <v>212.9</v>
      </c>
      <c r="D1114" s="116">
        <v>212.05</v>
      </c>
      <c r="E1114" s="116">
        <v>219.6</v>
      </c>
      <c r="F1114" s="116">
        <v>212.9</v>
      </c>
      <c r="G1114">
        <v>76350</v>
      </c>
      <c r="H1114" s="116"/>
      <c r="I1114" s="116"/>
      <c r="L1114" s="170">
        <v>43644</v>
      </c>
      <c r="M1114" s="116">
        <v>212.85</v>
      </c>
      <c r="N1114" s="116">
        <v>219.5</v>
      </c>
      <c r="O1114" s="116">
        <v>212.05</v>
      </c>
      <c r="P1114" s="116">
        <v>219.5</v>
      </c>
      <c r="Q1114" s="116">
        <v>212.85</v>
      </c>
      <c r="R1114">
        <v>1995352</v>
      </c>
    </row>
    <row r="1115" spans="1:18" x14ac:dyDescent="0.25">
      <c r="A1115" s="170">
        <v>43647</v>
      </c>
      <c r="B1115" s="116">
        <v>215.95</v>
      </c>
      <c r="C1115" s="116">
        <v>212.9</v>
      </c>
      <c r="D1115" s="116">
        <v>211.55</v>
      </c>
      <c r="E1115" s="116">
        <v>214.6</v>
      </c>
      <c r="F1115" s="116">
        <v>212.9</v>
      </c>
      <c r="G1115">
        <v>51481</v>
      </c>
      <c r="H1115" s="116"/>
      <c r="I1115" s="116"/>
      <c r="L1115" s="170">
        <v>43647</v>
      </c>
      <c r="M1115" s="116">
        <v>212.95</v>
      </c>
      <c r="N1115" s="116">
        <v>216</v>
      </c>
      <c r="O1115" s="116">
        <v>211.5</v>
      </c>
      <c r="P1115" s="116">
        <v>214.45</v>
      </c>
      <c r="Q1115" s="116">
        <v>212.95</v>
      </c>
      <c r="R1115">
        <v>2294542</v>
      </c>
    </row>
    <row r="1116" spans="1:18" x14ac:dyDescent="0.25">
      <c r="A1116" s="170">
        <v>43648</v>
      </c>
      <c r="B1116" s="116">
        <v>215.95</v>
      </c>
      <c r="C1116" s="116">
        <v>214.9</v>
      </c>
      <c r="D1116" s="116">
        <v>213.5</v>
      </c>
      <c r="E1116" s="116">
        <v>215.95</v>
      </c>
      <c r="F1116" s="116">
        <v>214.9</v>
      </c>
      <c r="G1116">
        <v>52989</v>
      </c>
      <c r="H1116" s="116"/>
      <c r="I1116" s="116"/>
      <c r="L1116" s="170">
        <v>43648</v>
      </c>
      <c r="M1116" s="116">
        <v>214.95</v>
      </c>
      <c r="N1116" s="116">
        <v>215</v>
      </c>
      <c r="O1116" s="116">
        <v>213.35</v>
      </c>
      <c r="P1116" s="116">
        <v>213.8</v>
      </c>
      <c r="Q1116" s="116">
        <v>214.95</v>
      </c>
      <c r="R1116">
        <v>1735201</v>
      </c>
    </row>
    <row r="1117" spans="1:18" x14ac:dyDescent="0.25">
      <c r="A1117" s="170">
        <v>43649</v>
      </c>
      <c r="B1117" s="116">
        <v>216</v>
      </c>
      <c r="C1117" s="116">
        <v>214.85</v>
      </c>
      <c r="D1117" s="116">
        <v>213.2</v>
      </c>
      <c r="E1117" s="116">
        <v>216</v>
      </c>
      <c r="F1117" s="116">
        <v>214.85</v>
      </c>
      <c r="G1117">
        <v>55947</v>
      </c>
      <c r="H1117" s="116"/>
      <c r="I1117" s="116"/>
      <c r="L1117" s="170">
        <v>43649</v>
      </c>
      <c r="M1117" s="116">
        <v>214.95</v>
      </c>
      <c r="N1117" s="116">
        <v>215.75</v>
      </c>
      <c r="O1117" s="116">
        <v>213.1</v>
      </c>
      <c r="P1117" s="116">
        <v>215</v>
      </c>
      <c r="Q1117" s="116">
        <v>214.95</v>
      </c>
      <c r="R1117">
        <v>1379872</v>
      </c>
    </row>
    <row r="1118" spans="1:18" x14ac:dyDescent="0.25">
      <c r="A1118" s="170">
        <v>43650</v>
      </c>
      <c r="B1118" s="116">
        <v>217.45</v>
      </c>
      <c r="C1118" s="116">
        <v>216</v>
      </c>
      <c r="D1118" s="116">
        <v>214.5</v>
      </c>
      <c r="E1118" s="116">
        <v>215</v>
      </c>
      <c r="F1118" s="116">
        <v>216</v>
      </c>
      <c r="G1118">
        <v>90917</v>
      </c>
      <c r="H1118" s="116"/>
      <c r="I1118" s="116"/>
      <c r="L1118" s="170">
        <v>43650</v>
      </c>
      <c r="M1118" s="116">
        <v>216.1</v>
      </c>
      <c r="N1118" s="116">
        <v>217.5</v>
      </c>
      <c r="O1118" s="116">
        <v>214.5</v>
      </c>
      <c r="P1118" s="116">
        <v>215.4</v>
      </c>
      <c r="Q1118" s="116">
        <v>216.1</v>
      </c>
      <c r="R1118">
        <v>2031484</v>
      </c>
    </row>
    <row r="1119" spans="1:18" x14ac:dyDescent="0.25">
      <c r="A1119" s="170">
        <v>43651</v>
      </c>
      <c r="B1119" s="116">
        <v>219</v>
      </c>
      <c r="C1119" s="116">
        <v>210.15</v>
      </c>
      <c r="D1119" s="116">
        <v>209.45</v>
      </c>
      <c r="E1119" s="116">
        <v>217.4</v>
      </c>
      <c r="F1119" s="116">
        <v>210.15</v>
      </c>
      <c r="G1119">
        <v>156287</v>
      </c>
      <c r="H1119" s="116"/>
      <c r="I1119" s="116"/>
      <c r="L1119" s="170">
        <v>43651</v>
      </c>
      <c r="M1119" s="116">
        <v>210.2</v>
      </c>
      <c r="N1119" s="116">
        <v>218.95</v>
      </c>
      <c r="O1119" s="116">
        <v>209.4</v>
      </c>
      <c r="P1119" s="116">
        <v>217.3</v>
      </c>
      <c r="Q1119" s="116">
        <v>210.2</v>
      </c>
      <c r="R1119">
        <v>2278543</v>
      </c>
    </row>
    <row r="1120" spans="1:18" x14ac:dyDescent="0.25">
      <c r="A1120" s="170">
        <v>43654</v>
      </c>
      <c r="B1120" s="116">
        <v>209</v>
      </c>
      <c r="C1120" s="116">
        <v>205.4</v>
      </c>
      <c r="D1120" s="116">
        <v>204</v>
      </c>
      <c r="E1120" s="116">
        <v>209</v>
      </c>
      <c r="F1120" s="116">
        <v>205.4</v>
      </c>
      <c r="G1120">
        <v>90102</v>
      </c>
      <c r="H1120" s="116"/>
      <c r="I1120" s="116"/>
      <c r="L1120" s="170">
        <v>43654</v>
      </c>
      <c r="M1120" s="116">
        <v>205.4</v>
      </c>
      <c r="N1120" s="116">
        <v>209.85</v>
      </c>
      <c r="O1120" s="116">
        <v>203.8</v>
      </c>
      <c r="P1120" s="116">
        <v>209.85</v>
      </c>
      <c r="Q1120" s="116">
        <v>205.4</v>
      </c>
      <c r="R1120">
        <v>2756090</v>
      </c>
    </row>
    <row r="1121" spans="1:18" x14ac:dyDescent="0.25">
      <c r="A1121" s="170">
        <v>43655</v>
      </c>
      <c r="B1121" s="116">
        <v>211.75</v>
      </c>
      <c r="C1121" s="116">
        <v>211.15</v>
      </c>
      <c r="D1121" s="116">
        <v>203.7</v>
      </c>
      <c r="E1121" s="116">
        <v>206.65</v>
      </c>
      <c r="F1121" s="116">
        <v>211.15</v>
      </c>
      <c r="G1121">
        <v>149307</v>
      </c>
      <c r="H1121" s="116"/>
      <c r="I1121" s="116"/>
      <c r="L1121" s="170">
        <v>43655</v>
      </c>
      <c r="M1121" s="116">
        <v>211.1</v>
      </c>
      <c r="N1121" s="116">
        <v>211.9</v>
      </c>
      <c r="O1121" s="116">
        <v>203.75</v>
      </c>
      <c r="P1121" s="116">
        <v>205.75</v>
      </c>
      <c r="Q1121" s="116">
        <v>211.1</v>
      </c>
      <c r="R1121">
        <v>2289398</v>
      </c>
    </row>
    <row r="1122" spans="1:18" x14ac:dyDescent="0.25">
      <c r="A1122" s="170">
        <v>43656</v>
      </c>
      <c r="B1122" s="116">
        <v>211.9</v>
      </c>
      <c r="C1122" s="116">
        <v>208.8</v>
      </c>
      <c r="D1122" s="116">
        <v>207.9</v>
      </c>
      <c r="E1122" s="116">
        <v>210.3</v>
      </c>
      <c r="F1122" s="116">
        <v>208.8</v>
      </c>
      <c r="G1122">
        <v>42709</v>
      </c>
      <c r="H1122" s="116"/>
      <c r="I1122" s="116"/>
      <c r="L1122" s="170">
        <v>43656</v>
      </c>
      <c r="M1122" s="116">
        <v>208.85</v>
      </c>
      <c r="N1122" s="116">
        <v>211.95</v>
      </c>
      <c r="O1122" s="116">
        <v>207.9</v>
      </c>
      <c r="P1122" s="116">
        <v>211.8</v>
      </c>
      <c r="Q1122" s="116">
        <v>208.85</v>
      </c>
      <c r="R1122">
        <v>1424627</v>
      </c>
    </row>
    <row r="1123" spans="1:18" x14ac:dyDescent="0.25">
      <c r="A1123" s="170">
        <v>43657</v>
      </c>
      <c r="B1123" s="116">
        <v>212.65</v>
      </c>
      <c r="C1123" s="116">
        <v>211.55</v>
      </c>
      <c r="D1123" s="116">
        <v>209.75</v>
      </c>
      <c r="E1123" s="116">
        <v>212.2</v>
      </c>
      <c r="F1123" s="116">
        <v>211.55</v>
      </c>
      <c r="G1123">
        <v>42905</v>
      </c>
      <c r="H1123" s="116"/>
      <c r="I1123" s="116"/>
      <c r="L1123" s="170">
        <v>43657</v>
      </c>
      <c r="M1123" s="116">
        <v>211.7</v>
      </c>
      <c r="N1123" s="116">
        <v>212.8</v>
      </c>
      <c r="O1123" s="116">
        <v>209.55</v>
      </c>
      <c r="P1123" s="116">
        <v>209.65</v>
      </c>
      <c r="Q1123" s="116">
        <v>211.7</v>
      </c>
      <c r="R1123">
        <v>874940</v>
      </c>
    </row>
    <row r="1124" spans="1:18" x14ac:dyDescent="0.25">
      <c r="A1124" s="170">
        <v>43658</v>
      </c>
      <c r="B1124" s="116">
        <v>216.15</v>
      </c>
      <c r="C1124" s="116">
        <v>214.05</v>
      </c>
      <c r="D1124" s="116">
        <v>212.55</v>
      </c>
      <c r="E1124" s="116">
        <v>213.05</v>
      </c>
      <c r="F1124" s="116">
        <v>214.05</v>
      </c>
      <c r="G1124">
        <v>110056</v>
      </c>
      <c r="H1124" s="116"/>
      <c r="I1124" s="116"/>
      <c r="L1124" s="170">
        <v>43658</v>
      </c>
      <c r="M1124" s="116">
        <v>214.2</v>
      </c>
      <c r="N1124" s="116">
        <v>216.25</v>
      </c>
      <c r="O1124" s="116">
        <v>212.5</v>
      </c>
      <c r="P1124" s="116">
        <v>213.3</v>
      </c>
      <c r="Q1124" s="116">
        <v>214.2</v>
      </c>
      <c r="R1124">
        <v>2316539</v>
      </c>
    </row>
    <row r="1125" spans="1:18" x14ac:dyDescent="0.25">
      <c r="A1125" s="170">
        <v>43661</v>
      </c>
      <c r="B1125" s="116">
        <v>219.95</v>
      </c>
      <c r="C1125" s="116">
        <v>219.65</v>
      </c>
      <c r="D1125" s="116">
        <v>211.5</v>
      </c>
      <c r="E1125" s="116">
        <v>217.4</v>
      </c>
      <c r="F1125" s="116">
        <v>219.65</v>
      </c>
      <c r="G1125">
        <v>220427</v>
      </c>
      <c r="H1125" s="116"/>
      <c r="I1125" s="116"/>
      <c r="L1125" s="170">
        <v>43661</v>
      </c>
      <c r="M1125" s="116">
        <v>219.6</v>
      </c>
      <c r="N1125" s="116">
        <v>219.9</v>
      </c>
      <c r="O1125" s="116">
        <v>211.2</v>
      </c>
      <c r="P1125" s="116">
        <v>215</v>
      </c>
      <c r="Q1125" s="116">
        <v>219.6</v>
      </c>
      <c r="R1125">
        <v>2672310</v>
      </c>
    </row>
    <row r="1126" spans="1:18" x14ac:dyDescent="0.25">
      <c r="A1126" s="170">
        <v>43662</v>
      </c>
      <c r="B1126" s="116">
        <v>220.65</v>
      </c>
      <c r="C1126" s="116">
        <v>219.9</v>
      </c>
      <c r="D1126" s="116">
        <v>216.55</v>
      </c>
      <c r="E1126" s="116">
        <v>220.5</v>
      </c>
      <c r="F1126" s="116">
        <v>219.9</v>
      </c>
      <c r="G1126">
        <v>182032</v>
      </c>
      <c r="H1126" s="116"/>
      <c r="I1126" s="116"/>
      <c r="L1126" s="170">
        <v>43662</v>
      </c>
      <c r="M1126" s="116">
        <v>219.9</v>
      </c>
      <c r="N1126" s="116">
        <v>220.75</v>
      </c>
      <c r="O1126" s="116">
        <v>216.55</v>
      </c>
      <c r="P1126" s="116">
        <v>219.75</v>
      </c>
      <c r="Q1126" s="116">
        <v>219.9</v>
      </c>
      <c r="R1126">
        <v>3230318</v>
      </c>
    </row>
    <row r="1127" spans="1:18" x14ac:dyDescent="0.25">
      <c r="A1127" s="170">
        <v>43663</v>
      </c>
      <c r="B1127" s="116">
        <v>221.75</v>
      </c>
      <c r="C1127" s="116">
        <v>219.35</v>
      </c>
      <c r="D1127" s="116">
        <v>217</v>
      </c>
      <c r="E1127" s="116">
        <v>219.9</v>
      </c>
      <c r="F1127" s="116">
        <v>219.35</v>
      </c>
      <c r="G1127">
        <v>127562</v>
      </c>
      <c r="H1127" s="116"/>
      <c r="I1127" s="116"/>
      <c r="L1127" s="170">
        <v>43663</v>
      </c>
      <c r="M1127" s="116">
        <v>219.25</v>
      </c>
      <c r="N1127" s="116">
        <v>221.7</v>
      </c>
      <c r="O1127" s="116">
        <v>216.8</v>
      </c>
      <c r="P1127" s="116">
        <v>220</v>
      </c>
      <c r="Q1127" s="116">
        <v>219.25</v>
      </c>
      <c r="R1127">
        <v>2325693</v>
      </c>
    </row>
    <row r="1128" spans="1:18" x14ac:dyDescent="0.25">
      <c r="A1128" s="170">
        <v>43664</v>
      </c>
      <c r="B1128" s="116">
        <v>221.15</v>
      </c>
      <c r="C1128" s="116">
        <v>216.9</v>
      </c>
      <c r="D1128" s="116">
        <v>215</v>
      </c>
      <c r="E1128" s="116">
        <v>216.1</v>
      </c>
      <c r="F1128" s="116">
        <v>216.9</v>
      </c>
      <c r="G1128">
        <v>101127</v>
      </c>
      <c r="H1128" s="116"/>
      <c r="I1128" s="116"/>
      <c r="L1128" s="170">
        <v>43664</v>
      </c>
      <c r="M1128" s="116">
        <v>216.95</v>
      </c>
      <c r="N1128" s="116">
        <v>221.2</v>
      </c>
      <c r="O1128" s="116">
        <v>215.1</v>
      </c>
      <c r="P1128" s="116">
        <v>219</v>
      </c>
      <c r="Q1128" s="116">
        <v>216.95</v>
      </c>
      <c r="R1128">
        <v>3614814</v>
      </c>
    </row>
    <row r="1129" spans="1:18" x14ac:dyDescent="0.25">
      <c r="A1129" s="170">
        <v>43665</v>
      </c>
      <c r="B1129" s="116">
        <v>223.95</v>
      </c>
      <c r="C1129" s="116">
        <v>213.8</v>
      </c>
      <c r="D1129" s="116">
        <v>212</v>
      </c>
      <c r="E1129" s="116">
        <v>221.35</v>
      </c>
      <c r="F1129" s="116">
        <v>213.8</v>
      </c>
      <c r="G1129">
        <v>284906</v>
      </c>
      <c r="H1129" s="116"/>
      <c r="I1129" s="116"/>
      <c r="L1129" s="170">
        <v>43665</v>
      </c>
      <c r="M1129" s="116">
        <v>214</v>
      </c>
      <c r="N1129" s="116">
        <v>223.8</v>
      </c>
      <c r="O1129" s="116">
        <v>212.05</v>
      </c>
      <c r="P1129" s="116">
        <v>222</v>
      </c>
      <c r="Q1129" s="116">
        <v>214</v>
      </c>
      <c r="R1129">
        <v>7523729</v>
      </c>
    </row>
    <row r="1130" spans="1:18" x14ac:dyDescent="0.25">
      <c r="A1130" s="170">
        <v>43668</v>
      </c>
      <c r="B1130" s="116">
        <v>216.7</v>
      </c>
      <c r="C1130" s="116">
        <v>215.9</v>
      </c>
      <c r="D1130" s="116">
        <v>210.95</v>
      </c>
      <c r="E1130" s="116">
        <v>214.15</v>
      </c>
      <c r="F1130" s="116">
        <v>215.9</v>
      </c>
      <c r="G1130">
        <v>89607</v>
      </c>
      <c r="H1130" s="116"/>
      <c r="I1130" s="116"/>
      <c r="L1130" s="170">
        <v>43668</v>
      </c>
      <c r="M1130" s="116">
        <v>215.8</v>
      </c>
      <c r="N1130" s="116">
        <v>216.7</v>
      </c>
      <c r="O1130" s="116">
        <v>210.55</v>
      </c>
      <c r="P1130" s="116">
        <v>213.5</v>
      </c>
      <c r="Q1130" s="116">
        <v>215.8</v>
      </c>
      <c r="R1130">
        <v>2095341</v>
      </c>
    </row>
    <row r="1131" spans="1:18" x14ac:dyDescent="0.25">
      <c r="A1131" s="170">
        <v>43669</v>
      </c>
      <c r="B1131" s="116">
        <v>219.05</v>
      </c>
      <c r="C1131" s="116">
        <v>217.25</v>
      </c>
      <c r="D1131" s="116">
        <v>215.4</v>
      </c>
      <c r="E1131" s="116">
        <v>215.65</v>
      </c>
      <c r="F1131" s="116">
        <v>217.25</v>
      </c>
      <c r="G1131">
        <v>111067</v>
      </c>
      <c r="H1131" s="116"/>
      <c r="I1131" s="116"/>
      <c r="L1131" s="170">
        <v>43669</v>
      </c>
      <c r="M1131" s="116">
        <v>217.65</v>
      </c>
      <c r="N1131" s="116">
        <v>219.15</v>
      </c>
      <c r="O1131" s="116">
        <v>215.15</v>
      </c>
      <c r="P1131" s="116">
        <v>216.2</v>
      </c>
      <c r="Q1131" s="116">
        <v>217.65</v>
      </c>
      <c r="R1131">
        <v>3846881</v>
      </c>
    </row>
    <row r="1132" spans="1:18" x14ac:dyDescent="0.25">
      <c r="A1132" s="170">
        <v>43670</v>
      </c>
      <c r="B1132" s="116">
        <v>219</v>
      </c>
      <c r="C1132" s="116">
        <v>215.6</v>
      </c>
      <c r="D1132" s="116">
        <v>213.5</v>
      </c>
      <c r="E1132" s="116">
        <v>218</v>
      </c>
      <c r="F1132" s="116">
        <v>215.6</v>
      </c>
      <c r="G1132">
        <v>55071</v>
      </c>
      <c r="H1132" s="116"/>
      <c r="I1132" s="116"/>
      <c r="L1132" s="170">
        <v>43670</v>
      </c>
      <c r="M1132" s="116">
        <v>215.7</v>
      </c>
      <c r="N1132" s="116">
        <v>218.95</v>
      </c>
      <c r="O1132" s="116">
        <v>213.45</v>
      </c>
      <c r="P1132" s="116">
        <v>217.5</v>
      </c>
      <c r="Q1132" s="116">
        <v>215.7</v>
      </c>
      <c r="R1132">
        <v>1690968</v>
      </c>
    </row>
    <row r="1133" spans="1:18" x14ac:dyDescent="0.25">
      <c r="A1133" s="170">
        <v>43671</v>
      </c>
      <c r="B1133" s="116">
        <v>219.9</v>
      </c>
      <c r="C1133" s="116">
        <v>214.75</v>
      </c>
      <c r="D1133" s="116">
        <v>211.05</v>
      </c>
      <c r="E1133" s="116">
        <v>217.7</v>
      </c>
      <c r="F1133" s="116">
        <v>214.75</v>
      </c>
      <c r="G1133">
        <v>211139</v>
      </c>
      <c r="H1133" s="116"/>
      <c r="I1133" s="116"/>
      <c r="L1133" s="170">
        <v>43671</v>
      </c>
      <c r="M1133" s="116">
        <v>214.05</v>
      </c>
      <c r="N1133" s="116">
        <v>220</v>
      </c>
      <c r="O1133" s="116">
        <v>211</v>
      </c>
      <c r="P1133" s="116">
        <v>216.1</v>
      </c>
      <c r="Q1133" s="116">
        <v>214.05</v>
      </c>
      <c r="R1133">
        <v>4148175</v>
      </c>
    </row>
    <row r="1134" spans="1:18" x14ac:dyDescent="0.25">
      <c r="A1134" s="170">
        <v>43672</v>
      </c>
      <c r="B1134" s="116">
        <v>215.5</v>
      </c>
      <c r="C1134" s="116">
        <v>213.4</v>
      </c>
      <c r="D1134" s="116">
        <v>209.1</v>
      </c>
      <c r="E1134" s="116">
        <v>214</v>
      </c>
      <c r="F1134" s="116">
        <v>213.4</v>
      </c>
      <c r="G1134">
        <v>119186</v>
      </c>
      <c r="H1134" s="116"/>
      <c r="I1134" s="116"/>
      <c r="L1134" s="170">
        <v>43672</v>
      </c>
      <c r="M1134" s="116">
        <v>213.45</v>
      </c>
      <c r="N1134" s="116">
        <v>215.6</v>
      </c>
      <c r="O1134" s="116">
        <v>209.1</v>
      </c>
      <c r="P1134" s="116">
        <v>215.3</v>
      </c>
      <c r="Q1134" s="116">
        <v>213.45</v>
      </c>
      <c r="R1134">
        <v>4479103</v>
      </c>
    </row>
    <row r="1135" spans="1:18" x14ac:dyDescent="0.25">
      <c r="A1135" s="170">
        <v>43675</v>
      </c>
      <c r="B1135" s="116">
        <v>218</v>
      </c>
      <c r="C1135" s="116">
        <v>205.1</v>
      </c>
      <c r="D1135" s="116">
        <v>204.2</v>
      </c>
      <c r="E1135" s="116">
        <v>213.45</v>
      </c>
      <c r="F1135" s="116">
        <v>205.1</v>
      </c>
      <c r="G1135">
        <v>107385</v>
      </c>
      <c r="H1135" s="116"/>
      <c r="I1135" s="116"/>
      <c r="L1135" s="170">
        <v>43675</v>
      </c>
      <c r="M1135" s="116">
        <v>205.15</v>
      </c>
      <c r="N1135" s="116">
        <v>213.9</v>
      </c>
      <c r="O1135" s="116">
        <v>204.1</v>
      </c>
      <c r="P1135" s="116">
        <v>213.5</v>
      </c>
      <c r="Q1135" s="116">
        <v>205.15</v>
      </c>
      <c r="R1135">
        <v>3642296</v>
      </c>
    </row>
    <row r="1136" spans="1:18" x14ac:dyDescent="0.25">
      <c r="A1136" s="170">
        <v>43676</v>
      </c>
      <c r="B1136" s="116">
        <v>207.95</v>
      </c>
      <c r="C1136" s="116">
        <v>202.05</v>
      </c>
      <c r="D1136" s="116">
        <v>201.05</v>
      </c>
      <c r="E1136" s="116">
        <v>206.9</v>
      </c>
      <c r="F1136" s="116">
        <v>202.05</v>
      </c>
      <c r="G1136">
        <v>98124</v>
      </c>
      <c r="H1136" s="116"/>
      <c r="I1136" s="116"/>
      <c r="L1136" s="170">
        <v>43676</v>
      </c>
      <c r="M1136" s="116">
        <v>202.1</v>
      </c>
      <c r="N1136" s="116">
        <v>208</v>
      </c>
      <c r="O1136" s="116">
        <v>201.1</v>
      </c>
      <c r="P1136" s="116">
        <v>205.9</v>
      </c>
      <c r="Q1136" s="116">
        <v>202.1</v>
      </c>
      <c r="R1136">
        <v>2875238</v>
      </c>
    </row>
    <row r="1137" spans="1:18" x14ac:dyDescent="0.25">
      <c r="A1137" s="170">
        <v>43677</v>
      </c>
      <c r="B1137" s="116">
        <v>202.8</v>
      </c>
      <c r="C1137" s="116">
        <v>201.85</v>
      </c>
      <c r="D1137" s="116">
        <v>198</v>
      </c>
      <c r="E1137" s="116">
        <v>200.7</v>
      </c>
      <c r="F1137" s="116">
        <v>201.85</v>
      </c>
      <c r="G1137">
        <v>144916</v>
      </c>
      <c r="H1137" s="116"/>
      <c r="I1137" s="116"/>
      <c r="L1137" s="170">
        <v>43677</v>
      </c>
      <c r="M1137" s="116">
        <v>201.9</v>
      </c>
      <c r="N1137" s="116">
        <v>202.95</v>
      </c>
      <c r="O1137" s="116">
        <v>197.8</v>
      </c>
      <c r="P1137" s="116">
        <v>201.6</v>
      </c>
      <c r="Q1137" s="116">
        <v>201.9</v>
      </c>
      <c r="R1137">
        <v>4384931</v>
      </c>
    </row>
    <row r="1138" spans="1:18" x14ac:dyDescent="0.25">
      <c r="A1138" s="170">
        <v>43678</v>
      </c>
      <c r="B1138" s="116">
        <v>201.75</v>
      </c>
      <c r="C1138" s="116">
        <v>196.85</v>
      </c>
      <c r="D1138" s="116">
        <v>194.15</v>
      </c>
      <c r="E1138" s="116">
        <v>201</v>
      </c>
      <c r="F1138" s="116">
        <v>196.85</v>
      </c>
      <c r="G1138">
        <v>111726</v>
      </c>
      <c r="H1138" s="116"/>
      <c r="I1138" s="116"/>
      <c r="L1138" s="170">
        <v>43678</v>
      </c>
      <c r="M1138" s="116">
        <v>196.8</v>
      </c>
      <c r="N1138" s="116">
        <v>201.95</v>
      </c>
      <c r="O1138" s="116">
        <v>194.1</v>
      </c>
      <c r="P1138" s="116">
        <v>201.7</v>
      </c>
      <c r="Q1138" s="116">
        <v>196.8</v>
      </c>
      <c r="R1138">
        <v>4009344</v>
      </c>
    </row>
    <row r="1139" spans="1:18" x14ac:dyDescent="0.25">
      <c r="A1139" s="170">
        <v>43679</v>
      </c>
      <c r="B1139" s="116">
        <v>202.1</v>
      </c>
      <c r="C1139" s="116">
        <v>199.3</v>
      </c>
      <c r="D1139" s="116">
        <v>193.8</v>
      </c>
      <c r="E1139" s="116">
        <v>195</v>
      </c>
      <c r="F1139" s="116">
        <v>199.3</v>
      </c>
      <c r="G1139">
        <v>111317</v>
      </c>
      <c r="H1139" s="116"/>
      <c r="I1139" s="116"/>
      <c r="L1139" s="170">
        <v>43679</v>
      </c>
      <c r="M1139" s="116">
        <v>199.5</v>
      </c>
      <c r="N1139" s="116">
        <v>202.15</v>
      </c>
      <c r="O1139" s="116">
        <v>194.25</v>
      </c>
      <c r="P1139" s="116">
        <v>194.7</v>
      </c>
      <c r="Q1139" s="116">
        <v>199.5</v>
      </c>
      <c r="R1139">
        <v>3109814</v>
      </c>
    </row>
    <row r="1140" spans="1:18" x14ac:dyDescent="0.25">
      <c r="A1140" s="170">
        <v>43682</v>
      </c>
      <c r="B1140" s="116">
        <v>199.4</v>
      </c>
      <c r="C1140" s="116">
        <v>197.35</v>
      </c>
      <c r="D1140" s="116">
        <v>194.95</v>
      </c>
      <c r="E1140" s="116">
        <v>199</v>
      </c>
      <c r="F1140" s="116">
        <v>197.35</v>
      </c>
      <c r="G1140">
        <v>83127</v>
      </c>
      <c r="H1140" s="116"/>
      <c r="I1140" s="116"/>
      <c r="L1140" s="170">
        <v>43682</v>
      </c>
      <c r="M1140" s="116">
        <v>197.25</v>
      </c>
      <c r="N1140" s="116">
        <v>199.5</v>
      </c>
      <c r="O1140" s="116">
        <v>194.85</v>
      </c>
      <c r="P1140" s="116">
        <v>197.6</v>
      </c>
      <c r="Q1140" s="116">
        <v>197.25</v>
      </c>
      <c r="R1140">
        <v>2295191</v>
      </c>
    </row>
    <row r="1141" spans="1:18" x14ac:dyDescent="0.25">
      <c r="A1141" s="170">
        <v>43683</v>
      </c>
      <c r="B1141" s="116">
        <v>203.2</v>
      </c>
      <c r="C1141" s="116">
        <v>201.75</v>
      </c>
      <c r="D1141" s="116">
        <v>195.25</v>
      </c>
      <c r="E1141" s="116">
        <v>199.7</v>
      </c>
      <c r="F1141" s="116">
        <v>201.75</v>
      </c>
      <c r="G1141">
        <v>112684</v>
      </c>
      <c r="H1141" s="116"/>
      <c r="I1141" s="116"/>
      <c r="L1141" s="170">
        <v>43683</v>
      </c>
      <c r="M1141" s="116">
        <v>201.85</v>
      </c>
      <c r="N1141" s="116">
        <v>203.3</v>
      </c>
      <c r="O1141" s="116">
        <v>195.3</v>
      </c>
      <c r="P1141" s="116">
        <v>195.3</v>
      </c>
      <c r="Q1141" s="116">
        <v>201.85</v>
      </c>
      <c r="R1141">
        <v>4770543</v>
      </c>
    </row>
    <row r="1142" spans="1:18" x14ac:dyDescent="0.25">
      <c r="A1142" s="170">
        <v>43684</v>
      </c>
      <c r="B1142" s="116">
        <v>206.2</v>
      </c>
      <c r="C1142" s="116">
        <v>205</v>
      </c>
      <c r="D1142" s="116">
        <v>201.95</v>
      </c>
      <c r="E1142" s="116">
        <v>201.95</v>
      </c>
      <c r="F1142" s="116">
        <v>205</v>
      </c>
      <c r="G1142">
        <v>128739</v>
      </c>
      <c r="H1142" s="116"/>
      <c r="I1142" s="116"/>
      <c r="L1142" s="170">
        <v>43684</v>
      </c>
      <c r="M1142" s="116">
        <v>204.9</v>
      </c>
      <c r="N1142" s="116">
        <v>206.25</v>
      </c>
      <c r="O1142" s="116">
        <v>201.45</v>
      </c>
      <c r="P1142" s="116">
        <v>202.3</v>
      </c>
      <c r="Q1142" s="116">
        <v>204.9</v>
      </c>
      <c r="R1142">
        <v>6120163</v>
      </c>
    </row>
    <row r="1143" spans="1:18" x14ac:dyDescent="0.25">
      <c r="A1143" s="170">
        <v>43685</v>
      </c>
      <c r="B1143" s="116">
        <v>211.35</v>
      </c>
      <c r="C1143" s="116">
        <v>206.35</v>
      </c>
      <c r="D1143" s="116">
        <v>204</v>
      </c>
      <c r="E1143" s="116">
        <v>207</v>
      </c>
      <c r="F1143" s="116">
        <v>206.35</v>
      </c>
      <c r="G1143">
        <v>137934</v>
      </c>
      <c r="H1143" s="116"/>
      <c r="I1143" s="116"/>
      <c r="L1143" s="170">
        <v>43685</v>
      </c>
      <c r="M1143" s="116">
        <v>206.3</v>
      </c>
      <c r="N1143" s="116">
        <v>211.45</v>
      </c>
      <c r="O1143" s="116">
        <v>203.85</v>
      </c>
      <c r="P1143" s="116">
        <v>204.9</v>
      </c>
      <c r="Q1143" s="116">
        <v>206.3</v>
      </c>
      <c r="R1143">
        <v>5105516</v>
      </c>
    </row>
    <row r="1144" spans="1:18" x14ac:dyDescent="0.25">
      <c r="A1144" s="170">
        <v>43686</v>
      </c>
      <c r="B1144" s="116">
        <v>214.75</v>
      </c>
      <c r="C1144" s="116">
        <v>212.95</v>
      </c>
      <c r="D1144" s="116">
        <v>208.85</v>
      </c>
      <c r="E1144" s="116">
        <v>210.8</v>
      </c>
      <c r="F1144" s="116">
        <v>212.95</v>
      </c>
      <c r="G1144">
        <v>89138</v>
      </c>
      <c r="H1144" s="116"/>
      <c r="I1144" s="116"/>
      <c r="L1144" s="170">
        <v>43686</v>
      </c>
      <c r="M1144" s="116">
        <v>212.95</v>
      </c>
      <c r="N1144" s="116">
        <v>214.9</v>
      </c>
      <c r="O1144" s="116">
        <v>208</v>
      </c>
      <c r="P1144" s="116">
        <v>208</v>
      </c>
      <c r="Q1144" s="116">
        <v>212.95</v>
      </c>
      <c r="R1144">
        <v>5559737</v>
      </c>
    </row>
    <row r="1145" spans="1:18" x14ac:dyDescent="0.25">
      <c r="A1145" s="170">
        <v>43690</v>
      </c>
      <c r="B1145" s="116">
        <v>214.5</v>
      </c>
      <c r="C1145" s="116">
        <v>208.75</v>
      </c>
      <c r="D1145" s="116">
        <v>207.2</v>
      </c>
      <c r="E1145" s="116">
        <v>214.5</v>
      </c>
      <c r="F1145" s="116">
        <v>208.75</v>
      </c>
      <c r="G1145">
        <v>109651</v>
      </c>
      <c r="H1145" s="116"/>
      <c r="I1145" s="116"/>
      <c r="L1145" s="170">
        <v>43690</v>
      </c>
      <c r="M1145" s="116">
        <v>208.4</v>
      </c>
      <c r="N1145" s="116">
        <v>213.75</v>
      </c>
      <c r="O1145" s="116">
        <v>207.2</v>
      </c>
      <c r="P1145" s="116">
        <v>212.95</v>
      </c>
      <c r="Q1145" s="116">
        <v>208.4</v>
      </c>
      <c r="R1145">
        <v>5125593</v>
      </c>
    </row>
    <row r="1146" spans="1:18" x14ac:dyDescent="0.25">
      <c r="A1146" s="170">
        <v>43691</v>
      </c>
      <c r="B1146" s="116">
        <v>214.9</v>
      </c>
      <c r="C1146" s="116">
        <v>213.9</v>
      </c>
      <c r="D1146" s="116">
        <v>209.55</v>
      </c>
      <c r="E1146" s="116">
        <v>209.95</v>
      </c>
      <c r="F1146" s="116">
        <v>213.9</v>
      </c>
      <c r="G1146">
        <v>82983</v>
      </c>
      <c r="H1146" s="116"/>
      <c r="I1146" s="116"/>
      <c r="L1146" s="170">
        <v>43691</v>
      </c>
      <c r="M1146" s="116">
        <v>214</v>
      </c>
      <c r="N1146" s="116">
        <v>215.2</v>
      </c>
      <c r="O1146" s="116">
        <v>208.45</v>
      </c>
      <c r="P1146" s="116">
        <v>208.45</v>
      </c>
      <c r="Q1146" s="116">
        <v>214</v>
      </c>
      <c r="R1146">
        <v>3676384</v>
      </c>
    </row>
    <row r="1147" spans="1:18" x14ac:dyDescent="0.25">
      <c r="A1147" s="170">
        <v>43693</v>
      </c>
      <c r="B1147" s="116">
        <v>215</v>
      </c>
      <c r="C1147" s="116">
        <v>213.95</v>
      </c>
      <c r="D1147" s="116">
        <v>209.95</v>
      </c>
      <c r="E1147" s="116">
        <v>213</v>
      </c>
      <c r="F1147" s="116">
        <v>213.95</v>
      </c>
      <c r="G1147">
        <v>54549</v>
      </c>
      <c r="H1147" s="116"/>
      <c r="I1147" s="116"/>
      <c r="L1147" s="170">
        <v>43693</v>
      </c>
      <c r="M1147" s="116">
        <v>213.9</v>
      </c>
      <c r="N1147" s="116">
        <v>214.95</v>
      </c>
      <c r="O1147" s="116">
        <v>209.65</v>
      </c>
      <c r="P1147" s="116">
        <v>213.9</v>
      </c>
      <c r="Q1147" s="116">
        <v>213.9</v>
      </c>
      <c r="R1147">
        <v>2152191</v>
      </c>
    </row>
    <row r="1148" spans="1:18" x14ac:dyDescent="0.25">
      <c r="A1148" s="170">
        <v>43696</v>
      </c>
      <c r="B1148" s="116">
        <v>216.65</v>
      </c>
      <c r="C1148" s="116">
        <v>211.95</v>
      </c>
      <c r="D1148" s="116">
        <v>211.3</v>
      </c>
      <c r="E1148" s="116">
        <v>214.7</v>
      </c>
      <c r="F1148" s="116">
        <v>211.95</v>
      </c>
      <c r="G1148">
        <v>69507</v>
      </c>
      <c r="H1148" s="116"/>
      <c r="I1148" s="116"/>
      <c r="L1148" s="170">
        <v>43696</v>
      </c>
      <c r="M1148" s="116">
        <v>212</v>
      </c>
      <c r="N1148" s="116">
        <v>216.6</v>
      </c>
      <c r="O1148" s="116">
        <v>211.3</v>
      </c>
      <c r="P1148" s="116">
        <v>214.4</v>
      </c>
      <c r="Q1148" s="116">
        <v>212</v>
      </c>
      <c r="R1148">
        <v>1881382</v>
      </c>
    </row>
    <row r="1149" spans="1:18" x14ac:dyDescent="0.25">
      <c r="A1149" s="170">
        <v>43697</v>
      </c>
      <c r="B1149" s="116">
        <v>211.2</v>
      </c>
      <c r="C1149" s="116">
        <v>205.8</v>
      </c>
      <c r="D1149" s="116">
        <v>205.2</v>
      </c>
      <c r="E1149" s="116">
        <v>211.2</v>
      </c>
      <c r="F1149" s="116">
        <v>205.8</v>
      </c>
      <c r="G1149">
        <v>116020</v>
      </c>
      <c r="H1149" s="116"/>
      <c r="I1149" s="116"/>
      <c r="L1149" s="170">
        <v>43697</v>
      </c>
      <c r="M1149" s="116">
        <v>205.85</v>
      </c>
      <c r="N1149" s="116">
        <v>212.5</v>
      </c>
      <c r="O1149" s="116">
        <v>205.15</v>
      </c>
      <c r="P1149" s="116">
        <v>212.1</v>
      </c>
      <c r="Q1149" s="116">
        <v>205.85</v>
      </c>
      <c r="R1149">
        <v>1823430</v>
      </c>
    </row>
    <row r="1150" spans="1:18" x14ac:dyDescent="0.25">
      <c r="A1150" s="170">
        <v>43698</v>
      </c>
      <c r="B1150" s="116">
        <v>206.65</v>
      </c>
      <c r="C1150" s="116">
        <v>201.2</v>
      </c>
      <c r="D1150" s="116">
        <v>200.55</v>
      </c>
      <c r="E1150" s="116">
        <v>205.05</v>
      </c>
      <c r="F1150" s="116">
        <v>201.2</v>
      </c>
      <c r="G1150">
        <v>90952</v>
      </c>
      <c r="H1150" s="116"/>
      <c r="I1150" s="116"/>
      <c r="L1150" s="170">
        <v>43698</v>
      </c>
      <c r="M1150" s="116">
        <v>201.1</v>
      </c>
      <c r="N1150" s="116">
        <v>206.75</v>
      </c>
      <c r="O1150" s="116">
        <v>200.5</v>
      </c>
      <c r="P1150" s="116">
        <v>206</v>
      </c>
      <c r="Q1150" s="116">
        <v>201.1</v>
      </c>
      <c r="R1150">
        <v>2235406</v>
      </c>
    </row>
    <row r="1151" spans="1:18" x14ac:dyDescent="0.25">
      <c r="A1151" s="170">
        <v>43699</v>
      </c>
      <c r="B1151" s="116">
        <v>200.85</v>
      </c>
      <c r="C1151" s="116">
        <v>197.7</v>
      </c>
      <c r="D1151" s="116">
        <v>196.5</v>
      </c>
      <c r="E1151" s="116">
        <v>200.45</v>
      </c>
      <c r="F1151" s="116">
        <v>197.7</v>
      </c>
      <c r="G1151">
        <v>96158</v>
      </c>
      <c r="H1151" s="116"/>
      <c r="I1151" s="116"/>
      <c r="L1151" s="170">
        <v>43699</v>
      </c>
      <c r="M1151" s="116">
        <v>197.55</v>
      </c>
      <c r="N1151" s="116">
        <v>200.9</v>
      </c>
      <c r="O1151" s="116">
        <v>196.5</v>
      </c>
      <c r="P1151" s="116">
        <v>200.8</v>
      </c>
      <c r="Q1151" s="116">
        <v>197.55</v>
      </c>
      <c r="R1151">
        <v>2970844</v>
      </c>
    </row>
    <row r="1152" spans="1:18" x14ac:dyDescent="0.25">
      <c r="A1152" s="170">
        <v>43700</v>
      </c>
      <c r="B1152" s="116">
        <v>199.65</v>
      </c>
      <c r="C1152" s="116">
        <v>197.35</v>
      </c>
      <c r="D1152" s="116">
        <v>195.9</v>
      </c>
      <c r="E1152" s="116">
        <v>196.15</v>
      </c>
      <c r="F1152" s="116">
        <v>197.35</v>
      </c>
      <c r="G1152">
        <v>95625</v>
      </c>
      <c r="H1152" s="116"/>
      <c r="I1152" s="116"/>
      <c r="L1152" s="170">
        <v>43700</v>
      </c>
      <c r="M1152" s="116">
        <v>197.3</v>
      </c>
      <c r="N1152" s="116">
        <v>199.7</v>
      </c>
      <c r="O1152" s="116">
        <v>196.05</v>
      </c>
      <c r="P1152" s="116">
        <v>196.6</v>
      </c>
      <c r="Q1152" s="116">
        <v>197.3</v>
      </c>
      <c r="R1152">
        <v>5629349</v>
      </c>
    </row>
    <row r="1153" spans="1:18" x14ac:dyDescent="0.25">
      <c r="A1153" s="170">
        <v>43703</v>
      </c>
      <c r="B1153" s="116">
        <v>203.1</v>
      </c>
      <c r="C1153" s="116">
        <v>202.7</v>
      </c>
      <c r="D1153" s="116">
        <v>194.7</v>
      </c>
      <c r="E1153" s="116">
        <v>201.4</v>
      </c>
      <c r="F1153" s="116">
        <v>202.7</v>
      </c>
      <c r="G1153">
        <v>161199</v>
      </c>
      <c r="H1153" s="116"/>
      <c r="I1153" s="116"/>
      <c r="L1153" s="170">
        <v>43703</v>
      </c>
      <c r="M1153" s="116">
        <v>202.65</v>
      </c>
      <c r="N1153" s="116">
        <v>203.35</v>
      </c>
      <c r="O1153" s="116">
        <v>194.6</v>
      </c>
      <c r="P1153" s="116">
        <v>202.4</v>
      </c>
      <c r="Q1153" s="116">
        <v>202.65</v>
      </c>
      <c r="R1153">
        <v>3332737</v>
      </c>
    </row>
    <row r="1154" spans="1:18" x14ac:dyDescent="0.25">
      <c r="A1154" s="170">
        <v>43704</v>
      </c>
      <c r="B1154" s="116">
        <v>207.45</v>
      </c>
      <c r="C1154" s="116">
        <v>205.15</v>
      </c>
      <c r="D1154" s="116">
        <v>203</v>
      </c>
      <c r="E1154" s="116">
        <v>203.85</v>
      </c>
      <c r="F1154" s="116">
        <v>205.15</v>
      </c>
      <c r="G1154">
        <v>80592</v>
      </c>
      <c r="H1154" s="116"/>
      <c r="I1154" s="116"/>
      <c r="L1154" s="170">
        <v>43704</v>
      </c>
      <c r="M1154" s="116">
        <v>205.1</v>
      </c>
      <c r="N1154" s="116">
        <v>207.7</v>
      </c>
      <c r="O1154" s="116">
        <v>202.85</v>
      </c>
      <c r="P1154" s="116">
        <v>203.5</v>
      </c>
      <c r="Q1154" s="116">
        <v>205.1</v>
      </c>
      <c r="R1154">
        <v>2434000</v>
      </c>
    </row>
    <row r="1155" spans="1:18" x14ac:dyDescent="0.25">
      <c r="A1155" s="170">
        <v>43705</v>
      </c>
      <c r="B1155" s="116">
        <v>207.4</v>
      </c>
      <c r="C1155" s="116">
        <v>205</v>
      </c>
      <c r="D1155" s="116">
        <v>202.9</v>
      </c>
      <c r="E1155" s="116">
        <v>205</v>
      </c>
      <c r="F1155" s="116">
        <v>205</v>
      </c>
      <c r="G1155">
        <v>71496</v>
      </c>
      <c r="H1155" s="116"/>
      <c r="I1155" s="116"/>
      <c r="L1155" s="170">
        <v>43705</v>
      </c>
      <c r="M1155" s="116">
        <v>205</v>
      </c>
      <c r="N1155" s="116">
        <v>207.5</v>
      </c>
      <c r="O1155" s="116">
        <v>202.75</v>
      </c>
      <c r="P1155" s="116">
        <v>205</v>
      </c>
      <c r="Q1155" s="116">
        <v>205</v>
      </c>
      <c r="R1155">
        <v>1674581</v>
      </c>
    </row>
    <row r="1156" spans="1:18" x14ac:dyDescent="0.25">
      <c r="A1156" s="170">
        <v>43706</v>
      </c>
      <c r="B1156" s="116">
        <v>205</v>
      </c>
      <c r="C1156" s="116">
        <v>200.1</v>
      </c>
      <c r="D1156" s="116">
        <v>199.5</v>
      </c>
      <c r="E1156" s="116">
        <v>203.65</v>
      </c>
      <c r="F1156" s="116">
        <v>200.1</v>
      </c>
      <c r="G1156">
        <v>82121</v>
      </c>
      <c r="H1156" s="116"/>
      <c r="I1156" s="116"/>
      <c r="L1156" s="170">
        <v>43706</v>
      </c>
      <c r="M1156" s="116">
        <v>200.05</v>
      </c>
      <c r="N1156" s="116">
        <v>205.15</v>
      </c>
      <c r="O1156" s="116">
        <v>199.4</v>
      </c>
      <c r="P1156" s="116">
        <v>203.55</v>
      </c>
      <c r="Q1156" s="116">
        <v>200.05</v>
      </c>
      <c r="R1156">
        <v>3138802</v>
      </c>
    </row>
    <row r="1157" spans="1:18" x14ac:dyDescent="0.25">
      <c r="A1157" s="170">
        <v>43707</v>
      </c>
      <c r="B1157" s="116">
        <v>202.9</v>
      </c>
      <c r="C1157" s="116">
        <v>202.25</v>
      </c>
      <c r="D1157" s="116">
        <v>199.2</v>
      </c>
      <c r="E1157" s="116">
        <v>201.25</v>
      </c>
      <c r="F1157" s="116">
        <v>202.25</v>
      </c>
      <c r="G1157">
        <v>70552</v>
      </c>
      <c r="H1157" s="116"/>
      <c r="I1157" s="116"/>
      <c r="L1157" s="170">
        <v>43707</v>
      </c>
      <c r="M1157" s="116">
        <v>202.35</v>
      </c>
      <c r="N1157" s="116">
        <v>202.95</v>
      </c>
      <c r="O1157" s="116">
        <v>199.15</v>
      </c>
      <c r="P1157" s="116">
        <v>201</v>
      </c>
      <c r="Q1157" s="116">
        <v>202.35</v>
      </c>
      <c r="R1157">
        <v>3324682</v>
      </c>
    </row>
    <row r="1158" spans="1:18" x14ac:dyDescent="0.25">
      <c r="A1158" s="170">
        <v>43711</v>
      </c>
      <c r="B1158" s="116">
        <v>200.5</v>
      </c>
      <c r="C1158" s="116">
        <v>193.25</v>
      </c>
      <c r="D1158" s="116">
        <v>192.6</v>
      </c>
      <c r="E1158" s="116">
        <v>200.05</v>
      </c>
      <c r="F1158" s="116">
        <v>193.25</v>
      </c>
      <c r="G1158">
        <v>142951</v>
      </c>
      <c r="H1158" s="116"/>
      <c r="I1158" s="116"/>
      <c r="L1158" s="170">
        <v>43711</v>
      </c>
      <c r="M1158" s="116">
        <v>193.35</v>
      </c>
      <c r="N1158" s="116">
        <v>200.65</v>
      </c>
      <c r="O1158" s="116">
        <v>192.3</v>
      </c>
      <c r="P1158" s="116">
        <v>200</v>
      </c>
      <c r="Q1158" s="116">
        <v>193.35</v>
      </c>
      <c r="R1158">
        <v>5785632</v>
      </c>
    </row>
    <row r="1159" spans="1:18" x14ac:dyDescent="0.25">
      <c r="A1159" s="170">
        <v>43712</v>
      </c>
      <c r="B1159" s="116">
        <v>192.4</v>
      </c>
      <c r="C1159" s="116">
        <v>191</v>
      </c>
      <c r="D1159" s="116">
        <v>188.5</v>
      </c>
      <c r="E1159" s="116">
        <v>192.35</v>
      </c>
      <c r="F1159" s="116">
        <v>191</v>
      </c>
      <c r="G1159">
        <v>149119</v>
      </c>
      <c r="H1159" s="116"/>
      <c r="I1159" s="116"/>
      <c r="L1159" s="170">
        <v>43712</v>
      </c>
      <c r="M1159" s="116">
        <v>190.9</v>
      </c>
      <c r="N1159" s="116">
        <v>193</v>
      </c>
      <c r="O1159" s="116">
        <v>188.45</v>
      </c>
      <c r="P1159" s="116">
        <v>193</v>
      </c>
      <c r="Q1159" s="116">
        <v>190.9</v>
      </c>
      <c r="R1159">
        <v>5847593</v>
      </c>
    </row>
    <row r="1160" spans="1:18" x14ac:dyDescent="0.25">
      <c r="A1160" s="170">
        <v>43713</v>
      </c>
      <c r="B1160" s="116">
        <v>193.65</v>
      </c>
      <c r="C1160" s="116">
        <v>193.25</v>
      </c>
      <c r="D1160" s="116">
        <v>190.6</v>
      </c>
      <c r="E1160" s="116">
        <v>192</v>
      </c>
      <c r="F1160" s="116">
        <v>193.25</v>
      </c>
      <c r="G1160">
        <v>93543</v>
      </c>
      <c r="H1160" s="116"/>
      <c r="I1160" s="116"/>
      <c r="L1160" s="170">
        <v>43713</v>
      </c>
      <c r="M1160" s="116">
        <v>193.2</v>
      </c>
      <c r="N1160" s="116">
        <v>193.8</v>
      </c>
      <c r="O1160" s="116">
        <v>190.4</v>
      </c>
      <c r="P1160" s="116">
        <v>192.55</v>
      </c>
      <c r="Q1160" s="116">
        <v>193.2</v>
      </c>
      <c r="R1160">
        <v>2928347</v>
      </c>
    </row>
    <row r="1161" spans="1:18" x14ac:dyDescent="0.25">
      <c r="A1161" s="170">
        <v>43714</v>
      </c>
      <c r="B1161" s="116">
        <v>196.65</v>
      </c>
      <c r="C1161" s="116">
        <v>194.8</v>
      </c>
      <c r="D1161" s="116">
        <v>193.25</v>
      </c>
      <c r="E1161" s="116">
        <v>193.25</v>
      </c>
      <c r="F1161" s="116">
        <v>194.8</v>
      </c>
      <c r="G1161">
        <v>75786</v>
      </c>
      <c r="H1161" s="116"/>
      <c r="I1161" s="116"/>
      <c r="L1161" s="170">
        <v>43714</v>
      </c>
      <c r="M1161" s="116">
        <v>194.7</v>
      </c>
      <c r="N1161" s="116">
        <v>196.7</v>
      </c>
      <c r="O1161" s="116">
        <v>193.3</v>
      </c>
      <c r="P1161" s="116">
        <v>193.6</v>
      </c>
      <c r="Q1161" s="116">
        <v>194.7</v>
      </c>
      <c r="R1161">
        <v>1565369</v>
      </c>
    </row>
    <row r="1162" spans="1:18" x14ac:dyDescent="0.25">
      <c r="A1162" s="170">
        <v>43717</v>
      </c>
      <c r="B1162" s="116">
        <v>198.8</v>
      </c>
      <c r="C1162" s="116">
        <v>195.55</v>
      </c>
      <c r="D1162" s="116">
        <v>193.9</v>
      </c>
      <c r="E1162" s="116">
        <v>198.8</v>
      </c>
      <c r="F1162" s="116">
        <v>195.55</v>
      </c>
      <c r="G1162">
        <v>46825</v>
      </c>
      <c r="H1162" s="116"/>
      <c r="I1162" s="116"/>
      <c r="L1162" s="170">
        <v>43717</v>
      </c>
      <c r="M1162" s="116">
        <v>195.5</v>
      </c>
      <c r="N1162" s="116">
        <v>197.8</v>
      </c>
      <c r="O1162" s="116">
        <v>193.65</v>
      </c>
      <c r="P1162" s="116">
        <v>195</v>
      </c>
      <c r="Q1162" s="116">
        <v>195.5</v>
      </c>
      <c r="R1162">
        <v>1534947</v>
      </c>
    </row>
    <row r="1163" spans="1:18" x14ac:dyDescent="0.25">
      <c r="A1163" s="170">
        <v>43719</v>
      </c>
      <c r="B1163" s="116">
        <v>198.3</v>
      </c>
      <c r="C1163" s="116">
        <v>197.25</v>
      </c>
      <c r="D1163" s="116">
        <v>195</v>
      </c>
      <c r="E1163" s="116">
        <v>197.4</v>
      </c>
      <c r="F1163" s="116">
        <v>197.25</v>
      </c>
      <c r="G1163">
        <v>73410</v>
      </c>
      <c r="H1163" s="116"/>
      <c r="I1163" s="116"/>
      <c r="L1163" s="170">
        <v>43719</v>
      </c>
      <c r="M1163" s="116">
        <v>197.35</v>
      </c>
      <c r="N1163" s="116">
        <v>198.35</v>
      </c>
      <c r="O1163" s="116">
        <v>195.75</v>
      </c>
      <c r="P1163" s="116">
        <v>195.75</v>
      </c>
      <c r="Q1163" s="116">
        <v>197.35</v>
      </c>
      <c r="R1163">
        <v>1746891</v>
      </c>
    </row>
    <row r="1164" spans="1:18" x14ac:dyDescent="0.25">
      <c r="A1164" s="170">
        <v>43720</v>
      </c>
      <c r="B1164" s="116">
        <v>200.15</v>
      </c>
      <c r="C1164" s="116">
        <v>195.9</v>
      </c>
      <c r="D1164" s="116">
        <v>195.25</v>
      </c>
      <c r="E1164" s="116">
        <v>198.75</v>
      </c>
      <c r="F1164" s="116">
        <v>195.9</v>
      </c>
      <c r="G1164">
        <v>81789</v>
      </c>
      <c r="H1164" s="116"/>
      <c r="I1164" s="116"/>
      <c r="L1164" s="170">
        <v>43720</v>
      </c>
      <c r="M1164" s="116">
        <v>195.75</v>
      </c>
      <c r="N1164" s="116">
        <v>200.2</v>
      </c>
      <c r="O1164" s="116">
        <v>195.1</v>
      </c>
      <c r="P1164" s="116">
        <v>197.5</v>
      </c>
      <c r="Q1164" s="116">
        <v>195.75</v>
      </c>
      <c r="R1164">
        <v>2256605</v>
      </c>
    </row>
    <row r="1165" spans="1:18" x14ac:dyDescent="0.25">
      <c r="A1165" s="170">
        <v>43721</v>
      </c>
      <c r="B1165" s="116">
        <v>201.9</v>
      </c>
      <c r="C1165" s="116">
        <v>200.95</v>
      </c>
      <c r="D1165" s="116">
        <v>194</v>
      </c>
      <c r="E1165" s="116">
        <v>198.9</v>
      </c>
      <c r="F1165" s="116">
        <v>200.95</v>
      </c>
      <c r="G1165">
        <v>108106</v>
      </c>
      <c r="H1165" s="116"/>
      <c r="I1165" s="116"/>
      <c r="L1165" s="170">
        <v>43721</v>
      </c>
      <c r="M1165" s="116">
        <v>201</v>
      </c>
      <c r="N1165" s="116">
        <v>202.15</v>
      </c>
      <c r="O1165" s="116">
        <v>193.9</v>
      </c>
      <c r="P1165" s="116">
        <v>196</v>
      </c>
      <c r="Q1165" s="116">
        <v>201</v>
      </c>
      <c r="R1165">
        <v>2245097</v>
      </c>
    </row>
    <row r="1166" spans="1:18" x14ac:dyDescent="0.25">
      <c r="A1166" s="170">
        <v>43724</v>
      </c>
      <c r="B1166" s="116">
        <v>203.85</v>
      </c>
      <c r="C1166" s="116">
        <v>201.4</v>
      </c>
      <c r="D1166" s="116">
        <v>197.8</v>
      </c>
      <c r="E1166" s="116">
        <v>197.8</v>
      </c>
      <c r="F1166" s="116">
        <v>201.4</v>
      </c>
      <c r="G1166">
        <v>140485</v>
      </c>
      <c r="H1166" s="116"/>
      <c r="I1166" s="116"/>
      <c r="L1166" s="170">
        <v>43724</v>
      </c>
      <c r="M1166" s="116">
        <v>201.45</v>
      </c>
      <c r="N1166" s="116">
        <v>203.9</v>
      </c>
      <c r="O1166" s="116">
        <v>197.35</v>
      </c>
      <c r="P1166" s="116">
        <v>199.5</v>
      </c>
      <c r="Q1166" s="116">
        <v>201.45</v>
      </c>
      <c r="R1166">
        <v>2090311</v>
      </c>
    </row>
    <row r="1167" spans="1:18" x14ac:dyDescent="0.25">
      <c r="A1167" s="170">
        <v>43725</v>
      </c>
      <c r="B1167" s="116">
        <v>201.1</v>
      </c>
      <c r="C1167" s="116">
        <v>194.35</v>
      </c>
      <c r="D1167" s="116">
        <v>193.6</v>
      </c>
      <c r="E1167" s="116">
        <v>201</v>
      </c>
      <c r="F1167" s="116">
        <v>194.35</v>
      </c>
      <c r="G1167">
        <v>114351</v>
      </c>
      <c r="H1167" s="116"/>
      <c r="I1167" s="116"/>
      <c r="L1167" s="170">
        <v>43725</v>
      </c>
      <c r="M1167" s="116">
        <v>194.35</v>
      </c>
      <c r="N1167" s="116">
        <v>201.2</v>
      </c>
      <c r="O1167" s="116">
        <v>193.5</v>
      </c>
      <c r="P1167" s="116">
        <v>200.85</v>
      </c>
      <c r="Q1167" s="116">
        <v>194.35</v>
      </c>
      <c r="R1167">
        <v>2829653</v>
      </c>
    </row>
    <row r="1168" spans="1:18" x14ac:dyDescent="0.25">
      <c r="A1168" s="170">
        <v>43726</v>
      </c>
      <c r="B1168" s="116">
        <v>196.75</v>
      </c>
      <c r="C1168" s="116">
        <v>195.7</v>
      </c>
      <c r="D1168" s="116">
        <v>194.4</v>
      </c>
      <c r="E1168" s="116">
        <v>195</v>
      </c>
      <c r="F1168" s="116">
        <v>195.7</v>
      </c>
      <c r="G1168">
        <v>60151</v>
      </c>
      <c r="H1168" s="116"/>
      <c r="I1168" s="116"/>
      <c r="L1168" s="170">
        <v>43726</v>
      </c>
      <c r="M1168" s="116">
        <v>195.8</v>
      </c>
      <c r="N1168" s="116">
        <v>196.7</v>
      </c>
      <c r="O1168" s="116">
        <v>194.1</v>
      </c>
      <c r="P1168" s="116">
        <v>195</v>
      </c>
      <c r="Q1168" s="116">
        <v>195.8</v>
      </c>
      <c r="R1168">
        <v>2266964</v>
      </c>
    </row>
    <row r="1169" spans="1:18" x14ac:dyDescent="0.25">
      <c r="A1169" s="170">
        <v>43727</v>
      </c>
      <c r="B1169" s="116">
        <v>196.45</v>
      </c>
      <c r="C1169" s="116">
        <v>191.9</v>
      </c>
      <c r="D1169" s="116">
        <v>190.45</v>
      </c>
      <c r="E1169" s="116">
        <v>196</v>
      </c>
      <c r="F1169" s="116">
        <v>191.9</v>
      </c>
      <c r="G1169">
        <v>61513</v>
      </c>
      <c r="H1169" s="116"/>
      <c r="I1169" s="116"/>
      <c r="L1169" s="170">
        <v>43727</v>
      </c>
      <c r="M1169" s="116">
        <v>191.8</v>
      </c>
      <c r="N1169" s="116">
        <v>196.5</v>
      </c>
      <c r="O1169" s="116">
        <v>190.25</v>
      </c>
      <c r="P1169" s="116">
        <v>195.5</v>
      </c>
      <c r="Q1169" s="116">
        <v>191.8</v>
      </c>
      <c r="R1169">
        <v>2032982</v>
      </c>
    </row>
    <row r="1170" spans="1:18" x14ac:dyDescent="0.25">
      <c r="A1170" s="170">
        <v>43728</v>
      </c>
      <c r="B1170" s="116">
        <v>217.25</v>
      </c>
      <c r="C1170" s="116">
        <v>215.3</v>
      </c>
      <c r="D1170" s="116">
        <v>191.5</v>
      </c>
      <c r="E1170" s="116">
        <v>192.5</v>
      </c>
      <c r="F1170" s="116">
        <v>215.3</v>
      </c>
      <c r="G1170">
        <v>334160</v>
      </c>
      <c r="H1170" s="116"/>
      <c r="I1170" s="116"/>
      <c r="L1170" s="170">
        <v>43728</v>
      </c>
      <c r="M1170" s="116">
        <v>215.2</v>
      </c>
      <c r="N1170" s="116">
        <v>217.35</v>
      </c>
      <c r="O1170" s="116">
        <v>191.25</v>
      </c>
      <c r="P1170" s="116">
        <v>192.2</v>
      </c>
      <c r="Q1170" s="116">
        <v>215.2</v>
      </c>
      <c r="R1170">
        <v>8240226</v>
      </c>
    </row>
    <row r="1171" spans="1:18" x14ac:dyDescent="0.25">
      <c r="A1171" s="170">
        <v>43731</v>
      </c>
      <c r="B1171" s="116">
        <v>224.9</v>
      </c>
      <c r="C1171" s="116">
        <v>220.4</v>
      </c>
      <c r="D1171" s="116">
        <v>215.6</v>
      </c>
      <c r="E1171" s="116">
        <v>215.6</v>
      </c>
      <c r="F1171" s="116">
        <v>220.4</v>
      </c>
      <c r="G1171">
        <v>393921</v>
      </c>
      <c r="H1171" s="116"/>
      <c r="I1171" s="116"/>
      <c r="L1171" s="170">
        <v>43731</v>
      </c>
      <c r="M1171" s="116">
        <v>220.55</v>
      </c>
      <c r="N1171" s="116">
        <v>225</v>
      </c>
      <c r="O1171" s="116">
        <v>216.2</v>
      </c>
      <c r="P1171" s="116">
        <v>216.2</v>
      </c>
      <c r="Q1171" s="116">
        <v>220.55</v>
      </c>
      <c r="R1171">
        <v>5258243</v>
      </c>
    </row>
    <row r="1172" spans="1:18" x14ac:dyDescent="0.25">
      <c r="A1172" s="170">
        <v>43732</v>
      </c>
      <c r="B1172" s="116">
        <v>221</v>
      </c>
      <c r="C1172" s="116">
        <v>215.7</v>
      </c>
      <c r="D1172" s="116">
        <v>212.65</v>
      </c>
      <c r="E1172" s="116">
        <v>221</v>
      </c>
      <c r="F1172" s="116">
        <v>215.7</v>
      </c>
      <c r="G1172">
        <v>156849</v>
      </c>
      <c r="H1172" s="116"/>
      <c r="I1172" s="116"/>
      <c r="L1172" s="170">
        <v>43732</v>
      </c>
      <c r="M1172" s="116">
        <v>215.75</v>
      </c>
      <c r="N1172" s="116">
        <v>219.45</v>
      </c>
      <c r="O1172" s="116">
        <v>212.7</v>
      </c>
      <c r="P1172" s="116">
        <v>219.45</v>
      </c>
      <c r="Q1172" s="116">
        <v>215.75</v>
      </c>
      <c r="R1172">
        <v>2701974</v>
      </c>
    </row>
    <row r="1173" spans="1:18" x14ac:dyDescent="0.25">
      <c r="A1173" s="170">
        <v>43733</v>
      </c>
      <c r="B1173" s="116">
        <v>215.55</v>
      </c>
      <c r="C1173" s="116">
        <v>210.05</v>
      </c>
      <c r="D1173" s="116">
        <v>207.25</v>
      </c>
      <c r="E1173" s="116">
        <v>214</v>
      </c>
      <c r="F1173" s="116">
        <v>210.05</v>
      </c>
      <c r="G1173">
        <v>101905</v>
      </c>
      <c r="H1173" s="116"/>
      <c r="I1173" s="116"/>
      <c r="L1173" s="170">
        <v>43733</v>
      </c>
      <c r="M1173" s="116">
        <v>210.1</v>
      </c>
      <c r="N1173" s="116">
        <v>215.7</v>
      </c>
      <c r="O1173" s="116">
        <v>207.3</v>
      </c>
      <c r="P1173" s="116">
        <v>214.95</v>
      </c>
      <c r="Q1173" s="116">
        <v>210.1</v>
      </c>
      <c r="R1173">
        <v>3960724</v>
      </c>
    </row>
    <row r="1174" spans="1:18" x14ac:dyDescent="0.25">
      <c r="A1174" s="170">
        <v>43734</v>
      </c>
      <c r="B1174" s="116">
        <v>211.7</v>
      </c>
      <c r="C1174" s="116">
        <v>210.75</v>
      </c>
      <c r="D1174" s="116">
        <v>207.65</v>
      </c>
      <c r="E1174" s="116">
        <v>211.5</v>
      </c>
      <c r="F1174" s="116">
        <v>210.75</v>
      </c>
      <c r="G1174">
        <v>95232</v>
      </c>
      <c r="H1174" s="116"/>
      <c r="I1174" s="116"/>
      <c r="L1174" s="170">
        <v>43734</v>
      </c>
      <c r="M1174" s="116">
        <v>210.5</v>
      </c>
      <c r="N1174" s="116">
        <v>213.8</v>
      </c>
      <c r="O1174" s="116">
        <v>207.6</v>
      </c>
      <c r="P1174" s="116">
        <v>210.35</v>
      </c>
      <c r="Q1174" s="116">
        <v>210.5</v>
      </c>
      <c r="R1174">
        <v>3991305</v>
      </c>
    </row>
    <row r="1175" spans="1:18" x14ac:dyDescent="0.25">
      <c r="A1175" s="170">
        <v>43735</v>
      </c>
      <c r="B1175" s="116">
        <v>212.9</v>
      </c>
      <c r="C1175" s="116">
        <v>206.95</v>
      </c>
      <c r="D1175" s="116">
        <v>206</v>
      </c>
      <c r="E1175" s="116">
        <v>212.9</v>
      </c>
      <c r="F1175" s="116">
        <v>206.95</v>
      </c>
      <c r="G1175">
        <v>63740</v>
      </c>
      <c r="H1175" s="116"/>
      <c r="I1175" s="116"/>
      <c r="L1175" s="170">
        <v>43735</v>
      </c>
      <c r="M1175" s="116">
        <v>207.05</v>
      </c>
      <c r="N1175" s="116">
        <v>210.6</v>
      </c>
      <c r="O1175" s="116">
        <v>205.85</v>
      </c>
      <c r="P1175" s="116">
        <v>210.1</v>
      </c>
      <c r="Q1175" s="116">
        <v>207.05</v>
      </c>
      <c r="R1175">
        <v>1996223</v>
      </c>
    </row>
    <row r="1176" spans="1:18" x14ac:dyDescent="0.25">
      <c r="A1176" s="170">
        <v>43738</v>
      </c>
      <c r="B1176" s="116">
        <v>206.65</v>
      </c>
      <c r="C1176" s="116">
        <v>203.85</v>
      </c>
      <c r="D1176" s="116">
        <v>202.7</v>
      </c>
      <c r="E1176" s="116">
        <v>206.65</v>
      </c>
      <c r="F1176" s="116">
        <v>203.85</v>
      </c>
      <c r="G1176">
        <v>66696</v>
      </c>
      <c r="H1176" s="116"/>
      <c r="I1176" s="116"/>
      <c r="L1176" s="170">
        <v>43738</v>
      </c>
      <c r="M1176" s="116">
        <v>203.95</v>
      </c>
      <c r="N1176" s="116">
        <v>207</v>
      </c>
      <c r="O1176" s="116">
        <v>202.5</v>
      </c>
      <c r="P1176" s="116">
        <v>207</v>
      </c>
      <c r="Q1176" s="116">
        <v>203.95</v>
      </c>
      <c r="R1176">
        <v>2199055</v>
      </c>
    </row>
    <row r="1177" spans="1:18" x14ac:dyDescent="0.25">
      <c r="A1177" s="170">
        <v>43739</v>
      </c>
      <c r="B1177" s="116">
        <v>205.3</v>
      </c>
      <c r="C1177" s="116">
        <v>199.7</v>
      </c>
      <c r="D1177" s="116">
        <v>193.95</v>
      </c>
      <c r="E1177" s="116">
        <v>204.4</v>
      </c>
      <c r="F1177" s="116">
        <v>199.7</v>
      </c>
      <c r="G1177">
        <v>164475</v>
      </c>
      <c r="H1177" s="116"/>
      <c r="I1177" s="116"/>
      <c r="L1177" s="170">
        <v>43739</v>
      </c>
      <c r="M1177" s="116">
        <v>199.85</v>
      </c>
      <c r="N1177" s="116">
        <v>205.65</v>
      </c>
      <c r="O1177" s="116">
        <v>193.7</v>
      </c>
      <c r="P1177" s="116">
        <v>204.4</v>
      </c>
      <c r="Q1177" s="116">
        <v>199.85</v>
      </c>
      <c r="R1177">
        <v>3940452</v>
      </c>
    </row>
    <row r="1178" spans="1:18" x14ac:dyDescent="0.25">
      <c r="A1178" s="170">
        <v>43741</v>
      </c>
      <c r="B1178" s="116">
        <v>200.8</v>
      </c>
      <c r="C1178" s="116">
        <v>196.5</v>
      </c>
      <c r="D1178" s="116">
        <v>193.7</v>
      </c>
      <c r="E1178" s="116">
        <v>199.7</v>
      </c>
      <c r="F1178" s="116">
        <v>196.5</v>
      </c>
      <c r="G1178">
        <v>95122</v>
      </c>
      <c r="H1178" s="116"/>
      <c r="I1178" s="116"/>
      <c r="L1178" s="170">
        <v>43741</v>
      </c>
      <c r="M1178" s="116">
        <v>196.35</v>
      </c>
      <c r="N1178" s="116">
        <v>201.25</v>
      </c>
      <c r="O1178" s="116">
        <v>193.75</v>
      </c>
      <c r="P1178" s="116">
        <v>198.4</v>
      </c>
      <c r="Q1178" s="116">
        <v>196.35</v>
      </c>
      <c r="R1178">
        <v>2884359</v>
      </c>
    </row>
    <row r="1179" spans="1:18" x14ac:dyDescent="0.25">
      <c r="A1179" s="170">
        <v>43742</v>
      </c>
      <c r="B1179" s="116">
        <v>198.15</v>
      </c>
      <c r="C1179" s="116">
        <v>189.8</v>
      </c>
      <c r="D1179" s="116">
        <v>189.05</v>
      </c>
      <c r="E1179" s="116">
        <v>197.95</v>
      </c>
      <c r="F1179" s="116">
        <v>189.8</v>
      </c>
      <c r="G1179">
        <v>156941</v>
      </c>
      <c r="H1179" s="116"/>
      <c r="I1179" s="116"/>
      <c r="L1179" s="170">
        <v>43742</v>
      </c>
      <c r="M1179" s="116">
        <v>189.65</v>
      </c>
      <c r="N1179" s="116">
        <v>198.2</v>
      </c>
      <c r="O1179" s="116">
        <v>188.85</v>
      </c>
      <c r="P1179" s="116">
        <v>197.5</v>
      </c>
      <c r="Q1179" s="116">
        <v>189.65</v>
      </c>
      <c r="R1179">
        <v>2548653</v>
      </c>
    </row>
    <row r="1180" spans="1:18" x14ac:dyDescent="0.25">
      <c r="A1180" s="170">
        <v>43745</v>
      </c>
      <c r="B1180" s="116">
        <v>191.9</v>
      </c>
      <c r="C1180" s="116">
        <v>186</v>
      </c>
      <c r="D1180" s="116">
        <v>185.25</v>
      </c>
      <c r="E1180" s="116">
        <v>191.9</v>
      </c>
      <c r="F1180" s="116">
        <v>186</v>
      </c>
      <c r="G1180">
        <v>131327</v>
      </c>
      <c r="H1180" s="116"/>
      <c r="I1180" s="116"/>
      <c r="L1180" s="170">
        <v>43745</v>
      </c>
      <c r="M1180" s="116">
        <v>185.95</v>
      </c>
      <c r="N1180" s="116">
        <v>190.75</v>
      </c>
      <c r="O1180" s="116">
        <v>185.25</v>
      </c>
      <c r="P1180" s="116">
        <v>190.7</v>
      </c>
      <c r="Q1180" s="116">
        <v>185.95</v>
      </c>
      <c r="R1180">
        <v>2614126</v>
      </c>
    </row>
    <row r="1181" spans="1:18" x14ac:dyDescent="0.25">
      <c r="A1181" s="170">
        <v>43747</v>
      </c>
      <c r="B1181" s="116">
        <v>193.35</v>
      </c>
      <c r="C1181" s="116">
        <v>192.35</v>
      </c>
      <c r="D1181" s="116">
        <v>184.15</v>
      </c>
      <c r="E1181" s="116">
        <v>185</v>
      </c>
      <c r="F1181" s="116">
        <v>192.35</v>
      </c>
      <c r="G1181">
        <v>151162</v>
      </c>
      <c r="H1181" s="116"/>
      <c r="I1181" s="116"/>
      <c r="L1181" s="170">
        <v>43747</v>
      </c>
      <c r="M1181" s="116">
        <v>192.35</v>
      </c>
      <c r="N1181" s="116">
        <v>193.35</v>
      </c>
      <c r="O1181" s="116">
        <v>184.1</v>
      </c>
      <c r="P1181" s="116">
        <v>185.5</v>
      </c>
      <c r="Q1181" s="116">
        <v>192.35</v>
      </c>
      <c r="R1181">
        <v>3360027</v>
      </c>
    </row>
    <row r="1182" spans="1:18" x14ac:dyDescent="0.25">
      <c r="A1182" s="170">
        <v>43748</v>
      </c>
      <c r="B1182" s="116">
        <v>191.4</v>
      </c>
      <c r="C1182" s="116">
        <v>187.95</v>
      </c>
      <c r="D1182" s="116">
        <v>186.95</v>
      </c>
      <c r="E1182" s="116">
        <v>191</v>
      </c>
      <c r="F1182" s="116">
        <v>187.95</v>
      </c>
      <c r="G1182">
        <v>62251</v>
      </c>
      <c r="H1182" s="116"/>
      <c r="I1182" s="116"/>
      <c r="L1182" s="170">
        <v>43748</v>
      </c>
      <c r="M1182" s="116">
        <v>188</v>
      </c>
      <c r="N1182" s="116">
        <v>191.7</v>
      </c>
      <c r="O1182" s="116">
        <v>186.85</v>
      </c>
      <c r="P1182" s="116">
        <v>191.3</v>
      </c>
      <c r="Q1182" s="116">
        <v>188</v>
      </c>
      <c r="R1182">
        <v>1878899</v>
      </c>
    </row>
    <row r="1183" spans="1:18" x14ac:dyDescent="0.25">
      <c r="A1183" s="170">
        <v>43749</v>
      </c>
      <c r="B1183" s="116">
        <v>190.9</v>
      </c>
      <c r="C1183" s="116">
        <v>189.15</v>
      </c>
      <c r="D1183" s="116">
        <v>186.9</v>
      </c>
      <c r="E1183" s="116">
        <v>189.6</v>
      </c>
      <c r="F1183" s="116">
        <v>189.15</v>
      </c>
      <c r="G1183">
        <v>77882</v>
      </c>
      <c r="H1183" s="116"/>
      <c r="I1183" s="116"/>
      <c r="L1183" s="170">
        <v>43749</v>
      </c>
      <c r="M1183" s="116">
        <v>189.2</v>
      </c>
      <c r="N1183" s="116">
        <v>190.75</v>
      </c>
      <c r="O1183" s="116">
        <v>186.85</v>
      </c>
      <c r="P1183" s="116">
        <v>189.15</v>
      </c>
      <c r="Q1183" s="116">
        <v>189.2</v>
      </c>
      <c r="R1183">
        <v>2290001</v>
      </c>
    </row>
    <row r="1184" spans="1:18" x14ac:dyDescent="0.25">
      <c r="A1184" s="170">
        <v>43752</v>
      </c>
      <c r="B1184" s="116">
        <v>195.25</v>
      </c>
      <c r="C1184" s="116">
        <v>194.05</v>
      </c>
      <c r="D1184" s="116">
        <v>189</v>
      </c>
      <c r="E1184" s="116">
        <v>190</v>
      </c>
      <c r="F1184" s="116">
        <v>194.05</v>
      </c>
      <c r="G1184">
        <v>94545</v>
      </c>
      <c r="H1184" s="116"/>
      <c r="I1184" s="116"/>
      <c r="L1184" s="170">
        <v>43752</v>
      </c>
      <c r="M1184" s="116">
        <v>194.05</v>
      </c>
      <c r="N1184" s="116">
        <v>195.3</v>
      </c>
      <c r="O1184" s="116">
        <v>188.75</v>
      </c>
      <c r="P1184" s="116">
        <v>189.85</v>
      </c>
      <c r="Q1184" s="116">
        <v>194.05</v>
      </c>
      <c r="R1184">
        <v>2856315</v>
      </c>
    </row>
    <row r="1185" spans="1:18" x14ac:dyDescent="0.25">
      <c r="A1185" s="170">
        <v>43753</v>
      </c>
      <c r="B1185" s="116">
        <v>198.5</v>
      </c>
      <c r="C1185" s="116">
        <v>196.85</v>
      </c>
      <c r="D1185" s="116">
        <v>194.15</v>
      </c>
      <c r="E1185" s="116">
        <v>194.2</v>
      </c>
      <c r="F1185" s="116">
        <v>196.85</v>
      </c>
      <c r="G1185">
        <v>109621</v>
      </c>
      <c r="H1185" s="116"/>
      <c r="I1185" s="116"/>
      <c r="L1185" s="170">
        <v>43753</v>
      </c>
      <c r="M1185" s="116">
        <v>196.95</v>
      </c>
      <c r="N1185" s="116">
        <v>198.5</v>
      </c>
      <c r="O1185" s="116">
        <v>194</v>
      </c>
      <c r="P1185" s="116">
        <v>194.9</v>
      </c>
      <c r="Q1185" s="116">
        <v>196.95</v>
      </c>
      <c r="R1185">
        <v>2661814</v>
      </c>
    </row>
    <row r="1186" spans="1:18" x14ac:dyDescent="0.25">
      <c r="A1186" s="170">
        <v>43754</v>
      </c>
      <c r="B1186" s="116">
        <v>203.05</v>
      </c>
      <c r="C1186" s="116">
        <v>202.6</v>
      </c>
      <c r="D1186" s="116">
        <v>198.9</v>
      </c>
      <c r="E1186" s="116">
        <v>199.1</v>
      </c>
      <c r="F1186" s="116">
        <v>202.6</v>
      </c>
      <c r="G1186">
        <v>384510</v>
      </c>
      <c r="H1186" s="116"/>
      <c r="I1186" s="116"/>
      <c r="L1186" s="170">
        <v>43754</v>
      </c>
      <c r="M1186" s="116">
        <v>202.7</v>
      </c>
      <c r="N1186" s="116">
        <v>203.1</v>
      </c>
      <c r="O1186" s="116">
        <v>198.7</v>
      </c>
      <c r="P1186" s="116">
        <v>199.2</v>
      </c>
      <c r="Q1186" s="116">
        <v>202.7</v>
      </c>
      <c r="R1186">
        <v>3790120</v>
      </c>
    </row>
    <row r="1187" spans="1:18" x14ac:dyDescent="0.25">
      <c r="A1187" s="170">
        <v>43755</v>
      </c>
      <c r="B1187" s="116">
        <v>208</v>
      </c>
      <c r="C1187" s="116">
        <v>206.8</v>
      </c>
      <c r="D1187" s="116">
        <v>202.05</v>
      </c>
      <c r="E1187" s="116">
        <v>203</v>
      </c>
      <c r="F1187" s="116">
        <v>206.8</v>
      </c>
      <c r="G1187">
        <v>116413</v>
      </c>
      <c r="H1187" s="116"/>
      <c r="I1187" s="116"/>
      <c r="L1187" s="170">
        <v>43755</v>
      </c>
      <c r="M1187" s="116">
        <v>206.9</v>
      </c>
      <c r="N1187" s="116">
        <v>208.2</v>
      </c>
      <c r="O1187" s="116">
        <v>202.05</v>
      </c>
      <c r="P1187" s="116">
        <v>203</v>
      </c>
      <c r="Q1187" s="116">
        <v>206.9</v>
      </c>
      <c r="R1187">
        <v>3304474</v>
      </c>
    </row>
    <row r="1188" spans="1:18" x14ac:dyDescent="0.25">
      <c r="A1188" s="170">
        <v>43756</v>
      </c>
      <c r="B1188" s="116">
        <v>209.8</v>
      </c>
      <c r="C1188" s="116">
        <v>207.65</v>
      </c>
      <c r="D1188" s="116">
        <v>206.35</v>
      </c>
      <c r="E1188" s="116">
        <v>207.25</v>
      </c>
      <c r="F1188" s="116">
        <v>207.65</v>
      </c>
      <c r="G1188">
        <v>151220</v>
      </c>
      <c r="H1188" s="116"/>
      <c r="I1188" s="116"/>
      <c r="L1188" s="170">
        <v>43756</v>
      </c>
      <c r="M1188" s="116">
        <v>207.65</v>
      </c>
      <c r="N1188" s="116">
        <v>209.8</v>
      </c>
      <c r="O1188" s="116">
        <v>206.2</v>
      </c>
      <c r="P1188" s="116">
        <v>208.05</v>
      </c>
      <c r="Q1188" s="116">
        <v>207.65</v>
      </c>
      <c r="R1188">
        <v>3446793</v>
      </c>
    </row>
    <row r="1189" spans="1:18" x14ac:dyDescent="0.25">
      <c r="A1189" s="170">
        <v>43760</v>
      </c>
      <c r="B1189" s="116">
        <v>206</v>
      </c>
      <c r="C1189" s="116">
        <v>195.8</v>
      </c>
      <c r="D1189" s="116">
        <v>192.65</v>
      </c>
      <c r="E1189" s="116">
        <v>206</v>
      </c>
      <c r="F1189" s="116">
        <v>195.8</v>
      </c>
      <c r="G1189">
        <v>659243</v>
      </c>
      <c r="H1189" s="116"/>
      <c r="I1189" s="116"/>
      <c r="L1189" s="170">
        <v>43760</v>
      </c>
      <c r="M1189" s="116">
        <v>195.9</v>
      </c>
      <c r="N1189" s="116">
        <v>205.4</v>
      </c>
      <c r="O1189" s="116">
        <v>192.5</v>
      </c>
      <c r="P1189" s="116">
        <v>205</v>
      </c>
      <c r="Q1189" s="116">
        <v>195.9</v>
      </c>
      <c r="R1189">
        <v>9355044</v>
      </c>
    </row>
    <row r="1190" spans="1:18" x14ac:dyDescent="0.25">
      <c r="A1190" s="170">
        <v>43761</v>
      </c>
      <c r="B1190" s="116">
        <v>197.95</v>
      </c>
      <c r="C1190" s="116">
        <v>196.8</v>
      </c>
      <c r="D1190" s="116">
        <v>193.25</v>
      </c>
      <c r="E1190" s="116">
        <v>197.95</v>
      </c>
      <c r="F1190" s="116">
        <v>196.8</v>
      </c>
      <c r="G1190">
        <v>453880</v>
      </c>
      <c r="H1190" s="116"/>
      <c r="I1190" s="116"/>
      <c r="L1190" s="170">
        <v>43761</v>
      </c>
      <c r="M1190" s="116">
        <v>196.8</v>
      </c>
      <c r="N1190" s="116">
        <v>197.8</v>
      </c>
      <c r="O1190" s="116">
        <v>193.1</v>
      </c>
      <c r="P1190" s="116">
        <v>196</v>
      </c>
      <c r="Q1190" s="116">
        <v>196.8</v>
      </c>
      <c r="R1190">
        <v>2890392</v>
      </c>
    </row>
    <row r="1191" spans="1:18" x14ac:dyDescent="0.25">
      <c r="A1191" s="170">
        <v>43762</v>
      </c>
      <c r="B1191" s="116">
        <v>199.05</v>
      </c>
      <c r="C1191" s="116">
        <v>197.85</v>
      </c>
      <c r="D1191" s="116">
        <v>194.5</v>
      </c>
      <c r="E1191" s="116">
        <v>198.45</v>
      </c>
      <c r="F1191" s="116">
        <v>197.85</v>
      </c>
      <c r="G1191">
        <v>155763</v>
      </c>
      <c r="H1191" s="116"/>
      <c r="I1191" s="116"/>
      <c r="L1191" s="170">
        <v>43762</v>
      </c>
      <c r="M1191" s="116">
        <v>197.65</v>
      </c>
      <c r="N1191" s="116">
        <v>199.45</v>
      </c>
      <c r="O1191" s="116">
        <v>194.5</v>
      </c>
      <c r="P1191" s="116">
        <v>198</v>
      </c>
      <c r="Q1191" s="116">
        <v>197.65</v>
      </c>
      <c r="R1191">
        <v>3930744</v>
      </c>
    </row>
    <row r="1192" spans="1:18" x14ac:dyDescent="0.25">
      <c r="A1192" s="170">
        <v>43763</v>
      </c>
      <c r="B1192" s="116">
        <v>199.05</v>
      </c>
      <c r="C1192" s="116">
        <v>197.35</v>
      </c>
      <c r="D1192" s="116">
        <v>195.35</v>
      </c>
      <c r="E1192" s="116">
        <v>198.85</v>
      </c>
      <c r="F1192" s="116">
        <v>197.35</v>
      </c>
      <c r="G1192">
        <v>112629</v>
      </c>
      <c r="H1192" s="116"/>
      <c r="I1192" s="116"/>
      <c r="L1192" s="170">
        <v>43763</v>
      </c>
      <c r="M1192" s="116">
        <v>197.45</v>
      </c>
      <c r="N1192" s="116">
        <v>199.1</v>
      </c>
      <c r="O1192" s="116">
        <v>195.3</v>
      </c>
      <c r="P1192" s="116">
        <v>198.2</v>
      </c>
      <c r="Q1192" s="116">
        <v>197.45</v>
      </c>
      <c r="R1192">
        <v>2875494</v>
      </c>
    </row>
    <row r="1193" spans="1:18" x14ac:dyDescent="0.25">
      <c r="A1193" s="170">
        <v>43765</v>
      </c>
      <c r="B1193" s="116">
        <v>199</v>
      </c>
      <c r="C1193" s="116">
        <v>197.7</v>
      </c>
      <c r="D1193" s="116">
        <v>193.4</v>
      </c>
      <c r="E1193" s="116">
        <v>199</v>
      </c>
      <c r="F1193" s="116">
        <v>197.7</v>
      </c>
      <c r="G1193">
        <v>11462</v>
      </c>
      <c r="H1193" s="116"/>
      <c r="I1193" s="116"/>
      <c r="L1193" s="170">
        <v>43765</v>
      </c>
      <c r="M1193" s="116">
        <v>197.55</v>
      </c>
      <c r="N1193" s="116">
        <v>198.9</v>
      </c>
      <c r="O1193" s="116">
        <v>197</v>
      </c>
      <c r="P1193" s="116">
        <v>197.65</v>
      </c>
      <c r="Q1193" s="116">
        <v>197.55</v>
      </c>
      <c r="R1193">
        <v>178702</v>
      </c>
    </row>
    <row r="1194" spans="1:18" x14ac:dyDescent="0.25">
      <c r="A1194" s="170">
        <v>43767</v>
      </c>
      <c r="B1194" s="116">
        <v>200</v>
      </c>
      <c r="C1194" s="116">
        <v>199.15</v>
      </c>
      <c r="D1194" s="116">
        <v>197.05</v>
      </c>
      <c r="E1194" s="116">
        <v>197.7</v>
      </c>
      <c r="F1194" s="116">
        <v>199.15</v>
      </c>
      <c r="G1194">
        <v>54443</v>
      </c>
      <c r="H1194" s="116"/>
      <c r="I1194" s="116"/>
      <c r="L1194" s="170">
        <v>43767</v>
      </c>
      <c r="M1194" s="116">
        <v>199.2</v>
      </c>
      <c r="N1194" s="116">
        <v>200</v>
      </c>
      <c r="O1194" s="116">
        <v>196.9</v>
      </c>
      <c r="P1194" s="116">
        <v>197.9</v>
      </c>
      <c r="Q1194" s="116">
        <v>199.2</v>
      </c>
      <c r="R1194">
        <v>2409517</v>
      </c>
    </row>
    <row r="1195" spans="1:18" x14ac:dyDescent="0.25">
      <c r="A1195" s="170">
        <v>43768</v>
      </c>
      <c r="B1195" s="116">
        <v>203.55</v>
      </c>
      <c r="C1195" s="116">
        <v>200.7</v>
      </c>
      <c r="D1195" s="116">
        <v>199.8</v>
      </c>
      <c r="E1195" s="116">
        <v>200</v>
      </c>
      <c r="F1195" s="116">
        <v>200.7</v>
      </c>
      <c r="G1195">
        <v>82959</v>
      </c>
      <c r="H1195" s="116"/>
      <c r="I1195" s="116"/>
      <c r="L1195" s="170">
        <v>43768</v>
      </c>
      <c r="M1195" s="116">
        <v>200.6</v>
      </c>
      <c r="N1195" s="116">
        <v>203.7</v>
      </c>
      <c r="O1195" s="116">
        <v>199.65</v>
      </c>
      <c r="P1195" s="116">
        <v>199.8</v>
      </c>
      <c r="Q1195" s="116">
        <v>200.6</v>
      </c>
      <c r="R1195">
        <v>2471767</v>
      </c>
    </row>
    <row r="1196" spans="1:18" x14ac:dyDescent="0.25">
      <c r="A1196" s="170">
        <v>43769</v>
      </c>
      <c r="B1196" s="116">
        <v>203.85</v>
      </c>
      <c r="C1196" s="116">
        <v>202.25</v>
      </c>
      <c r="D1196" s="116">
        <v>199.35</v>
      </c>
      <c r="E1196" s="116">
        <v>203.85</v>
      </c>
      <c r="F1196" s="116">
        <v>202.25</v>
      </c>
      <c r="G1196">
        <v>59074</v>
      </c>
      <c r="H1196" s="116"/>
      <c r="I1196" s="116"/>
      <c r="L1196" s="170">
        <v>43769</v>
      </c>
      <c r="M1196" s="116">
        <v>202.3</v>
      </c>
      <c r="N1196" s="116">
        <v>203</v>
      </c>
      <c r="O1196" s="116">
        <v>199.2</v>
      </c>
      <c r="P1196" s="116">
        <v>202</v>
      </c>
      <c r="Q1196" s="116">
        <v>202.3</v>
      </c>
      <c r="R1196">
        <v>2177954</v>
      </c>
    </row>
    <row r="1197" spans="1:18" x14ac:dyDescent="0.25">
      <c r="A1197" s="170">
        <v>43770</v>
      </c>
      <c r="B1197" s="116">
        <v>204</v>
      </c>
      <c r="C1197" s="116">
        <v>201.7</v>
      </c>
      <c r="D1197" s="116">
        <v>199.85</v>
      </c>
      <c r="E1197" s="116">
        <v>203.25</v>
      </c>
      <c r="F1197" s="116">
        <v>201.7</v>
      </c>
      <c r="G1197">
        <v>90812</v>
      </c>
      <c r="H1197" s="116"/>
      <c r="I1197" s="116"/>
      <c r="L1197" s="170">
        <v>43770</v>
      </c>
      <c r="M1197" s="116">
        <v>201.6</v>
      </c>
      <c r="N1197" s="116">
        <v>204</v>
      </c>
      <c r="O1197" s="116">
        <v>199.8</v>
      </c>
      <c r="P1197" s="116">
        <v>203</v>
      </c>
      <c r="Q1197" s="116">
        <v>201.6</v>
      </c>
      <c r="R1197">
        <v>2770430</v>
      </c>
    </row>
    <row r="1198" spans="1:18" x14ac:dyDescent="0.25">
      <c r="A1198" s="170">
        <v>43773</v>
      </c>
      <c r="B1198" s="116">
        <v>206.75</v>
      </c>
      <c r="C1198" s="116">
        <v>203.1</v>
      </c>
      <c r="D1198" s="116">
        <v>202.6</v>
      </c>
      <c r="E1198" s="116">
        <v>203</v>
      </c>
      <c r="F1198" s="116">
        <v>203.1</v>
      </c>
      <c r="G1198">
        <v>92770</v>
      </c>
      <c r="H1198" s="116"/>
      <c r="I1198" s="116"/>
      <c r="L1198" s="170">
        <v>43773</v>
      </c>
      <c r="M1198" s="116">
        <v>203.35</v>
      </c>
      <c r="N1198" s="116">
        <v>206.7</v>
      </c>
      <c r="O1198" s="116">
        <v>202.15</v>
      </c>
      <c r="P1198" s="116">
        <v>203</v>
      </c>
      <c r="Q1198" s="116">
        <v>203.35</v>
      </c>
      <c r="R1198">
        <v>4243318</v>
      </c>
    </row>
    <row r="1199" spans="1:18" x14ac:dyDescent="0.25">
      <c r="A1199" s="170">
        <v>43774</v>
      </c>
      <c r="B1199" s="116">
        <v>205</v>
      </c>
      <c r="C1199" s="116">
        <v>201.6</v>
      </c>
      <c r="D1199" s="116">
        <v>200.65</v>
      </c>
      <c r="E1199" s="116">
        <v>205</v>
      </c>
      <c r="F1199" s="116">
        <v>201.6</v>
      </c>
      <c r="G1199">
        <v>68660</v>
      </c>
      <c r="H1199" s="116"/>
      <c r="I1199" s="116"/>
      <c r="L1199" s="170">
        <v>43774</v>
      </c>
      <c r="M1199" s="116">
        <v>201.55</v>
      </c>
      <c r="N1199" s="116">
        <v>204.35</v>
      </c>
      <c r="O1199" s="116">
        <v>200.5</v>
      </c>
      <c r="P1199" s="116">
        <v>203.85</v>
      </c>
      <c r="Q1199" s="116">
        <v>201.55</v>
      </c>
      <c r="R1199">
        <v>2190913</v>
      </c>
    </row>
    <row r="1200" spans="1:18" x14ac:dyDescent="0.25">
      <c r="A1200" s="170">
        <v>43775</v>
      </c>
      <c r="B1200" s="116">
        <v>203.5</v>
      </c>
      <c r="C1200" s="116">
        <v>202.05</v>
      </c>
      <c r="D1200" s="116">
        <v>198.75</v>
      </c>
      <c r="E1200" s="116">
        <v>201.3</v>
      </c>
      <c r="F1200" s="116">
        <v>202.05</v>
      </c>
      <c r="G1200">
        <v>63718</v>
      </c>
      <c r="H1200" s="116"/>
      <c r="I1200" s="116"/>
      <c r="L1200" s="170">
        <v>43775</v>
      </c>
      <c r="M1200" s="116">
        <v>202.25</v>
      </c>
      <c r="N1200" s="116">
        <v>203.75</v>
      </c>
      <c r="O1200" s="116">
        <v>199.9</v>
      </c>
      <c r="P1200" s="116">
        <v>201.95</v>
      </c>
      <c r="Q1200" s="116">
        <v>202.25</v>
      </c>
      <c r="R1200">
        <v>1636076</v>
      </c>
    </row>
    <row r="1201" spans="1:18" x14ac:dyDescent="0.25">
      <c r="A1201" s="170">
        <v>43776</v>
      </c>
      <c r="B1201" s="116">
        <v>205.85</v>
      </c>
      <c r="C1201" s="116">
        <v>203.1</v>
      </c>
      <c r="D1201" s="116">
        <v>199.4</v>
      </c>
      <c r="E1201" s="116">
        <v>205.85</v>
      </c>
      <c r="F1201" s="116">
        <v>203.1</v>
      </c>
      <c r="G1201">
        <v>77432</v>
      </c>
      <c r="H1201" s="116"/>
      <c r="I1201" s="116"/>
      <c r="L1201" s="170">
        <v>43776</v>
      </c>
      <c r="M1201" s="116">
        <v>203.2</v>
      </c>
      <c r="N1201" s="116">
        <v>205</v>
      </c>
      <c r="O1201" s="116">
        <v>201.75</v>
      </c>
      <c r="P1201" s="116">
        <v>203.5</v>
      </c>
      <c r="Q1201" s="116">
        <v>203.2</v>
      </c>
      <c r="R1201">
        <v>2560585</v>
      </c>
    </row>
    <row r="1202" spans="1:18" x14ac:dyDescent="0.25">
      <c r="A1202" s="170">
        <v>43777</v>
      </c>
      <c r="B1202" s="116">
        <v>204.85</v>
      </c>
      <c r="C1202" s="116">
        <v>202.05</v>
      </c>
      <c r="D1202" s="116">
        <v>200.1</v>
      </c>
      <c r="E1202" s="116">
        <v>203.15</v>
      </c>
      <c r="F1202" s="116">
        <v>202.05</v>
      </c>
      <c r="G1202">
        <v>69833</v>
      </c>
      <c r="H1202" s="116"/>
      <c r="I1202" s="116"/>
      <c r="L1202" s="170">
        <v>43777</v>
      </c>
      <c r="M1202" s="116">
        <v>202.25</v>
      </c>
      <c r="N1202" s="116">
        <v>204.9</v>
      </c>
      <c r="O1202" s="116">
        <v>200</v>
      </c>
      <c r="P1202" s="116">
        <v>203.2</v>
      </c>
      <c r="Q1202" s="116">
        <v>202.25</v>
      </c>
      <c r="R1202">
        <v>2181870</v>
      </c>
    </row>
    <row r="1203" spans="1:18" x14ac:dyDescent="0.25">
      <c r="A1203" s="170">
        <v>43780</v>
      </c>
      <c r="B1203" s="116">
        <v>202.05</v>
      </c>
      <c r="C1203" s="116">
        <v>200.25</v>
      </c>
      <c r="D1203" s="116">
        <v>199</v>
      </c>
      <c r="E1203" s="116">
        <v>202.05</v>
      </c>
      <c r="F1203" s="116">
        <v>200.25</v>
      </c>
      <c r="G1203">
        <v>32221</v>
      </c>
      <c r="H1203" s="116"/>
      <c r="I1203" s="116"/>
      <c r="L1203" s="170">
        <v>43780</v>
      </c>
      <c r="M1203" s="116">
        <v>200.15</v>
      </c>
      <c r="N1203" s="116">
        <v>201.95</v>
      </c>
      <c r="O1203" s="116">
        <v>198.75</v>
      </c>
      <c r="P1203" s="116">
        <v>200</v>
      </c>
      <c r="Q1203" s="116">
        <v>200.15</v>
      </c>
      <c r="R1203">
        <v>1436622</v>
      </c>
    </row>
    <row r="1204" spans="1:18" x14ac:dyDescent="0.25">
      <c r="A1204" s="170">
        <v>43782</v>
      </c>
      <c r="B1204" s="116">
        <v>202.05</v>
      </c>
      <c r="C1204" s="116">
        <v>195.15</v>
      </c>
      <c r="D1204" s="116">
        <v>194.9</v>
      </c>
      <c r="E1204" s="116">
        <v>202</v>
      </c>
      <c r="F1204" s="116">
        <v>195.15</v>
      </c>
      <c r="G1204">
        <v>41217</v>
      </c>
      <c r="H1204" s="116"/>
      <c r="I1204" s="116"/>
      <c r="L1204" s="170">
        <v>43782</v>
      </c>
      <c r="M1204" s="116">
        <v>195.25</v>
      </c>
      <c r="N1204" s="116">
        <v>202.2</v>
      </c>
      <c r="O1204" s="116">
        <v>194.55</v>
      </c>
      <c r="P1204" s="116">
        <v>200.15</v>
      </c>
      <c r="Q1204" s="116">
        <v>195.25</v>
      </c>
      <c r="R1204">
        <v>2726347</v>
      </c>
    </row>
    <row r="1205" spans="1:18" x14ac:dyDescent="0.25">
      <c r="A1205" s="170">
        <v>43783</v>
      </c>
      <c r="B1205" s="116">
        <v>200.85</v>
      </c>
      <c r="C1205" s="116">
        <v>200.6</v>
      </c>
      <c r="D1205" s="116">
        <v>193.1</v>
      </c>
      <c r="E1205" s="116">
        <v>196.2</v>
      </c>
      <c r="F1205" s="116">
        <v>200.6</v>
      </c>
      <c r="G1205">
        <v>89432</v>
      </c>
      <c r="H1205" s="116"/>
      <c r="I1205" s="116"/>
      <c r="L1205" s="170">
        <v>43783</v>
      </c>
      <c r="M1205" s="116">
        <v>200.55</v>
      </c>
      <c r="N1205" s="116">
        <v>201</v>
      </c>
      <c r="O1205" s="116">
        <v>193</v>
      </c>
      <c r="P1205" s="116">
        <v>195.1</v>
      </c>
      <c r="Q1205" s="116">
        <v>200.55</v>
      </c>
      <c r="R1205">
        <v>4639427</v>
      </c>
    </row>
    <row r="1206" spans="1:18" x14ac:dyDescent="0.25">
      <c r="A1206" s="170">
        <v>43784</v>
      </c>
      <c r="B1206" s="116">
        <v>202.3</v>
      </c>
      <c r="C1206" s="116">
        <v>201.05</v>
      </c>
      <c r="D1206" s="116">
        <v>199</v>
      </c>
      <c r="E1206" s="116">
        <v>200.95</v>
      </c>
      <c r="F1206" s="116">
        <v>201.05</v>
      </c>
      <c r="G1206">
        <v>70437</v>
      </c>
      <c r="H1206" s="116"/>
      <c r="I1206" s="116"/>
      <c r="L1206" s="170">
        <v>43784</v>
      </c>
      <c r="M1206" s="116">
        <v>201</v>
      </c>
      <c r="N1206" s="116">
        <v>202.25</v>
      </c>
      <c r="O1206" s="116">
        <v>199</v>
      </c>
      <c r="P1206" s="116">
        <v>200.3</v>
      </c>
      <c r="Q1206" s="116">
        <v>201</v>
      </c>
      <c r="R1206">
        <v>2190854</v>
      </c>
    </row>
    <row r="1207" spans="1:18" x14ac:dyDescent="0.25">
      <c r="A1207" s="170">
        <v>43787</v>
      </c>
      <c r="B1207" s="116">
        <v>204.2</v>
      </c>
      <c r="C1207" s="116">
        <v>201.2</v>
      </c>
      <c r="D1207" s="116">
        <v>200.35</v>
      </c>
      <c r="E1207" s="116">
        <v>203.45</v>
      </c>
      <c r="F1207" s="116">
        <v>201.2</v>
      </c>
      <c r="G1207">
        <v>59489</v>
      </c>
      <c r="H1207" s="116"/>
      <c r="I1207" s="116"/>
      <c r="L1207" s="170">
        <v>43787</v>
      </c>
      <c r="M1207" s="116">
        <v>201.2</v>
      </c>
      <c r="N1207" s="116">
        <v>204.15</v>
      </c>
      <c r="O1207" s="116">
        <v>200.3</v>
      </c>
      <c r="P1207" s="116">
        <v>202</v>
      </c>
      <c r="Q1207" s="116">
        <v>201.2</v>
      </c>
      <c r="R1207">
        <v>1975524</v>
      </c>
    </row>
    <row r="1208" spans="1:18" x14ac:dyDescent="0.25">
      <c r="A1208" s="170">
        <v>43788</v>
      </c>
      <c r="B1208" s="116">
        <v>202.35</v>
      </c>
      <c r="C1208" s="116">
        <v>201.25</v>
      </c>
      <c r="D1208" s="116">
        <v>198.8</v>
      </c>
      <c r="E1208" s="116">
        <v>201.9</v>
      </c>
      <c r="F1208" s="116">
        <v>201.25</v>
      </c>
      <c r="G1208">
        <v>52621</v>
      </c>
      <c r="H1208" s="116"/>
      <c r="I1208" s="116"/>
      <c r="L1208" s="170">
        <v>43788</v>
      </c>
      <c r="M1208" s="116">
        <v>201.4</v>
      </c>
      <c r="N1208" s="116">
        <v>202.45</v>
      </c>
      <c r="O1208" s="116">
        <v>198.7</v>
      </c>
      <c r="P1208" s="116">
        <v>201.45</v>
      </c>
      <c r="Q1208" s="116">
        <v>201.4</v>
      </c>
      <c r="R1208">
        <v>2382060</v>
      </c>
    </row>
    <row r="1209" spans="1:18" x14ac:dyDescent="0.25">
      <c r="A1209" s="170">
        <v>43789</v>
      </c>
      <c r="B1209" s="116">
        <v>204.7</v>
      </c>
      <c r="C1209" s="116">
        <v>201.6</v>
      </c>
      <c r="D1209" s="116">
        <v>201.05</v>
      </c>
      <c r="E1209" s="116">
        <v>204.7</v>
      </c>
      <c r="F1209" s="116">
        <v>201.6</v>
      </c>
      <c r="G1209">
        <v>38053</v>
      </c>
      <c r="H1209" s="116"/>
      <c r="I1209" s="116"/>
      <c r="L1209" s="170">
        <v>43789</v>
      </c>
      <c r="M1209" s="116">
        <v>201.6</v>
      </c>
      <c r="N1209" s="116">
        <v>203</v>
      </c>
      <c r="O1209" s="116">
        <v>201</v>
      </c>
      <c r="P1209" s="116">
        <v>201.65</v>
      </c>
      <c r="Q1209" s="116">
        <v>201.6</v>
      </c>
      <c r="R1209">
        <v>1906946</v>
      </c>
    </row>
    <row r="1210" spans="1:18" x14ac:dyDescent="0.25">
      <c r="A1210" s="170">
        <v>43790</v>
      </c>
      <c r="B1210" s="116">
        <v>202</v>
      </c>
      <c r="C1210" s="116">
        <v>201</v>
      </c>
      <c r="D1210" s="116">
        <v>200.45</v>
      </c>
      <c r="E1210" s="116">
        <v>202</v>
      </c>
      <c r="F1210" s="116">
        <v>201</v>
      </c>
      <c r="G1210">
        <v>19854</v>
      </c>
      <c r="H1210" s="116"/>
      <c r="I1210" s="116"/>
      <c r="L1210" s="170">
        <v>43790</v>
      </c>
      <c r="M1210" s="116">
        <v>201.05</v>
      </c>
      <c r="N1210" s="116">
        <v>202.2</v>
      </c>
      <c r="O1210" s="116">
        <v>200.3</v>
      </c>
      <c r="P1210" s="116">
        <v>201.6</v>
      </c>
      <c r="Q1210" s="116">
        <v>201.05</v>
      </c>
      <c r="R1210">
        <v>1272618</v>
      </c>
    </row>
    <row r="1211" spans="1:18" x14ac:dyDescent="0.25">
      <c r="A1211" s="170">
        <v>43791</v>
      </c>
      <c r="B1211" s="116">
        <v>201.85</v>
      </c>
      <c r="C1211" s="116">
        <v>200.55</v>
      </c>
      <c r="D1211" s="116">
        <v>198.35</v>
      </c>
      <c r="E1211" s="116">
        <v>201</v>
      </c>
      <c r="F1211" s="116">
        <v>200.55</v>
      </c>
      <c r="G1211">
        <v>62478</v>
      </c>
      <c r="H1211" s="116"/>
      <c r="I1211" s="116"/>
      <c r="L1211" s="170">
        <v>43791</v>
      </c>
      <c r="M1211" s="116">
        <v>200.8</v>
      </c>
      <c r="N1211" s="116">
        <v>202.2</v>
      </c>
      <c r="O1211" s="116">
        <v>198.1</v>
      </c>
      <c r="P1211" s="116">
        <v>200.7</v>
      </c>
      <c r="Q1211" s="116">
        <v>200.8</v>
      </c>
      <c r="R1211">
        <v>4861070</v>
      </c>
    </row>
    <row r="1212" spans="1:18" x14ac:dyDescent="0.25">
      <c r="A1212" s="170">
        <v>43794</v>
      </c>
      <c r="B1212" s="116">
        <v>203</v>
      </c>
      <c r="C1212" s="116">
        <v>200.6</v>
      </c>
      <c r="D1212" s="116">
        <v>198.2</v>
      </c>
      <c r="E1212" s="116">
        <v>203</v>
      </c>
      <c r="F1212" s="116">
        <v>200.6</v>
      </c>
      <c r="G1212">
        <v>41575</v>
      </c>
      <c r="H1212" s="116"/>
      <c r="I1212" s="116"/>
      <c r="L1212" s="170">
        <v>43794</v>
      </c>
      <c r="M1212" s="116">
        <v>200.7</v>
      </c>
      <c r="N1212" s="116">
        <v>201.15</v>
      </c>
      <c r="O1212" s="116">
        <v>198</v>
      </c>
      <c r="P1212" s="116">
        <v>201</v>
      </c>
      <c r="Q1212" s="116">
        <v>200.7</v>
      </c>
      <c r="R1212">
        <v>1484115</v>
      </c>
    </row>
    <row r="1213" spans="1:18" x14ac:dyDescent="0.25">
      <c r="A1213" s="170">
        <v>43795</v>
      </c>
      <c r="B1213" s="116">
        <v>203.15</v>
      </c>
      <c r="C1213" s="116">
        <v>200.05</v>
      </c>
      <c r="D1213" s="116">
        <v>199.45</v>
      </c>
      <c r="E1213" s="116">
        <v>201</v>
      </c>
      <c r="F1213" s="116">
        <v>200.05</v>
      </c>
      <c r="G1213">
        <v>93137</v>
      </c>
      <c r="H1213" s="116"/>
      <c r="I1213" s="116"/>
      <c r="L1213" s="170">
        <v>43795</v>
      </c>
      <c r="M1213" s="116">
        <v>200.3</v>
      </c>
      <c r="N1213" s="116">
        <v>203</v>
      </c>
      <c r="O1213" s="116">
        <v>198.1</v>
      </c>
      <c r="P1213" s="116">
        <v>200.95</v>
      </c>
      <c r="Q1213" s="116">
        <v>200.3</v>
      </c>
      <c r="R1213">
        <v>3628754</v>
      </c>
    </row>
    <row r="1214" spans="1:18" x14ac:dyDescent="0.25">
      <c r="A1214" s="170">
        <v>43796</v>
      </c>
      <c r="B1214" s="116">
        <v>205.15</v>
      </c>
      <c r="C1214" s="116">
        <v>203.65</v>
      </c>
      <c r="D1214" s="116">
        <v>200.15</v>
      </c>
      <c r="E1214" s="116">
        <v>200.15</v>
      </c>
      <c r="F1214" s="116">
        <v>203.65</v>
      </c>
      <c r="G1214">
        <v>169254</v>
      </c>
      <c r="H1214" s="116"/>
      <c r="I1214" s="116"/>
      <c r="L1214" s="170">
        <v>43796</v>
      </c>
      <c r="M1214" s="116">
        <v>203.7</v>
      </c>
      <c r="N1214" s="116">
        <v>205.2</v>
      </c>
      <c r="O1214" s="116">
        <v>200.05</v>
      </c>
      <c r="P1214" s="116">
        <v>200.7</v>
      </c>
      <c r="Q1214" s="116">
        <v>203.7</v>
      </c>
      <c r="R1214">
        <v>2692917</v>
      </c>
    </row>
    <row r="1215" spans="1:18" x14ac:dyDescent="0.25">
      <c r="A1215" s="170">
        <v>43797</v>
      </c>
      <c r="B1215" s="116">
        <v>206.3</v>
      </c>
      <c r="C1215" s="116">
        <v>204.9</v>
      </c>
      <c r="D1215" s="116">
        <v>203.45</v>
      </c>
      <c r="E1215" s="116">
        <v>204.3</v>
      </c>
      <c r="F1215" s="116">
        <v>204.9</v>
      </c>
      <c r="G1215">
        <v>313721</v>
      </c>
      <c r="H1215" s="116"/>
      <c r="I1215" s="116"/>
      <c r="L1215" s="170">
        <v>43797</v>
      </c>
      <c r="M1215" s="116">
        <v>204.95</v>
      </c>
      <c r="N1215" s="116">
        <v>206.25</v>
      </c>
      <c r="O1215" s="116">
        <v>203.3</v>
      </c>
      <c r="P1215" s="116">
        <v>204.15</v>
      </c>
      <c r="Q1215" s="116">
        <v>204.95</v>
      </c>
      <c r="R1215">
        <v>3042069</v>
      </c>
    </row>
    <row r="1216" spans="1:18" x14ac:dyDescent="0.25">
      <c r="A1216" s="170">
        <v>43798</v>
      </c>
      <c r="B1216" s="116">
        <v>208.1</v>
      </c>
      <c r="C1216" s="116">
        <v>204.65</v>
      </c>
      <c r="D1216" s="116">
        <v>204</v>
      </c>
      <c r="E1216" s="116">
        <v>205.9</v>
      </c>
      <c r="F1216" s="116">
        <v>204.65</v>
      </c>
      <c r="G1216">
        <v>71933</v>
      </c>
      <c r="H1216" s="116"/>
      <c r="I1216" s="116"/>
      <c r="L1216" s="170">
        <v>43798</v>
      </c>
      <c r="M1216" s="116">
        <v>204.65</v>
      </c>
      <c r="N1216" s="116">
        <v>208.2</v>
      </c>
      <c r="O1216" s="116">
        <v>203.9</v>
      </c>
      <c r="P1216" s="116">
        <v>206</v>
      </c>
      <c r="Q1216" s="116">
        <v>204.65</v>
      </c>
      <c r="R1216">
        <v>2788327</v>
      </c>
    </row>
    <row r="1217" spans="1:18" x14ac:dyDescent="0.25">
      <c r="A1217" s="170">
        <v>43801</v>
      </c>
      <c r="B1217" s="116">
        <v>210.9</v>
      </c>
      <c r="C1217" s="116">
        <v>209.6</v>
      </c>
      <c r="D1217" s="116">
        <v>204.65</v>
      </c>
      <c r="E1217" s="116">
        <v>207.9</v>
      </c>
      <c r="F1217" s="116">
        <v>209.6</v>
      </c>
      <c r="G1217">
        <v>101006</v>
      </c>
      <c r="H1217" s="116"/>
      <c r="I1217" s="116"/>
      <c r="L1217" s="170">
        <v>43801</v>
      </c>
      <c r="M1217" s="116">
        <v>209.85</v>
      </c>
      <c r="N1217" s="116">
        <v>211</v>
      </c>
      <c r="O1217" s="116">
        <v>204.65</v>
      </c>
      <c r="P1217" s="116">
        <v>205.5</v>
      </c>
      <c r="Q1217" s="116">
        <v>209.85</v>
      </c>
      <c r="R1217">
        <v>3517119</v>
      </c>
    </row>
    <row r="1218" spans="1:18" x14ac:dyDescent="0.25">
      <c r="A1218" s="170">
        <v>43802</v>
      </c>
      <c r="B1218" s="116">
        <v>210.45</v>
      </c>
      <c r="C1218" s="116">
        <v>202.05</v>
      </c>
      <c r="D1218" s="116">
        <v>201.5</v>
      </c>
      <c r="E1218" s="116">
        <v>209.5</v>
      </c>
      <c r="F1218" s="116">
        <v>202.05</v>
      </c>
      <c r="G1218">
        <v>79459</v>
      </c>
      <c r="H1218" s="116"/>
      <c r="I1218" s="116"/>
      <c r="L1218" s="170">
        <v>43802</v>
      </c>
      <c r="M1218" s="116">
        <v>202.05</v>
      </c>
      <c r="N1218" s="116">
        <v>210.85</v>
      </c>
      <c r="O1218" s="116">
        <v>201.45</v>
      </c>
      <c r="P1218" s="116">
        <v>210.45</v>
      </c>
      <c r="Q1218" s="116">
        <v>202.05</v>
      </c>
      <c r="R1218">
        <v>3310100</v>
      </c>
    </row>
    <row r="1219" spans="1:18" x14ac:dyDescent="0.25">
      <c r="A1219" s="170">
        <v>43803</v>
      </c>
      <c r="B1219" s="116">
        <v>205.95</v>
      </c>
      <c r="C1219" s="116">
        <v>205.35</v>
      </c>
      <c r="D1219" s="116">
        <v>198.25</v>
      </c>
      <c r="E1219" s="116">
        <v>201.15</v>
      </c>
      <c r="F1219" s="116">
        <v>205.35</v>
      </c>
      <c r="G1219">
        <v>148540</v>
      </c>
      <c r="H1219" s="116"/>
      <c r="I1219" s="116"/>
      <c r="L1219" s="170">
        <v>43803</v>
      </c>
      <c r="M1219" s="116">
        <v>205.45</v>
      </c>
      <c r="N1219" s="116">
        <v>206</v>
      </c>
      <c r="O1219" s="116">
        <v>200.8</v>
      </c>
      <c r="P1219" s="116">
        <v>201.15</v>
      </c>
      <c r="Q1219" s="116">
        <v>205.45</v>
      </c>
      <c r="R1219">
        <v>4612402</v>
      </c>
    </row>
    <row r="1220" spans="1:18" x14ac:dyDescent="0.25">
      <c r="A1220" s="170">
        <v>43804</v>
      </c>
      <c r="B1220" s="116">
        <v>206.3</v>
      </c>
      <c r="C1220" s="116">
        <v>201.4</v>
      </c>
      <c r="D1220" s="116">
        <v>200.85</v>
      </c>
      <c r="E1220" s="116">
        <v>206.1</v>
      </c>
      <c r="F1220" s="116">
        <v>201.4</v>
      </c>
      <c r="G1220">
        <v>36591</v>
      </c>
      <c r="H1220" s="116"/>
      <c r="I1220" s="116"/>
      <c r="L1220" s="170">
        <v>43804</v>
      </c>
      <c r="M1220" s="116">
        <v>201.2</v>
      </c>
      <c r="N1220" s="116">
        <v>206.4</v>
      </c>
      <c r="O1220" s="116">
        <v>200.9</v>
      </c>
      <c r="P1220" s="116">
        <v>204.7</v>
      </c>
      <c r="Q1220" s="116">
        <v>201.2</v>
      </c>
      <c r="R1220">
        <v>2482546</v>
      </c>
    </row>
    <row r="1221" spans="1:18" x14ac:dyDescent="0.25">
      <c r="A1221" s="170">
        <v>43805</v>
      </c>
      <c r="B1221" s="116">
        <v>204</v>
      </c>
      <c r="C1221" s="116">
        <v>201</v>
      </c>
      <c r="D1221" s="116">
        <v>199.6</v>
      </c>
      <c r="E1221" s="116">
        <v>204</v>
      </c>
      <c r="F1221" s="116">
        <v>201</v>
      </c>
      <c r="G1221">
        <v>62107</v>
      </c>
      <c r="H1221" s="116"/>
      <c r="I1221" s="116"/>
      <c r="L1221" s="170">
        <v>43805</v>
      </c>
      <c r="M1221" s="116">
        <v>200.9</v>
      </c>
      <c r="N1221" s="116">
        <v>203</v>
      </c>
      <c r="O1221" s="116">
        <v>199.35</v>
      </c>
      <c r="P1221" s="116">
        <v>202.15</v>
      </c>
      <c r="Q1221" s="116">
        <v>200.9</v>
      </c>
      <c r="R1221">
        <v>1407240</v>
      </c>
    </row>
    <row r="1222" spans="1:18" x14ac:dyDescent="0.25">
      <c r="A1222" s="170">
        <v>43808</v>
      </c>
      <c r="B1222" s="116">
        <v>201.55</v>
      </c>
      <c r="C1222" s="116">
        <v>199.65</v>
      </c>
      <c r="D1222" s="116">
        <v>198.6</v>
      </c>
      <c r="E1222" s="116">
        <v>201.05</v>
      </c>
      <c r="F1222" s="116">
        <v>199.65</v>
      </c>
      <c r="G1222">
        <v>30994</v>
      </c>
      <c r="H1222" s="116"/>
      <c r="I1222" s="116"/>
      <c r="L1222" s="170">
        <v>43808</v>
      </c>
      <c r="M1222" s="116">
        <v>199.7</v>
      </c>
      <c r="N1222" s="116">
        <v>201.85</v>
      </c>
      <c r="O1222" s="116">
        <v>198.4</v>
      </c>
      <c r="P1222" s="116">
        <v>200.9</v>
      </c>
      <c r="Q1222" s="116">
        <v>199.7</v>
      </c>
      <c r="R1222">
        <v>1881525</v>
      </c>
    </row>
    <row r="1223" spans="1:18" x14ac:dyDescent="0.25">
      <c r="A1223" s="170">
        <v>43809</v>
      </c>
      <c r="B1223" s="116">
        <v>200.35</v>
      </c>
      <c r="C1223" s="116">
        <v>195.8</v>
      </c>
      <c r="D1223" s="116">
        <v>195.4</v>
      </c>
      <c r="E1223" s="116">
        <v>200.35</v>
      </c>
      <c r="F1223" s="116">
        <v>195.8</v>
      </c>
      <c r="G1223">
        <v>55116</v>
      </c>
      <c r="H1223" s="116"/>
      <c r="I1223" s="116"/>
      <c r="L1223" s="170">
        <v>43809</v>
      </c>
      <c r="M1223" s="116">
        <v>195.85</v>
      </c>
      <c r="N1223" s="116">
        <v>200.35</v>
      </c>
      <c r="O1223" s="116">
        <v>195.3</v>
      </c>
      <c r="P1223" s="116">
        <v>199.9</v>
      </c>
      <c r="Q1223" s="116">
        <v>195.85</v>
      </c>
      <c r="R1223">
        <v>1652751</v>
      </c>
    </row>
    <row r="1224" spans="1:18" x14ac:dyDescent="0.25">
      <c r="A1224" s="170">
        <v>43810</v>
      </c>
      <c r="B1224" s="116">
        <v>197</v>
      </c>
      <c r="C1224" s="116">
        <v>191.55</v>
      </c>
      <c r="D1224" s="116">
        <v>190.2</v>
      </c>
      <c r="E1224" s="116">
        <v>196.65</v>
      </c>
      <c r="F1224" s="116">
        <v>191.55</v>
      </c>
      <c r="G1224">
        <v>71681</v>
      </c>
      <c r="H1224" s="116"/>
      <c r="I1224" s="116"/>
      <c r="L1224" s="170">
        <v>43810</v>
      </c>
      <c r="M1224" s="116">
        <v>191.5</v>
      </c>
      <c r="N1224" s="116">
        <v>197.25</v>
      </c>
      <c r="O1224" s="116">
        <v>190.2</v>
      </c>
      <c r="P1224" s="116">
        <v>196.5</v>
      </c>
      <c r="Q1224" s="116">
        <v>191.5</v>
      </c>
      <c r="R1224">
        <v>4141191</v>
      </c>
    </row>
    <row r="1225" spans="1:18" x14ac:dyDescent="0.25">
      <c r="A1225" s="170">
        <v>43811</v>
      </c>
      <c r="B1225" s="116">
        <v>194.35</v>
      </c>
      <c r="C1225" s="116">
        <v>193.15</v>
      </c>
      <c r="D1225" s="116">
        <v>191.2</v>
      </c>
      <c r="E1225" s="116">
        <v>193</v>
      </c>
      <c r="F1225" s="116">
        <v>193.15</v>
      </c>
      <c r="G1225">
        <v>1101226</v>
      </c>
      <c r="H1225" s="116"/>
      <c r="I1225" s="116"/>
      <c r="L1225" s="170">
        <v>43811</v>
      </c>
      <c r="M1225" s="116">
        <v>193.25</v>
      </c>
      <c r="N1225" s="116">
        <v>194.35</v>
      </c>
      <c r="O1225" s="116">
        <v>191.05</v>
      </c>
      <c r="P1225" s="116">
        <v>192.5</v>
      </c>
      <c r="Q1225" s="116">
        <v>193.25</v>
      </c>
      <c r="R1225">
        <v>1583815</v>
      </c>
    </row>
    <row r="1226" spans="1:18" x14ac:dyDescent="0.25">
      <c r="A1226" s="170">
        <v>43812</v>
      </c>
      <c r="B1226" s="116">
        <v>199.3</v>
      </c>
      <c r="C1226" s="116">
        <v>197.8</v>
      </c>
      <c r="D1226" s="116">
        <v>193.5</v>
      </c>
      <c r="E1226" s="116">
        <v>193.5</v>
      </c>
      <c r="F1226" s="116">
        <v>197.8</v>
      </c>
      <c r="G1226">
        <v>108838</v>
      </c>
      <c r="H1226" s="116"/>
      <c r="I1226" s="116"/>
      <c r="L1226" s="170">
        <v>43812</v>
      </c>
      <c r="M1226" s="116">
        <v>197.9</v>
      </c>
      <c r="N1226" s="116">
        <v>199.35</v>
      </c>
      <c r="O1226" s="116">
        <v>193.65</v>
      </c>
      <c r="P1226" s="116">
        <v>194.2</v>
      </c>
      <c r="Q1226" s="116">
        <v>197.9</v>
      </c>
      <c r="R1226">
        <v>2466144</v>
      </c>
    </row>
    <row r="1227" spans="1:18" x14ac:dyDescent="0.25">
      <c r="A1227" s="170">
        <v>43815</v>
      </c>
      <c r="B1227" s="116">
        <v>198.9</v>
      </c>
      <c r="C1227" s="116">
        <v>194.65</v>
      </c>
      <c r="D1227" s="116">
        <v>193.85</v>
      </c>
      <c r="E1227" s="116">
        <v>198</v>
      </c>
      <c r="F1227" s="116">
        <v>194.65</v>
      </c>
      <c r="G1227">
        <v>116404</v>
      </c>
      <c r="H1227" s="116"/>
      <c r="I1227" s="116"/>
      <c r="L1227" s="170">
        <v>43815</v>
      </c>
      <c r="M1227" s="116">
        <v>194.45</v>
      </c>
      <c r="N1227" s="116">
        <v>199</v>
      </c>
      <c r="O1227" s="116">
        <v>193.8</v>
      </c>
      <c r="P1227" s="116">
        <v>197.5</v>
      </c>
      <c r="Q1227" s="116">
        <v>194.45</v>
      </c>
      <c r="R1227">
        <v>3104923</v>
      </c>
    </row>
    <row r="1228" spans="1:18" x14ac:dyDescent="0.25">
      <c r="A1228" s="170">
        <v>43816</v>
      </c>
      <c r="B1228" s="116">
        <v>199.25</v>
      </c>
      <c r="C1228" s="116">
        <v>198.5</v>
      </c>
      <c r="D1228" s="116">
        <v>194.4</v>
      </c>
      <c r="E1228" s="116">
        <v>194.5</v>
      </c>
      <c r="F1228" s="116">
        <v>198.5</v>
      </c>
      <c r="G1228">
        <v>75025</v>
      </c>
      <c r="H1228" s="116"/>
      <c r="I1228" s="116"/>
      <c r="L1228" s="170">
        <v>43816</v>
      </c>
      <c r="M1228" s="116">
        <v>198.55</v>
      </c>
      <c r="N1228" s="116">
        <v>199.2</v>
      </c>
      <c r="O1228" s="116">
        <v>194.2</v>
      </c>
      <c r="P1228" s="116">
        <v>195.25</v>
      </c>
      <c r="Q1228" s="116">
        <v>198.55</v>
      </c>
      <c r="R1228">
        <v>1508604</v>
      </c>
    </row>
    <row r="1229" spans="1:18" x14ac:dyDescent="0.25">
      <c r="A1229" s="170">
        <v>43817</v>
      </c>
      <c r="B1229" s="116">
        <v>199.75</v>
      </c>
      <c r="C1229" s="116">
        <v>196.7</v>
      </c>
      <c r="D1229" s="116">
        <v>194.25</v>
      </c>
      <c r="E1229" s="116">
        <v>198.95</v>
      </c>
      <c r="F1229" s="116">
        <v>196.7</v>
      </c>
      <c r="G1229">
        <v>54458</v>
      </c>
      <c r="H1229" s="116"/>
      <c r="I1229" s="116"/>
      <c r="L1229" s="170">
        <v>43817</v>
      </c>
      <c r="M1229" s="116">
        <v>196.55</v>
      </c>
      <c r="N1229" s="116">
        <v>199.8</v>
      </c>
      <c r="O1229" s="116">
        <v>194.2</v>
      </c>
      <c r="P1229" s="116">
        <v>198.6</v>
      </c>
      <c r="Q1229" s="116">
        <v>196.55</v>
      </c>
      <c r="R1229">
        <v>2341481</v>
      </c>
    </row>
    <row r="1230" spans="1:18" x14ac:dyDescent="0.25">
      <c r="A1230" s="170">
        <v>43818</v>
      </c>
      <c r="B1230" s="116">
        <v>198.2</v>
      </c>
      <c r="C1230" s="116">
        <v>196.9</v>
      </c>
      <c r="D1230" s="116">
        <v>195.9</v>
      </c>
      <c r="E1230" s="116">
        <v>196.7</v>
      </c>
      <c r="F1230" s="116">
        <v>196.9</v>
      </c>
      <c r="G1230">
        <v>27517</v>
      </c>
      <c r="H1230" s="116"/>
      <c r="I1230" s="116"/>
      <c r="L1230" s="170">
        <v>43818</v>
      </c>
      <c r="M1230" s="116">
        <v>197</v>
      </c>
      <c r="N1230" s="116">
        <v>198.25</v>
      </c>
      <c r="O1230" s="116">
        <v>195.65</v>
      </c>
      <c r="P1230" s="116">
        <v>196.5</v>
      </c>
      <c r="Q1230" s="116">
        <v>197</v>
      </c>
      <c r="R1230">
        <v>931812</v>
      </c>
    </row>
    <row r="1231" spans="1:18" x14ac:dyDescent="0.25">
      <c r="A1231" s="170">
        <v>43819</v>
      </c>
      <c r="B1231" s="116">
        <v>196.85</v>
      </c>
      <c r="C1231" s="116">
        <v>194.35</v>
      </c>
      <c r="D1231" s="116">
        <v>193.1</v>
      </c>
      <c r="E1231" s="116">
        <v>196.05</v>
      </c>
      <c r="F1231" s="116">
        <v>194.35</v>
      </c>
      <c r="G1231">
        <v>89075</v>
      </c>
      <c r="H1231" s="116"/>
      <c r="I1231" s="116"/>
      <c r="L1231" s="170">
        <v>43819</v>
      </c>
      <c r="M1231" s="116">
        <v>194.45</v>
      </c>
      <c r="N1231" s="116">
        <v>197</v>
      </c>
      <c r="O1231" s="116">
        <v>193.1</v>
      </c>
      <c r="P1231" s="116">
        <v>195.75</v>
      </c>
      <c r="Q1231" s="116">
        <v>194.45</v>
      </c>
      <c r="R1231">
        <v>5153265</v>
      </c>
    </row>
    <row r="1232" spans="1:18" x14ac:dyDescent="0.25">
      <c r="A1232" s="170">
        <v>43822</v>
      </c>
      <c r="B1232" s="116">
        <v>198.45</v>
      </c>
      <c r="C1232" s="116">
        <v>197.85</v>
      </c>
      <c r="D1232" s="116">
        <v>194.1</v>
      </c>
      <c r="E1232" s="116">
        <v>194.15</v>
      </c>
      <c r="F1232" s="116">
        <v>197.85</v>
      </c>
      <c r="G1232">
        <v>58939</v>
      </c>
      <c r="H1232" s="116"/>
      <c r="I1232" s="116"/>
      <c r="L1232" s="170">
        <v>43822</v>
      </c>
      <c r="M1232" s="116">
        <v>197.75</v>
      </c>
      <c r="N1232" s="116">
        <v>198.55</v>
      </c>
      <c r="O1232" s="116">
        <v>193.9</v>
      </c>
      <c r="P1232" s="116">
        <v>194</v>
      </c>
      <c r="Q1232" s="116">
        <v>197.75</v>
      </c>
      <c r="R1232">
        <v>2275861</v>
      </c>
    </row>
    <row r="1233" spans="1:18" x14ac:dyDescent="0.25">
      <c r="A1233" s="170">
        <v>43823</v>
      </c>
      <c r="B1233" s="116">
        <v>199.45</v>
      </c>
      <c r="C1233" s="116">
        <v>196.4</v>
      </c>
      <c r="D1233" s="116">
        <v>195.3</v>
      </c>
      <c r="E1233" s="116">
        <v>199.45</v>
      </c>
      <c r="F1233" s="116">
        <v>196.4</v>
      </c>
      <c r="G1233">
        <v>59030</v>
      </c>
      <c r="H1233" s="116"/>
      <c r="I1233" s="116"/>
      <c r="L1233" s="170">
        <v>43823</v>
      </c>
      <c r="M1233" s="116">
        <v>196.55</v>
      </c>
      <c r="N1233" s="116">
        <v>198.65</v>
      </c>
      <c r="O1233" s="116">
        <v>195.25</v>
      </c>
      <c r="P1233" s="116">
        <v>198</v>
      </c>
      <c r="Q1233" s="116">
        <v>196.55</v>
      </c>
      <c r="R1233">
        <v>938136</v>
      </c>
    </row>
    <row r="1234" spans="1:18" x14ac:dyDescent="0.25">
      <c r="A1234" s="170">
        <v>43825</v>
      </c>
      <c r="B1234" s="116">
        <v>197.35</v>
      </c>
      <c r="C1234" s="116">
        <v>194.1</v>
      </c>
      <c r="D1234" s="116">
        <v>193.8</v>
      </c>
      <c r="E1234" s="116">
        <v>195</v>
      </c>
      <c r="F1234" s="116">
        <v>194.1</v>
      </c>
      <c r="G1234">
        <v>34881</v>
      </c>
      <c r="H1234" s="116"/>
      <c r="I1234" s="116"/>
      <c r="L1234" s="170">
        <v>43825</v>
      </c>
      <c r="M1234" s="116">
        <v>194.1</v>
      </c>
      <c r="N1234" s="116">
        <v>197.45</v>
      </c>
      <c r="O1234" s="116">
        <v>193.6</v>
      </c>
      <c r="P1234" s="116">
        <v>196.6</v>
      </c>
      <c r="Q1234" s="116">
        <v>194.1</v>
      </c>
      <c r="R1234">
        <v>1119466</v>
      </c>
    </row>
    <row r="1235" spans="1:18" x14ac:dyDescent="0.25">
      <c r="A1235" s="170">
        <v>43826</v>
      </c>
      <c r="B1235" s="116">
        <v>195.7</v>
      </c>
      <c r="C1235" s="116">
        <v>194.85</v>
      </c>
      <c r="D1235" s="116">
        <v>194.1</v>
      </c>
      <c r="E1235" s="116">
        <v>195.15</v>
      </c>
      <c r="F1235" s="116">
        <v>194.85</v>
      </c>
      <c r="G1235">
        <v>43823</v>
      </c>
      <c r="H1235" s="116"/>
      <c r="I1235" s="116"/>
      <c r="L1235" s="170">
        <v>43826</v>
      </c>
      <c r="M1235" s="116">
        <v>194.9</v>
      </c>
      <c r="N1235" s="116">
        <v>195.85</v>
      </c>
      <c r="O1235" s="116">
        <v>194.15</v>
      </c>
      <c r="P1235" s="116">
        <v>195</v>
      </c>
      <c r="Q1235" s="116">
        <v>194.9</v>
      </c>
      <c r="R1235">
        <v>2876977</v>
      </c>
    </row>
    <row r="1236" spans="1:18" x14ac:dyDescent="0.25">
      <c r="A1236" s="170">
        <v>43829</v>
      </c>
      <c r="B1236" s="116">
        <v>197.4</v>
      </c>
      <c r="C1236" s="116">
        <v>195.55</v>
      </c>
      <c r="D1236" s="116">
        <v>193.6</v>
      </c>
      <c r="E1236" s="116">
        <v>195.3</v>
      </c>
      <c r="F1236" s="116">
        <v>195.55</v>
      </c>
      <c r="G1236">
        <v>54615</v>
      </c>
      <c r="H1236" s="116"/>
      <c r="I1236" s="116"/>
      <c r="L1236" s="170">
        <v>43829</v>
      </c>
      <c r="M1236" s="116">
        <v>195.65</v>
      </c>
      <c r="N1236" s="116">
        <v>197.4</v>
      </c>
      <c r="O1236" s="116">
        <v>193.5</v>
      </c>
      <c r="P1236" s="116">
        <v>194.7</v>
      </c>
      <c r="Q1236" s="116">
        <v>195.65</v>
      </c>
      <c r="R1236">
        <v>2510251</v>
      </c>
    </row>
    <row r="1237" spans="1:18" x14ac:dyDescent="0.25">
      <c r="A1237" s="170">
        <v>43830</v>
      </c>
      <c r="B1237" s="116">
        <v>198.3</v>
      </c>
      <c r="C1237" s="116">
        <v>196.3</v>
      </c>
      <c r="D1237" s="116">
        <v>194.9</v>
      </c>
      <c r="E1237" s="116">
        <v>195.5</v>
      </c>
      <c r="F1237" s="116">
        <v>196.3</v>
      </c>
      <c r="G1237">
        <v>482490</v>
      </c>
      <c r="H1237" s="116"/>
      <c r="I1237" s="116"/>
      <c r="L1237" s="170">
        <v>43830</v>
      </c>
      <c r="M1237" s="116">
        <v>196.25</v>
      </c>
      <c r="N1237" s="116">
        <v>198.25</v>
      </c>
      <c r="O1237" s="116">
        <v>194.65</v>
      </c>
      <c r="P1237" s="116">
        <v>195.7</v>
      </c>
      <c r="Q1237" s="116">
        <v>196.25</v>
      </c>
      <c r="R1237">
        <v>1972433</v>
      </c>
    </row>
    <row r="1238" spans="1:18" x14ac:dyDescent="0.25">
      <c r="A1238" s="170">
        <v>43831</v>
      </c>
      <c r="B1238" s="116">
        <v>197.7</v>
      </c>
      <c r="C1238" s="116">
        <v>196.85</v>
      </c>
      <c r="D1238" s="116">
        <v>196</v>
      </c>
      <c r="E1238" s="116">
        <v>197.4</v>
      </c>
      <c r="F1238" s="116">
        <v>196.85</v>
      </c>
      <c r="G1238">
        <v>71954</v>
      </c>
      <c r="H1238" s="116"/>
      <c r="I1238" s="116"/>
      <c r="L1238" s="170">
        <v>43831</v>
      </c>
      <c r="M1238" s="116">
        <v>197</v>
      </c>
      <c r="N1238" s="116">
        <v>197.75</v>
      </c>
      <c r="O1238" s="116">
        <v>195.8</v>
      </c>
      <c r="P1238" s="116">
        <v>197.2</v>
      </c>
      <c r="Q1238" s="116">
        <v>197</v>
      </c>
      <c r="R1238">
        <v>1459556</v>
      </c>
    </row>
    <row r="1239" spans="1:18" x14ac:dyDescent="0.25">
      <c r="A1239" s="170">
        <v>43832</v>
      </c>
      <c r="B1239" s="116">
        <v>206.5</v>
      </c>
      <c r="C1239" s="116">
        <v>205.4</v>
      </c>
      <c r="D1239" s="116">
        <v>197.3</v>
      </c>
      <c r="E1239" s="116">
        <v>197.3</v>
      </c>
      <c r="F1239" s="116">
        <v>205.4</v>
      </c>
      <c r="G1239">
        <v>451248</v>
      </c>
      <c r="H1239" s="116"/>
      <c r="I1239" s="116"/>
      <c r="L1239" s="170">
        <v>43832</v>
      </c>
      <c r="M1239" s="116">
        <v>205.35</v>
      </c>
      <c r="N1239" s="116">
        <v>206.4</v>
      </c>
      <c r="O1239" s="116">
        <v>197.2</v>
      </c>
      <c r="P1239" s="116">
        <v>197.35</v>
      </c>
      <c r="Q1239" s="116">
        <v>205.35</v>
      </c>
      <c r="R1239">
        <v>8633553</v>
      </c>
    </row>
    <row r="1240" spans="1:18" x14ac:dyDescent="0.25">
      <c r="A1240" s="170">
        <v>43833</v>
      </c>
      <c r="B1240" s="116">
        <v>205.6</v>
      </c>
      <c r="C1240" s="116">
        <v>203.4</v>
      </c>
      <c r="D1240" s="116">
        <v>202.45</v>
      </c>
      <c r="E1240" s="116">
        <v>205.5</v>
      </c>
      <c r="F1240" s="116">
        <v>203.4</v>
      </c>
      <c r="G1240">
        <v>69640</v>
      </c>
      <c r="H1240" s="116"/>
      <c r="I1240" s="116"/>
      <c r="L1240" s="170">
        <v>43833</v>
      </c>
      <c r="M1240" s="116">
        <v>203.4</v>
      </c>
      <c r="N1240" s="116">
        <v>205.8</v>
      </c>
      <c r="O1240" s="116">
        <v>202.25</v>
      </c>
      <c r="P1240" s="116">
        <v>204.95</v>
      </c>
      <c r="Q1240" s="116">
        <v>203.4</v>
      </c>
      <c r="R1240">
        <v>2007973</v>
      </c>
    </row>
    <row r="1241" spans="1:18" x14ac:dyDescent="0.25">
      <c r="A1241" s="170">
        <v>43836</v>
      </c>
      <c r="B1241" s="116">
        <v>202.15</v>
      </c>
      <c r="C1241" s="116">
        <v>196.85</v>
      </c>
      <c r="D1241" s="116">
        <v>196.35</v>
      </c>
      <c r="E1241" s="116">
        <v>201</v>
      </c>
      <c r="F1241" s="116">
        <v>196.85</v>
      </c>
      <c r="G1241">
        <v>82570</v>
      </c>
      <c r="H1241" s="116"/>
      <c r="I1241" s="116"/>
      <c r="L1241" s="170">
        <v>43836</v>
      </c>
      <c r="M1241" s="116">
        <v>196.9</v>
      </c>
      <c r="N1241" s="116">
        <v>202.85</v>
      </c>
      <c r="O1241" s="116">
        <v>196.35</v>
      </c>
      <c r="P1241" s="116">
        <v>202.85</v>
      </c>
      <c r="Q1241" s="116">
        <v>196.9</v>
      </c>
      <c r="R1241">
        <v>2119702</v>
      </c>
    </row>
    <row r="1242" spans="1:18" x14ac:dyDescent="0.25">
      <c r="A1242" s="170">
        <v>43837</v>
      </c>
      <c r="B1242" s="116">
        <v>202.9</v>
      </c>
      <c r="C1242" s="116">
        <v>199.1</v>
      </c>
      <c r="D1242" s="116">
        <v>196.65</v>
      </c>
      <c r="E1242" s="116">
        <v>202.8</v>
      </c>
      <c r="F1242" s="116">
        <v>199.1</v>
      </c>
      <c r="G1242">
        <v>170367</v>
      </c>
      <c r="H1242" s="116"/>
      <c r="I1242" s="116"/>
      <c r="L1242" s="170">
        <v>43837</v>
      </c>
      <c r="M1242" s="116">
        <v>199</v>
      </c>
      <c r="N1242" s="116">
        <v>202.55</v>
      </c>
      <c r="O1242" s="116">
        <v>196.7</v>
      </c>
      <c r="P1242" s="116">
        <v>198.1</v>
      </c>
      <c r="Q1242" s="116">
        <v>199</v>
      </c>
      <c r="R1242">
        <v>3557312</v>
      </c>
    </row>
    <row r="1243" spans="1:18" x14ac:dyDescent="0.25">
      <c r="A1243" s="170">
        <v>43838</v>
      </c>
      <c r="B1243" s="116">
        <v>204.5</v>
      </c>
      <c r="C1243" s="116">
        <v>201.65</v>
      </c>
      <c r="D1243" s="116">
        <v>195.65</v>
      </c>
      <c r="E1243" s="116">
        <v>197.7</v>
      </c>
      <c r="F1243" s="116">
        <v>201.65</v>
      </c>
      <c r="G1243">
        <v>310791</v>
      </c>
      <c r="H1243" s="116"/>
      <c r="I1243" s="116"/>
      <c r="L1243" s="170">
        <v>43838</v>
      </c>
      <c r="M1243" s="116">
        <v>201.65</v>
      </c>
      <c r="N1243" s="116">
        <v>204.6</v>
      </c>
      <c r="O1243" s="116">
        <v>195.65</v>
      </c>
      <c r="P1243" s="116">
        <v>196</v>
      </c>
      <c r="Q1243" s="116">
        <v>201.65</v>
      </c>
      <c r="R1243">
        <v>4943334</v>
      </c>
    </row>
    <row r="1244" spans="1:18" x14ac:dyDescent="0.25">
      <c r="A1244" s="170">
        <v>43839</v>
      </c>
      <c r="B1244" s="116">
        <v>209.25</v>
      </c>
      <c r="C1244" s="116">
        <v>207.95</v>
      </c>
      <c r="D1244" s="116">
        <v>204</v>
      </c>
      <c r="E1244" s="116">
        <v>204.5</v>
      </c>
      <c r="F1244" s="116">
        <v>207.95</v>
      </c>
      <c r="G1244">
        <v>356560</v>
      </c>
      <c r="H1244" s="116"/>
      <c r="I1244" s="116"/>
      <c r="L1244" s="170">
        <v>43839</v>
      </c>
      <c r="M1244" s="116">
        <v>207.95</v>
      </c>
      <c r="N1244" s="116">
        <v>209.3</v>
      </c>
      <c r="O1244" s="116">
        <v>203.85</v>
      </c>
      <c r="P1244" s="116">
        <v>203.9</v>
      </c>
      <c r="Q1244" s="116">
        <v>207.95</v>
      </c>
      <c r="R1244">
        <v>5537880</v>
      </c>
    </row>
    <row r="1245" spans="1:18" x14ac:dyDescent="0.25">
      <c r="A1245" s="170">
        <v>43840</v>
      </c>
      <c r="B1245" s="116">
        <v>213.9</v>
      </c>
      <c r="C1245" s="116">
        <v>211.65</v>
      </c>
      <c r="D1245" s="116">
        <v>206.9</v>
      </c>
      <c r="E1245" s="116">
        <v>208.1</v>
      </c>
      <c r="F1245" s="116">
        <v>211.65</v>
      </c>
      <c r="G1245">
        <v>210546</v>
      </c>
      <c r="H1245" s="116"/>
      <c r="I1245" s="116"/>
      <c r="L1245" s="170">
        <v>43840</v>
      </c>
      <c r="M1245" s="116">
        <v>211.75</v>
      </c>
      <c r="N1245" s="116">
        <v>214</v>
      </c>
      <c r="O1245" s="116">
        <v>206.8</v>
      </c>
      <c r="P1245" s="116">
        <v>208.55</v>
      </c>
      <c r="Q1245" s="116">
        <v>211.75</v>
      </c>
      <c r="R1245">
        <v>5362463</v>
      </c>
    </row>
    <row r="1246" spans="1:18" x14ac:dyDescent="0.25">
      <c r="A1246" s="170">
        <v>43843</v>
      </c>
      <c r="B1246" s="116">
        <v>214.35</v>
      </c>
      <c r="C1246" s="116">
        <v>211.45</v>
      </c>
      <c r="D1246" s="116">
        <v>210.6</v>
      </c>
      <c r="E1246" s="116">
        <v>212</v>
      </c>
      <c r="F1246" s="116">
        <v>211.45</v>
      </c>
      <c r="G1246">
        <v>147522</v>
      </c>
      <c r="H1246" s="116"/>
      <c r="I1246" s="116"/>
      <c r="L1246" s="170">
        <v>43843</v>
      </c>
      <c r="M1246" s="116">
        <v>211.5</v>
      </c>
      <c r="N1246" s="116">
        <v>214.8</v>
      </c>
      <c r="O1246" s="116">
        <v>210.65</v>
      </c>
      <c r="P1246" s="116">
        <v>212.6</v>
      </c>
      <c r="Q1246" s="116">
        <v>211.5</v>
      </c>
      <c r="R1246">
        <v>2628821</v>
      </c>
    </row>
    <row r="1247" spans="1:18" x14ac:dyDescent="0.25">
      <c r="A1247" s="170">
        <v>43844</v>
      </c>
      <c r="B1247" s="116">
        <v>212.45</v>
      </c>
      <c r="C1247" s="116">
        <v>209.25</v>
      </c>
      <c r="D1247" s="116">
        <v>208.9</v>
      </c>
      <c r="E1247" s="116">
        <v>211.85</v>
      </c>
      <c r="F1247" s="116">
        <v>209.25</v>
      </c>
      <c r="G1247">
        <v>54651</v>
      </c>
      <c r="H1247" s="116"/>
      <c r="I1247" s="116"/>
      <c r="L1247" s="170">
        <v>43844</v>
      </c>
      <c r="M1247" s="116">
        <v>209.3</v>
      </c>
      <c r="N1247" s="116">
        <v>212.45</v>
      </c>
      <c r="O1247" s="116">
        <v>208.8</v>
      </c>
      <c r="P1247" s="116">
        <v>212.2</v>
      </c>
      <c r="Q1247" s="116">
        <v>209.3</v>
      </c>
      <c r="R1247">
        <v>3725008</v>
      </c>
    </row>
    <row r="1248" spans="1:18" x14ac:dyDescent="0.25">
      <c r="A1248" s="170">
        <v>43845</v>
      </c>
      <c r="B1248" s="116">
        <v>212.7</v>
      </c>
      <c r="C1248" s="116">
        <v>212.15</v>
      </c>
      <c r="D1248" s="116">
        <v>206.85</v>
      </c>
      <c r="E1248" s="116">
        <v>211.1</v>
      </c>
      <c r="F1248" s="116">
        <v>212.15</v>
      </c>
      <c r="G1248">
        <v>812149</v>
      </c>
      <c r="H1248" s="116"/>
      <c r="I1248" s="116"/>
      <c r="L1248" s="170">
        <v>43845</v>
      </c>
      <c r="M1248" s="116">
        <v>212.05</v>
      </c>
      <c r="N1248" s="116">
        <v>212.9</v>
      </c>
      <c r="O1248" s="116">
        <v>206.65</v>
      </c>
      <c r="P1248" s="116">
        <v>209</v>
      </c>
      <c r="Q1248" s="116">
        <v>212.05</v>
      </c>
      <c r="R1248">
        <v>3359831</v>
      </c>
    </row>
    <row r="1249" spans="1:18" x14ac:dyDescent="0.25">
      <c r="A1249" s="170">
        <v>43846</v>
      </c>
      <c r="B1249" s="116">
        <v>214.3</v>
      </c>
      <c r="C1249" s="116">
        <v>209.95</v>
      </c>
      <c r="D1249" s="116">
        <v>209.25</v>
      </c>
      <c r="E1249" s="116">
        <v>213</v>
      </c>
      <c r="F1249" s="116">
        <v>209.95</v>
      </c>
      <c r="G1249">
        <v>294778</v>
      </c>
      <c r="H1249" s="116"/>
      <c r="I1249" s="116"/>
      <c r="L1249" s="170">
        <v>43846</v>
      </c>
      <c r="M1249" s="116">
        <v>209.75</v>
      </c>
      <c r="N1249" s="116">
        <v>214.4</v>
      </c>
      <c r="O1249" s="116">
        <v>209.1</v>
      </c>
      <c r="P1249" s="116">
        <v>213.5</v>
      </c>
      <c r="Q1249" s="116">
        <v>209.75</v>
      </c>
      <c r="R1249">
        <v>3126006</v>
      </c>
    </row>
    <row r="1250" spans="1:18" x14ac:dyDescent="0.25">
      <c r="A1250" s="170">
        <v>43847</v>
      </c>
      <c r="B1250" s="116">
        <v>212.2</v>
      </c>
      <c r="C1250" s="116">
        <v>210.5</v>
      </c>
      <c r="D1250" s="116">
        <v>208.7</v>
      </c>
      <c r="E1250" s="116">
        <v>209.7</v>
      </c>
      <c r="F1250" s="116">
        <v>210.5</v>
      </c>
      <c r="G1250">
        <v>478461</v>
      </c>
      <c r="H1250" s="116"/>
      <c r="I1250" s="116"/>
      <c r="L1250" s="170">
        <v>43847</v>
      </c>
      <c r="M1250" s="116">
        <v>210.4</v>
      </c>
      <c r="N1250" s="116">
        <v>212.4</v>
      </c>
      <c r="O1250" s="116">
        <v>208.6</v>
      </c>
      <c r="P1250" s="116">
        <v>209.65</v>
      </c>
      <c r="Q1250" s="116">
        <v>210.4</v>
      </c>
      <c r="R1250">
        <v>1968147</v>
      </c>
    </row>
    <row r="1251" spans="1:18" x14ac:dyDescent="0.25">
      <c r="A1251" s="170">
        <v>43850</v>
      </c>
      <c r="B1251" s="116">
        <v>211.35</v>
      </c>
      <c r="C1251" s="116">
        <v>206.95</v>
      </c>
      <c r="D1251" s="116">
        <v>206.7</v>
      </c>
      <c r="E1251" s="116">
        <v>211</v>
      </c>
      <c r="F1251" s="116">
        <v>206.95</v>
      </c>
      <c r="G1251">
        <v>29266</v>
      </c>
      <c r="H1251" s="116"/>
      <c r="I1251" s="116"/>
      <c r="L1251" s="170">
        <v>43850</v>
      </c>
      <c r="M1251" s="116">
        <v>207.05</v>
      </c>
      <c r="N1251" s="116">
        <v>211.75</v>
      </c>
      <c r="O1251" s="116">
        <v>206.65</v>
      </c>
      <c r="P1251" s="116">
        <v>211.4</v>
      </c>
      <c r="Q1251" s="116">
        <v>207.05</v>
      </c>
      <c r="R1251">
        <v>1743715</v>
      </c>
    </row>
    <row r="1252" spans="1:18" x14ac:dyDescent="0.25">
      <c r="A1252" s="170">
        <v>43851</v>
      </c>
      <c r="B1252" s="116">
        <v>209.85</v>
      </c>
      <c r="C1252" s="116">
        <v>207.5</v>
      </c>
      <c r="D1252" s="116">
        <v>205.9</v>
      </c>
      <c r="E1252" s="116">
        <v>206.75</v>
      </c>
      <c r="F1252" s="116">
        <v>207.5</v>
      </c>
      <c r="G1252">
        <v>1035688</v>
      </c>
      <c r="H1252" s="116"/>
      <c r="I1252" s="116"/>
      <c r="L1252" s="170">
        <v>43851</v>
      </c>
      <c r="M1252" s="116">
        <v>207.6</v>
      </c>
      <c r="N1252" s="116">
        <v>209.9</v>
      </c>
      <c r="O1252" s="116">
        <v>205.7</v>
      </c>
      <c r="P1252" s="116">
        <v>206</v>
      </c>
      <c r="Q1252" s="116">
        <v>207.6</v>
      </c>
      <c r="R1252">
        <v>3142796</v>
      </c>
    </row>
    <row r="1253" spans="1:18" x14ac:dyDescent="0.25">
      <c r="A1253" s="170">
        <v>43852</v>
      </c>
      <c r="B1253" s="116">
        <v>212.15</v>
      </c>
      <c r="C1253" s="116">
        <v>210.3</v>
      </c>
      <c r="D1253" s="116">
        <v>207.6</v>
      </c>
      <c r="E1253" s="116">
        <v>207.6</v>
      </c>
      <c r="F1253" s="116">
        <v>210.3</v>
      </c>
      <c r="G1253">
        <v>67736</v>
      </c>
      <c r="H1253" s="116"/>
      <c r="I1253" s="116"/>
      <c r="L1253" s="170">
        <v>43852</v>
      </c>
      <c r="M1253" s="116">
        <v>210.35</v>
      </c>
      <c r="N1253" s="116">
        <v>212.2</v>
      </c>
      <c r="O1253" s="116">
        <v>208.3</v>
      </c>
      <c r="P1253" s="116">
        <v>208.9</v>
      </c>
      <c r="Q1253" s="116">
        <v>210.35</v>
      </c>
      <c r="R1253">
        <v>3780055</v>
      </c>
    </row>
    <row r="1254" spans="1:18" x14ac:dyDescent="0.25">
      <c r="A1254" s="170">
        <v>43853</v>
      </c>
      <c r="B1254" s="116">
        <v>214.9</v>
      </c>
      <c r="C1254" s="116">
        <v>213.75</v>
      </c>
      <c r="D1254" s="116">
        <v>209.95</v>
      </c>
      <c r="E1254" s="116">
        <v>210</v>
      </c>
      <c r="F1254" s="116">
        <v>213.75</v>
      </c>
      <c r="G1254">
        <v>134427</v>
      </c>
      <c r="H1254" s="116"/>
      <c r="I1254" s="116"/>
      <c r="L1254" s="170">
        <v>43853</v>
      </c>
      <c r="M1254" s="116">
        <v>213.65</v>
      </c>
      <c r="N1254" s="116">
        <v>214.95</v>
      </c>
      <c r="O1254" s="116">
        <v>209.45</v>
      </c>
      <c r="P1254" s="116">
        <v>210</v>
      </c>
      <c r="Q1254" s="116">
        <v>213.65</v>
      </c>
      <c r="R1254">
        <v>4656562</v>
      </c>
    </row>
    <row r="1255" spans="1:18" x14ac:dyDescent="0.25">
      <c r="A1255" s="170">
        <v>43854</v>
      </c>
      <c r="B1255" s="116">
        <v>216.9</v>
      </c>
      <c r="C1255" s="116">
        <v>215.85</v>
      </c>
      <c r="D1255" s="116">
        <v>212.75</v>
      </c>
      <c r="E1255" s="116">
        <v>213.6</v>
      </c>
      <c r="F1255" s="116">
        <v>215.85</v>
      </c>
      <c r="G1255">
        <v>927760</v>
      </c>
      <c r="H1255" s="116"/>
      <c r="I1255" s="116"/>
      <c r="L1255" s="170">
        <v>43854</v>
      </c>
      <c r="M1255" s="116">
        <v>215.95</v>
      </c>
      <c r="N1255" s="116">
        <v>216.9</v>
      </c>
      <c r="O1255" s="116">
        <v>212.6</v>
      </c>
      <c r="P1255" s="116">
        <v>214.1</v>
      </c>
      <c r="Q1255" s="116">
        <v>215.95</v>
      </c>
      <c r="R1255">
        <v>3540793</v>
      </c>
    </row>
    <row r="1256" spans="1:18" x14ac:dyDescent="0.25">
      <c r="A1256" s="170">
        <v>43857</v>
      </c>
      <c r="B1256" s="116">
        <v>218.9</v>
      </c>
      <c r="C1256" s="116">
        <v>215.5</v>
      </c>
      <c r="D1256" s="116">
        <v>214.55</v>
      </c>
      <c r="E1256" s="116">
        <v>214.65</v>
      </c>
      <c r="F1256" s="116">
        <v>215.5</v>
      </c>
      <c r="G1256">
        <v>44616</v>
      </c>
      <c r="H1256" s="116"/>
      <c r="I1256" s="116"/>
      <c r="L1256" s="170">
        <v>43857</v>
      </c>
      <c r="M1256" s="116">
        <v>215.55</v>
      </c>
      <c r="N1256" s="116">
        <v>218.9</v>
      </c>
      <c r="O1256" s="116">
        <v>214.3</v>
      </c>
      <c r="P1256" s="116">
        <v>214.6</v>
      </c>
      <c r="Q1256" s="116">
        <v>215.55</v>
      </c>
      <c r="R1256">
        <v>2903622</v>
      </c>
    </row>
    <row r="1257" spans="1:18" x14ac:dyDescent="0.25">
      <c r="A1257" s="170">
        <v>43858</v>
      </c>
      <c r="B1257" s="116">
        <v>220.15</v>
      </c>
      <c r="C1257" s="116">
        <v>216.1</v>
      </c>
      <c r="D1257" s="116">
        <v>214.4</v>
      </c>
      <c r="E1257" s="116">
        <v>216</v>
      </c>
      <c r="F1257" s="116">
        <v>216.1</v>
      </c>
      <c r="G1257">
        <v>277029</v>
      </c>
      <c r="H1257" s="116"/>
      <c r="I1257" s="116"/>
      <c r="L1257" s="170">
        <v>43858</v>
      </c>
      <c r="M1257" s="116">
        <v>216.15</v>
      </c>
      <c r="N1257" s="116">
        <v>220.25</v>
      </c>
      <c r="O1257" s="116">
        <v>214.05</v>
      </c>
      <c r="P1257" s="116">
        <v>215.8</v>
      </c>
      <c r="Q1257" s="116">
        <v>216.15</v>
      </c>
      <c r="R1257">
        <v>5093967</v>
      </c>
    </row>
    <row r="1258" spans="1:18" x14ac:dyDescent="0.25">
      <c r="A1258" s="170">
        <v>43859</v>
      </c>
      <c r="B1258" s="116">
        <v>218.3</v>
      </c>
      <c r="C1258" s="116">
        <v>214</v>
      </c>
      <c r="D1258" s="116">
        <v>213.35</v>
      </c>
      <c r="E1258" s="116">
        <v>217.5</v>
      </c>
      <c r="F1258" s="116">
        <v>214</v>
      </c>
      <c r="G1258">
        <v>73467</v>
      </c>
      <c r="H1258" s="116"/>
      <c r="I1258" s="116"/>
      <c r="L1258" s="170">
        <v>43859</v>
      </c>
      <c r="M1258" s="116">
        <v>214.05</v>
      </c>
      <c r="N1258" s="116">
        <v>218.25</v>
      </c>
      <c r="O1258" s="116">
        <v>213.25</v>
      </c>
      <c r="P1258" s="116">
        <v>216.75</v>
      </c>
      <c r="Q1258" s="116">
        <v>214.05</v>
      </c>
      <c r="R1258">
        <v>3410299</v>
      </c>
    </row>
    <row r="1259" spans="1:18" x14ac:dyDescent="0.25">
      <c r="A1259" s="170">
        <v>43860</v>
      </c>
      <c r="B1259" s="116">
        <v>214.55</v>
      </c>
      <c r="C1259" s="116">
        <v>209.7</v>
      </c>
      <c r="D1259" s="116">
        <v>208.75</v>
      </c>
      <c r="E1259" s="116">
        <v>214.55</v>
      </c>
      <c r="F1259" s="116">
        <v>209.7</v>
      </c>
      <c r="G1259">
        <v>47526</v>
      </c>
      <c r="H1259" s="116"/>
      <c r="I1259" s="116"/>
      <c r="L1259" s="170">
        <v>43860</v>
      </c>
      <c r="M1259" s="116">
        <v>209.9</v>
      </c>
      <c r="N1259" s="116">
        <v>214.2</v>
      </c>
      <c r="O1259" s="116">
        <v>208.7</v>
      </c>
      <c r="P1259" s="116">
        <v>214.15</v>
      </c>
      <c r="Q1259" s="116">
        <v>209.9</v>
      </c>
      <c r="R1259">
        <v>2971434</v>
      </c>
    </row>
    <row r="1260" spans="1:18" x14ac:dyDescent="0.25">
      <c r="A1260" s="170">
        <v>43861</v>
      </c>
      <c r="B1260" s="116">
        <v>211.8</v>
      </c>
      <c r="C1260" s="116">
        <v>204.45</v>
      </c>
      <c r="D1260" s="116">
        <v>203.55</v>
      </c>
      <c r="E1260" s="116">
        <v>209.15</v>
      </c>
      <c r="F1260" s="116">
        <v>204.45</v>
      </c>
      <c r="G1260">
        <v>57031</v>
      </c>
      <c r="H1260" s="116"/>
      <c r="I1260" s="116"/>
      <c r="L1260" s="170">
        <v>43861</v>
      </c>
      <c r="M1260" s="116">
        <v>204.5</v>
      </c>
      <c r="N1260" s="116">
        <v>211.75</v>
      </c>
      <c r="O1260" s="116">
        <v>203.5</v>
      </c>
      <c r="P1260" s="116">
        <v>210.55</v>
      </c>
      <c r="Q1260" s="116">
        <v>204.5</v>
      </c>
      <c r="R1260">
        <v>2906515</v>
      </c>
    </row>
    <row r="1261" spans="1:18" x14ac:dyDescent="0.25">
      <c r="A1261" s="170">
        <v>43862</v>
      </c>
      <c r="B1261" s="116">
        <v>207.6</v>
      </c>
      <c r="C1261" s="116">
        <v>195.2</v>
      </c>
      <c r="D1261" s="116">
        <v>193.7</v>
      </c>
      <c r="E1261" s="116">
        <v>204.85</v>
      </c>
      <c r="F1261" s="116">
        <v>195.2</v>
      </c>
      <c r="G1261">
        <v>121716</v>
      </c>
      <c r="H1261" s="116"/>
      <c r="I1261" s="116"/>
      <c r="L1261" s="170">
        <v>43862</v>
      </c>
      <c r="M1261" s="116">
        <v>195.35</v>
      </c>
      <c r="N1261" s="116">
        <v>207.75</v>
      </c>
      <c r="O1261" s="116">
        <v>194</v>
      </c>
      <c r="P1261" s="116">
        <v>204.1</v>
      </c>
      <c r="Q1261" s="116">
        <v>195.35</v>
      </c>
      <c r="R1261">
        <v>3301796</v>
      </c>
    </row>
    <row r="1262" spans="1:18" x14ac:dyDescent="0.25">
      <c r="A1262" s="170">
        <v>43864</v>
      </c>
      <c r="B1262" s="116">
        <v>202.4</v>
      </c>
      <c r="C1262" s="116">
        <v>200.65</v>
      </c>
      <c r="D1262" s="116">
        <v>196</v>
      </c>
      <c r="E1262" s="116">
        <v>196</v>
      </c>
      <c r="F1262" s="116">
        <v>200.65</v>
      </c>
      <c r="G1262">
        <v>104742</v>
      </c>
      <c r="H1262" s="116"/>
      <c r="I1262" s="116"/>
      <c r="L1262" s="170">
        <v>43864</v>
      </c>
      <c r="M1262" s="116">
        <v>200.75</v>
      </c>
      <c r="N1262" s="116">
        <v>202.45</v>
      </c>
      <c r="O1262" s="116">
        <v>196.05</v>
      </c>
      <c r="P1262" s="116">
        <v>196.05</v>
      </c>
      <c r="Q1262" s="116">
        <v>200.75</v>
      </c>
      <c r="R1262">
        <v>4031740</v>
      </c>
    </row>
    <row r="1263" spans="1:18" x14ac:dyDescent="0.25">
      <c r="A1263" s="170">
        <v>43865</v>
      </c>
      <c r="B1263" s="116">
        <v>209.8</v>
      </c>
      <c r="C1263" s="116">
        <v>206.9</v>
      </c>
      <c r="D1263" s="116">
        <v>202.5</v>
      </c>
      <c r="E1263" s="116">
        <v>202.8</v>
      </c>
      <c r="F1263" s="116">
        <v>206.9</v>
      </c>
      <c r="G1263">
        <v>96871</v>
      </c>
      <c r="H1263" s="116"/>
      <c r="I1263" s="116"/>
      <c r="L1263" s="170">
        <v>43865</v>
      </c>
      <c r="M1263" s="116">
        <v>206.8</v>
      </c>
      <c r="N1263" s="116">
        <v>210</v>
      </c>
      <c r="O1263" s="116">
        <v>202.45</v>
      </c>
      <c r="P1263" s="116">
        <v>202.8</v>
      </c>
      <c r="Q1263" s="116">
        <v>206.8</v>
      </c>
      <c r="R1263">
        <v>3761981</v>
      </c>
    </row>
    <row r="1264" spans="1:18" x14ac:dyDescent="0.25">
      <c r="A1264" s="170">
        <v>43866</v>
      </c>
      <c r="B1264" s="116">
        <v>209</v>
      </c>
      <c r="C1264" s="116">
        <v>206.5</v>
      </c>
      <c r="D1264" s="116">
        <v>205.45</v>
      </c>
      <c r="E1264" s="116">
        <v>209</v>
      </c>
      <c r="F1264" s="116">
        <v>206.5</v>
      </c>
      <c r="G1264">
        <v>348564</v>
      </c>
      <c r="H1264" s="116"/>
      <c r="I1264" s="116"/>
      <c r="L1264" s="170">
        <v>43866</v>
      </c>
      <c r="M1264" s="116">
        <v>206.4</v>
      </c>
      <c r="N1264" s="116">
        <v>208.75</v>
      </c>
      <c r="O1264" s="116">
        <v>205.2</v>
      </c>
      <c r="P1264" s="116">
        <v>206.9</v>
      </c>
      <c r="Q1264" s="116">
        <v>206.4</v>
      </c>
      <c r="R1264">
        <v>4000586</v>
      </c>
    </row>
    <row r="1265" spans="1:18" x14ac:dyDescent="0.25">
      <c r="A1265" s="170">
        <v>43867</v>
      </c>
      <c r="B1265" s="116">
        <v>209.1</v>
      </c>
      <c r="C1265" s="116">
        <v>207.55</v>
      </c>
      <c r="D1265" s="116">
        <v>204.65</v>
      </c>
      <c r="E1265" s="116">
        <v>207.55</v>
      </c>
      <c r="F1265" s="116">
        <v>207.55</v>
      </c>
      <c r="G1265">
        <v>62388</v>
      </c>
      <c r="H1265" s="116"/>
      <c r="I1265" s="116"/>
      <c r="L1265" s="170">
        <v>43867</v>
      </c>
      <c r="M1265" s="116">
        <v>207.5</v>
      </c>
      <c r="N1265" s="116">
        <v>209.25</v>
      </c>
      <c r="O1265" s="116">
        <v>204.55</v>
      </c>
      <c r="P1265" s="116">
        <v>207.25</v>
      </c>
      <c r="Q1265" s="116">
        <v>207.5</v>
      </c>
      <c r="R1265">
        <v>3569538</v>
      </c>
    </row>
    <row r="1266" spans="1:18" x14ac:dyDescent="0.25">
      <c r="A1266" s="170">
        <v>43868</v>
      </c>
      <c r="B1266" s="116">
        <v>211.85</v>
      </c>
      <c r="C1266" s="116">
        <v>209.7</v>
      </c>
      <c r="D1266" s="116">
        <v>207.4</v>
      </c>
      <c r="E1266" s="116">
        <v>208.05</v>
      </c>
      <c r="F1266" s="116">
        <v>209.7</v>
      </c>
      <c r="G1266">
        <v>61496</v>
      </c>
      <c r="H1266" s="116"/>
      <c r="I1266" s="116"/>
      <c r="L1266" s="170">
        <v>43868</v>
      </c>
      <c r="M1266" s="116">
        <v>209.8</v>
      </c>
      <c r="N1266" s="116">
        <v>212</v>
      </c>
      <c r="O1266" s="116">
        <v>207.15</v>
      </c>
      <c r="P1266" s="116">
        <v>207.6</v>
      </c>
      <c r="Q1266" s="116">
        <v>209.8</v>
      </c>
      <c r="R1266">
        <v>1957283</v>
      </c>
    </row>
    <row r="1267" spans="1:18" x14ac:dyDescent="0.25">
      <c r="A1267" s="170">
        <v>43871</v>
      </c>
      <c r="B1267" s="116">
        <v>210.7</v>
      </c>
      <c r="C1267" s="116">
        <v>207.1</v>
      </c>
      <c r="D1267" s="116">
        <v>206.25</v>
      </c>
      <c r="E1267" s="116">
        <v>209.95</v>
      </c>
      <c r="F1267" s="116">
        <v>207.1</v>
      </c>
      <c r="G1267">
        <v>72772</v>
      </c>
      <c r="H1267" s="116"/>
      <c r="I1267" s="116"/>
      <c r="L1267" s="170">
        <v>43871</v>
      </c>
      <c r="M1267" s="116">
        <v>207.1</v>
      </c>
      <c r="N1267" s="116">
        <v>210.8</v>
      </c>
      <c r="O1267" s="116">
        <v>206.15</v>
      </c>
      <c r="P1267" s="116">
        <v>209.8</v>
      </c>
      <c r="Q1267" s="116">
        <v>207.1</v>
      </c>
      <c r="R1267">
        <v>1734578</v>
      </c>
    </row>
    <row r="1268" spans="1:18" x14ac:dyDescent="0.25">
      <c r="A1268" s="170">
        <v>43872</v>
      </c>
      <c r="B1268" s="116">
        <v>213.4</v>
      </c>
      <c r="C1268" s="116">
        <v>212</v>
      </c>
      <c r="D1268" s="116">
        <v>208.25</v>
      </c>
      <c r="E1268" s="116">
        <v>212.7</v>
      </c>
      <c r="F1268" s="116">
        <v>212</v>
      </c>
      <c r="G1268">
        <v>140340</v>
      </c>
      <c r="H1268" s="116"/>
      <c r="I1268" s="116"/>
      <c r="L1268" s="170">
        <v>43872</v>
      </c>
      <c r="M1268" s="116">
        <v>212</v>
      </c>
      <c r="N1268" s="116">
        <v>213.45</v>
      </c>
      <c r="O1268" s="116">
        <v>208</v>
      </c>
      <c r="P1268" s="116">
        <v>208.1</v>
      </c>
      <c r="Q1268" s="116">
        <v>212</v>
      </c>
      <c r="R1268">
        <v>4444457</v>
      </c>
    </row>
    <row r="1269" spans="1:18" x14ac:dyDescent="0.25">
      <c r="A1269" s="170">
        <v>43873</v>
      </c>
      <c r="B1269" s="116">
        <v>214</v>
      </c>
      <c r="C1269" s="116">
        <v>211.5</v>
      </c>
      <c r="D1269" s="116">
        <v>210.4</v>
      </c>
      <c r="E1269" s="116">
        <v>214</v>
      </c>
      <c r="F1269" s="116">
        <v>211.5</v>
      </c>
      <c r="G1269">
        <v>78779</v>
      </c>
      <c r="H1269" s="116"/>
      <c r="I1269" s="116"/>
      <c r="L1269" s="170">
        <v>43873</v>
      </c>
      <c r="M1269" s="116">
        <v>211.4</v>
      </c>
      <c r="N1269" s="116">
        <v>214</v>
      </c>
      <c r="O1269" s="116">
        <v>210.25</v>
      </c>
      <c r="P1269" s="116">
        <v>212</v>
      </c>
      <c r="Q1269" s="116">
        <v>211.4</v>
      </c>
      <c r="R1269">
        <v>3036372</v>
      </c>
    </row>
    <row r="1270" spans="1:18" x14ac:dyDescent="0.25">
      <c r="A1270" s="170">
        <v>43874</v>
      </c>
      <c r="B1270" s="116">
        <v>211.35</v>
      </c>
      <c r="C1270" s="116">
        <v>208.65</v>
      </c>
      <c r="D1270" s="116">
        <v>208.1</v>
      </c>
      <c r="E1270" s="116">
        <v>210</v>
      </c>
      <c r="F1270" s="116">
        <v>208.65</v>
      </c>
      <c r="G1270">
        <v>39456</v>
      </c>
      <c r="H1270" s="116"/>
      <c r="I1270" s="116"/>
      <c r="L1270" s="170">
        <v>43874</v>
      </c>
      <c r="M1270" s="116">
        <v>208.55</v>
      </c>
      <c r="N1270" s="116">
        <v>211.45</v>
      </c>
      <c r="O1270" s="116">
        <v>207.9</v>
      </c>
      <c r="P1270" s="116">
        <v>210.6</v>
      </c>
      <c r="Q1270" s="116">
        <v>208.55</v>
      </c>
      <c r="R1270">
        <v>1177002</v>
      </c>
    </row>
    <row r="1271" spans="1:18" x14ac:dyDescent="0.25">
      <c r="A1271" s="170">
        <v>43875</v>
      </c>
      <c r="B1271" s="116">
        <v>212.1</v>
      </c>
      <c r="C1271" s="116">
        <v>205.6</v>
      </c>
      <c r="D1271" s="116">
        <v>204.9</v>
      </c>
      <c r="E1271" s="116">
        <v>208.35</v>
      </c>
      <c r="F1271" s="116">
        <v>205.6</v>
      </c>
      <c r="G1271">
        <v>69727</v>
      </c>
      <c r="H1271" s="116"/>
      <c r="I1271" s="116"/>
      <c r="L1271" s="170">
        <v>43875</v>
      </c>
      <c r="M1271" s="116">
        <v>205.65</v>
      </c>
      <c r="N1271" s="116">
        <v>212.25</v>
      </c>
      <c r="O1271" s="116">
        <v>205</v>
      </c>
      <c r="P1271" s="116">
        <v>208.4</v>
      </c>
      <c r="Q1271" s="116">
        <v>205.65</v>
      </c>
      <c r="R1271">
        <v>3183445</v>
      </c>
    </row>
    <row r="1272" spans="1:18" x14ac:dyDescent="0.25">
      <c r="A1272" s="170">
        <v>43878</v>
      </c>
      <c r="B1272" s="116">
        <v>206.5</v>
      </c>
      <c r="C1272" s="116">
        <v>203.7</v>
      </c>
      <c r="D1272" s="116">
        <v>202.5</v>
      </c>
      <c r="E1272" s="116">
        <v>206</v>
      </c>
      <c r="F1272" s="116">
        <v>203.7</v>
      </c>
      <c r="G1272">
        <v>44137</v>
      </c>
      <c r="H1272" s="116"/>
      <c r="I1272" s="116"/>
      <c r="L1272" s="170">
        <v>43878</v>
      </c>
      <c r="M1272" s="116">
        <v>203.8</v>
      </c>
      <c r="N1272" s="116">
        <v>206.35</v>
      </c>
      <c r="O1272" s="116">
        <v>202.3</v>
      </c>
      <c r="P1272" s="116">
        <v>205.35</v>
      </c>
      <c r="Q1272" s="116">
        <v>203.8</v>
      </c>
      <c r="R1272">
        <v>1397181</v>
      </c>
    </row>
    <row r="1273" spans="1:18" x14ac:dyDescent="0.25">
      <c r="A1273" s="170">
        <v>43879</v>
      </c>
      <c r="B1273" s="116">
        <v>203.3</v>
      </c>
      <c r="C1273" s="116">
        <v>200.95</v>
      </c>
      <c r="D1273" s="116">
        <v>197.8</v>
      </c>
      <c r="E1273" s="116">
        <v>203.2</v>
      </c>
      <c r="F1273" s="116">
        <v>200.95</v>
      </c>
      <c r="G1273">
        <v>64461</v>
      </c>
      <c r="H1273" s="116"/>
      <c r="I1273" s="116"/>
      <c r="L1273" s="170">
        <v>43879</v>
      </c>
      <c r="M1273" s="116">
        <v>200.85</v>
      </c>
      <c r="N1273" s="116">
        <v>203.6</v>
      </c>
      <c r="O1273" s="116">
        <v>197.75</v>
      </c>
      <c r="P1273" s="116">
        <v>203.25</v>
      </c>
      <c r="Q1273" s="116">
        <v>200.85</v>
      </c>
      <c r="R1273">
        <v>4007197</v>
      </c>
    </row>
    <row r="1274" spans="1:18" x14ac:dyDescent="0.25">
      <c r="A1274" s="170">
        <v>43880</v>
      </c>
      <c r="B1274" s="116">
        <v>206.25</v>
      </c>
      <c r="C1274" s="116">
        <v>205.95</v>
      </c>
      <c r="D1274" s="116">
        <v>202</v>
      </c>
      <c r="E1274" s="116">
        <v>203.05</v>
      </c>
      <c r="F1274" s="116">
        <v>205.95</v>
      </c>
      <c r="G1274">
        <v>44069</v>
      </c>
      <c r="H1274" s="116"/>
      <c r="I1274" s="116"/>
      <c r="L1274" s="170">
        <v>43880</v>
      </c>
      <c r="M1274" s="116">
        <v>205.8</v>
      </c>
      <c r="N1274" s="116">
        <v>206.4</v>
      </c>
      <c r="O1274" s="116">
        <v>201.7</v>
      </c>
      <c r="P1274" s="116">
        <v>202.25</v>
      </c>
      <c r="Q1274" s="116">
        <v>205.8</v>
      </c>
      <c r="R1274">
        <v>1630613</v>
      </c>
    </row>
    <row r="1275" spans="1:18" x14ac:dyDescent="0.25">
      <c r="A1275" s="170">
        <v>43881</v>
      </c>
      <c r="B1275" s="116">
        <v>210.2</v>
      </c>
      <c r="C1275" s="116">
        <v>205.8</v>
      </c>
      <c r="D1275" s="116">
        <v>204.55</v>
      </c>
      <c r="E1275" s="116">
        <v>205</v>
      </c>
      <c r="F1275" s="116">
        <v>205.8</v>
      </c>
      <c r="G1275">
        <v>110374</v>
      </c>
      <c r="H1275" s="116"/>
      <c r="I1275" s="116"/>
      <c r="L1275" s="170">
        <v>43881</v>
      </c>
      <c r="M1275" s="116">
        <v>205.4</v>
      </c>
      <c r="N1275" s="116">
        <v>210.25</v>
      </c>
      <c r="O1275" s="116">
        <v>200.1</v>
      </c>
      <c r="P1275" s="116">
        <v>204.95</v>
      </c>
      <c r="Q1275" s="116">
        <v>205.4</v>
      </c>
      <c r="R1275">
        <v>3826080</v>
      </c>
    </row>
    <row r="1276" spans="1:18" x14ac:dyDescent="0.25">
      <c r="A1276" s="170">
        <v>43885</v>
      </c>
      <c r="B1276" s="116">
        <v>212.7</v>
      </c>
      <c r="C1276" s="116">
        <v>209.9</v>
      </c>
      <c r="D1276" s="116">
        <v>202.3</v>
      </c>
      <c r="E1276" s="116">
        <v>208</v>
      </c>
      <c r="F1276" s="116">
        <v>209.9</v>
      </c>
      <c r="G1276">
        <v>233850</v>
      </c>
      <c r="H1276" s="116"/>
      <c r="I1276" s="116"/>
      <c r="L1276" s="170">
        <v>43885</v>
      </c>
      <c r="M1276" s="116">
        <v>209.9</v>
      </c>
      <c r="N1276" s="116">
        <v>212.7</v>
      </c>
      <c r="O1276" s="116">
        <v>202</v>
      </c>
      <c r="P1276" s="116">
        <v>206.85</v>
      </c>
      <c r="Q1276" s="116">
        <v>209.9</v>
      </c>
      <c r="R1276">
        <v>7946307</v>
      </c>
    </row>
    <row r="1277" spans="1:18" x14ac:dyDescent="0.25">
      <c r="A1277" s="170">
        <v>43886</v>
      </c>
      <c r="B1277" s="116">
        <v>213.95</v>
      </c>
      <c r="C1277" s="116">
        <v>211.6</v>
      </c>
      <c r="D1277" s="116">
        <v>209.4</v>
      </c>
      <c r="E1277" s="116">
        <v>212</v>
      </c>
      <c r="F1277" s="116">
        <v>211.6</v>
      </c>
      <c r="G1277">
        <v>108298</v>
      </c>
      <c r="H1277" s="116"/>
      <c r="I1277" s="116"/>
      <c r="L1277" s="170">
        <v>43886</v>
      </c>
      <c r="M1277" s="116">
        <v>211.6</v>
      </c>
      <c r="N1277" s="116">
        <v>214</v>
      </c>
      <c r="O1277" s="116">
        <v>209.3</v>
      </c>
      <c r="P1277" s="116">
        <v>211</v>
      </c>
      <c r="Q1277" s="116">
        <v>211.6</v>
      </c>
      <c r="R1277">
        <v>6147428</v>
      </c>
    </row>
    <row r="1278" spans="1:18" x14ac:dyDescent="0.25">
      <c r="A1278" s="170">
        <v>43887</v>
      </c>
      <c r="B1278" s="116">
        <v>216</v>
      </c>
      <c r="C1278" s="116">
        <v>213.6</v>
      </c>
      <c r="D1278" s="116">
        <v>210.3</v>
      </c>
      <c r="E1278" s="116">
        <v>212.85</v>
      </c>
      <c r="F1278" s="116">
        <v>213.6</v>
      </c>
      <c r="G1278">
        <v>121023</v>
      </c>
      <c r="H1278" s="116"/>
      <c r="I1278" s="116"/>
      <c r="L1278" s="170">
        <v>43887</v>
      </c>
      <c r="M1278" s="116">
        <v>213.6</v>
      </c>
      <c r="N1278" s="116">
        <v>216.05</v>
      </c>
      <c r="O1278" s="116">
        <v>210.05</v>
      </c>
      <c r="P1278" s="116">
        <v>211.9</v>
      </c>
      <c r="Q1278" s="116">
        <v>213.6</v>
      </c>
      <c r="R1278">
        <v>6034979</v>
      </c>
    </row>
    <row r="1279" spans="1:18" x14ac:dyDescent="0.25">
      <c r="A1279" s="170">
        <v>43888</v>
      </c>
      <c r="B1279" s="116">
        <v>215.2</v>
      </c>
      <c r="C1279" s="116">
        <v>211.7</v>
      </c>
      <c r="D1279" s="116">
        <v>210.6</v>
      </c>
      <c r="E1279" s="116">
        <v>214.5</v>
      </c>
      <c r="F1279" s="116">
        <v>211.7</v>
      </c>
      <c r="G1279">
        <v>96597</v>
      </c>
      <c r="H1279" s="116"/>
      <c r="I1279" s="116"/>
      <c r="L1279" s="170">
        <v>43888</v>
      </c>
      <c r="M1279" s="116">
        <v>211.6</v>
      </c>
      <c r="N1279" s="116">
        <v>215.15</v>
      </c>
      <c r="O1279" s="116">
        <v>210.5</v>
      </c>
      <c r="P1279" s="116">
        <v>213.6</v>
      </c>
      <c r="Q1279" s="116">
        <v>211.6</v>
      </c>
      <c r="R1279">
        <v>3753324</v>
      </c>
    </row>
    <row r="1280" spans="1:18" x14ac:dyDescent="0.25">
      <c r="A1280" s="170">
        <v>43889</v>
      </c>
      <c r="B1280" s="116">
        <v>209.35</v>
      </c>
      <c r="C1280" s="116">
        <v>205.05</v>
      </c>
      <c r="D1280" s="116">
        <v>203.3</v>
      </c>
      <c r="E1280" s="116">
        <v>207.5</v>
      </c>
      <c r="F1280" s="116">
        <v>205.05</v>
      </c>
      <c r="G1280">
        <v>133244</v>
      </c>
      <c r="H1280" s="116"/>
      <c r="I1280" s="116"/>
      <c r="L1280" s="170">
        <v>43889</v>
      </c>
      <c r="M1280" s="116">
        <v>205.05</v>
      </c>
      <c r="N1280" s="116">
        <v>209.4</v>
      </c>
      <c r="O1280" s="116">
        <v>203.25</v>
      </c>
      <c r="P1280" s="116">
        <v>207.75</v>
      </c>
      <c r="Q1280" s="116">
        <v>205.05</v>
      </c>
      <c r="R1280">
        <v>7650031</v>
      </c>
    </row>
    <row r="1281" spans="1:18" x14ac:dyDescent="0.25">
      <c r="A1281" s="170">
        <v>43892</v>
      </c>
      <c r="B1281" s="116">
        <v>216.35</v>
      </c>
      <c r="C1281" s="116">
        <v>202.4</v>
      </c>
      <c r="D1281" s="116">
        <v>199.85</v>
      </c>
      <c r="E1281" s="116">
        <v>215</v>
      </c>
      <c r="F1281" s="116">
        <v>202.4</v>
      </c>
      <c r="G1281">
        <v>220860</v>
      </c>
      <c r="H1281" s="116"/>
      <c r="I1281" s="116"/>
      <c r="L1281" s="170">
        <v>43892</v>
      </c>
      <c r="M1281" s="116">
        <v>202.25</v>
      </c>
      <c r="N1281" s="116">
        <v>216.55</v>
      </c>
      <c r="O1281" s="116">
        <v>199.8</v>
      </c>
      <c r="P1281" s="116">
        <v>208.6</v>
      </c>
      <c r="Q1281" s="116">
        <v>202.25</v>
      </c>
      <c r="R1281">
        <v>5187934</v>
      </c>
    </row>
    <row r="1282" spans="1:18" x14ac:dyDescent="0.25">
      <c r="A1282" s="170">
        <v>43893</v>
      </c>
      <c r="B1282" s="116">
        <v>212.05</v>
      </c>
      <c r="C1282" s="116">
        <v>211.1</v>
      </c>
      <c r="D1282" s="116">
        <v>202.3</v>
      </c>
      <c r="E1282" s="116">
        <v>202.3</v>
      </c>
      <c r="F1282" s="116">
        <v>211.1</v>
      </c>
      <c r="G1282">
        <v>99363</v>
      </c>
      <c r="H1282" s="116"/>
      <c r="I1282" s="116"/>
      <c r="L1282" s="170">
        <v>43893</v>
      </c>
      <c r="M1282" s="116">
        <v>211.15</v>
      </c>
      <c r="N1282" s="116">
        <v>212.2</v>
      </c>
      <c r="O1282" s="116">
        <v>203.65</v>
      </c>
      <c r="P1282" s="116">
        <v>203.9</v>
      </c>
      <c r="Q1282" s="116">
        <v>211.15</v>
      </c>
      <c r="R1282">
        <v>4549626</v>
      </c>
    </row>
    <row r="1283" spans="1:18" x14ac:dyDescent="0.25">
      <c r="A1283" s="170">
        <v>43894</v>
      </c>
      <c r="B1283" s="116">
        <v>212.9</v>
      </c>
      <c r="C1283" s="116">
        <v>208.2</v>
      </c>
      <c r="D1283" s="116">
        <v>204.75</v>
      </c>
      <c r="E1283" s="116">
        <v>211.35</v>
      </c>
      <c r="F1283" s="116">
        <v>208.2</v>
      </c>
      <c r="G1283">
        <v>73575</v>
      </c>
      <c r="H1283" s="116"/>
      <c r="I1283" s="116"/>
      <c r="L1283" s="170">
        <v>43894</v>
      </c>
      <c r="M1283" s="116">
        <v>208.1</v>
      </c>
      <c r="N1283" s="116">
        <v>213</v>
      </c>
      <c r="O1283" s="116">
        <v>204.7</v>
      </c>
      <c r="P1283" s="116">
        <v>211.35</v>
      </c>
      <c r="Q1283" s="116">
        <v>208.1</v>
      </c>
      <c r="R1283">
        <v>3541106</v>
      </c>
    </row>
    <row r="1284" spans="1:18" x14ac:dyDescent="0.25">
      <c r="A1284" s="170">
        <v>43895</v>
      </c>
      <c r="B1284" s="116">
        <v>211.7</v>
      </c>
      <c r="C1284" s="116">
        <v>204.25</v>
      </c>
      <c r="D1284" s="116">
        <v>203.65</v>
      </c>
      <c r="E1284" s="116">
        <v>210</v>
      </c>
      <c r="F1284" s="116">
        <v>204.25</v>
      </c>
      <c r="G1284">
        <v>64722</v>
      </c>
      <c r="H1284" s="116"/>
      <c r="I1284" s="116"/>
      <c r="L1284" s="170">
        <v>43895</v>
      </c>
      <c r="M1284" s="116">
        <v>204.4</v>
      </c>
      <c r="N1284" s="116">
        <v>211.9</v>
      </c>
      <c r="O1284" s="116">
        <v>203.65</v>
      </c>
      <c r="P1284" s="116">
        <v>208.2</v>
      </c>
      <c r="Q1284" s="116">
        <v>204.4</v>
      </c>
      <c r="R1284">
        <v>2414347</v>
      </c>
    </row>
    <row r="1285" spans="1:18" x14ac:dyDescent="0.25">
      <c r="A1285" s="170">
        <v>43896</v>
      </c>
      <c r="B1285" s="116">
        <v>206.3</v>
      </c>
      <c r="C1285" s="116">
        <v>205</v>
      </c>
      <c r="D1285" s="116">
        <v>196.5</v>
      </c>
      <c r="E1285" s="116">
        <v>201</v>
      </c>
      <c r="F1285" s="116">
        <v>205</v>
      </c>
      <c r="G1285">
        <v>63533</v>
      </c>
      <c r="H1285" s="116"/>
      <c r="I1285" s="116"/>
      <c r="L1285" s="170">
        <v>43896</v>
      </c>
      <c r="M1285" s="116">
        <v>205.1</v>
      </c>
      <c r="N1285" s="116">
        <v>206.55</v>
      </c>
      <c r="O1285" s="116">
        <v>195.4</v>
      </c>
      <c r="P1285" s="116">
        <v>198.75</v>
      </c>
      <c r="Q1285" s="116">
        <v>205.1</v>
      </c>
      <c r="R1285">
        <v>2587514</v>
      </c>
    </row>
    <row r="1286" spans="1:18" x14ac:dyDescent="0.25">
      <c r="A1286" s="170">
        <v>43899</v>
      </c>
      <c r="B1286" s="116">
        <v>203</v>
      </c>
      <c r="C1286" s="116">
        <v>193.4</v>
      </c>
      <c r="D1286" s="116">
        <v>191.7</v>
      </c>
      <c r="E1286" s="116">
        <v>201.3</v>
      </c>
      <c r="F1286" s="116">
        <v>193.4</v>
      </c>
      <c r="G1286">
        <v>105985</v>
      </c>
      <c r="H1286" s="116"/>
      <c r="I1286" s="116"/>
      <c r="L1286" s="170">
        <v>43899</v>
      </c>
      <c r="M1286" s="116">
        <v>193.7</v>
      </c>
      <c r="N1286" s="116">
        <v>203.25</v>
      </c>
      <c r="O1286" s="116">
        <v>191.45</v>
      </c>
      <c r="P1286" s="116">
        <v>199.8</v>
      </c>
      <c r="Q1286" s="116">
        <v>193.7</v>
      </c>
      <c r="R1286">
        <v>3910317</v>
      </c>
    </row>
    <row r="1287" spans="1:18" x14ac:dyDescent="0.25">
      <c r="A1287" s="170">
        <v>43901</v>
      </c>
      <c r="B1287" s="116">
        <v>196.15</v>
      </c>
      <c r="C1287" s="116">
        <v>190.25</v>
      </c>
      <c r="D1287" s="116">
        <v>189.8</v>
      </c>
      <c r="E1287" s="116">
        <v>194.7</v>
      </c>
      <c r="F1287" s="116">
        <v>190.25</v>
      </c>
      <c r="G1287">
        <v>51923</v>
      </c>
      <c r="H1287" s="116"/>
      <c r="I1287" s="116"/>
      <c r="L1287" s="170">
        <v>43901</v>
      </c>
      <c r="M1287" s="116">
        <v>190.45</v>
      </c>
      <c r="N1287" s="116">
        <v>196.45</v>
      </c>
      <c r="O1287" s="116">
        <v>189.8</v>
      </c>
      <c r="P1287" s="116">
        <v>194.1</v>
      </c>
      <c r="Q1287" s="116">
        <v>190.45</v>
      </c>
      <c r="R1287">
        <v>3553048</v>
      </c>
    </row>
    <row r="1288" spans="1:18" x14ac:dyDescent="0.25">
      <c r="A1288" s="170">
        <v>43902</v>
      </c>
      <c r="B1288" s="116">
        <v>185.5</v>
      </c>
      <c r="C1288" s="116">
        <v>175.85</v>
      </c>
      <c r="D1288" s="116">
        <v>169.25</v>
      </c>
      <c r="E1288" s="116">
        <v>185.5</v>
      </c>
      <c r="F1288" s="116">
        <v>175.85</v>
      </c>
      <c r="G1288">
        <v>229410</v>
      </c>
      <c r="H1288" s="116"/>
      <c r="I1288" s="116"/>
      <c r="L1288" s="170">
        <v>43902</v>
      </c>
      <c r="M1288" s="116">
        <v>175.5</v>
      </c>
      <c r="N1288" s="116">
        <v>183.75</v>
      </c>
      <c r="O1288" s="116">
        <v>169.1</v>
      </c>
      <c r="P1288" s="116">
        <v>183</v>
      </c>
      <c r="Q1288" s="116">
        <v>175.5</v>
      </c>
      <c r="R1288">
        <v>8015858</v>
      </c>
    </row>
    <row r="1289" spans="1:18" x14ac:dyDescent="0.25">
      <c r="A1289" s="170">
        <v>43903</v>
      </c>
      <c r="B1289" s="116">
        <v>190.45</v>
      </c>
      <c r="C1289" s="116">
        <v>187.3</v>
      </c>
      <c r="D1289" s="116">
        <v>153.30000000000001</v>
      </c>
      <c r="E1289" s="116">
        <v>170</v>
      </c>
      <c r="F1289" s="116">
        <v>187.3</v>
      </c>
      <c r="G1289">
        <v>280195</v>
      </c>
      <c r="H1289" s="116"/>
      <c r="I1289" s="116"/>
      <c r="L1289" s="170">
        <v>43903</v>
      </c>
      <c r="M1289" s="116">
        <v>187.75</v>
      </c>
      <c r="N1289" s="116">
        <v>190.7</v>
      </c>
      <c r="O1289" s="116">
        <v>152.05000000000001</v>
      </c>
      <c r="P1289" s="116">
        <v>166</v>
      </c>
      <c r="Q1289" s="116">
        <v>187.75</v>
      </c>
      <c r="R1289">
        <v>3970888</v>
      </c>
    </row>
    <row r="1290" spans="1:18" x14ac:dyDescent="0.25">
      <c r="A1290" s="170">
        <v>43906</v>
      </c>
      <c r="B1290" s="116">
        <v>188</v>
      </c>
      <c r="C1290" s="116">
        <v>179.2</v>
      </c>
      <c r="D1290" s="116">
        <v>172.2</v>
      </c>
      <c r="E1290" s="116">
        <v>188</v>
      </c>
      <c r="F1290" s="116">
        <v>179.2</v>
      </c>
      <c r="G1290">
        <v>156505</v>
      </c>
      <c r="H1290" s="116"/>
      <c r="I1290" s="116"/>
      <c r="L1290" s="170">
        <v>43906</v>
      </c>
      <c r="M1290" s="116">
        <v>179.45</v>
      </c>
      <c r="N1290" s="116">
        <v>184.05</v>
      </c>
      <c r="O1290" s="116">
        <v>172.15</v>
      </c>
      <c r="P1290" s="116">
        <v>180</v>
      </c>
      <c r="Q1290" s="116">
        <v>179.45</v>
      </c>
      <c r="R1290">
        <v>5362750</v>
      </c>
    </row>
    <row r="1291" spans="1:18" x14ac:dyDescent="0.25">
      <c r="A1291" s="170">
        <v>43907</v>
      </c>
      <c r="B1291" s="116">
        <v>181.45</v>
      </c>
      <c r="C1291" s="116">
        <v>171.75</v>
      </c>
      <c r="D1291" s="116">
        <v>170.1</v>
      </c>
      <c r="E1291" s="116">
        <v>178.2</v>
      </c>
      <c r="F1291" s="116">
        <v>171.75</v>
      </c>
      <c r="G1291">
        <v>243033</v>
      </c>
      <c r="H1291" s="116"/>
      <c r="I1291" s="116"/>
      <c r="L1291" s="170">
        <v>43907</v>
      </c>
      <c r="M1291" s="116">
        <v>171.4</v>
      </c>
      <c r="N1291" s="116">
        <v>181.75</v>
      </c>
      <c r="O1291" s="116">
        <v>170.1</v>
      </c>
      <c r="P1291" s="116">
        <v>180.5</v>
      </c>
      <c r="Q1291" s="116">
        <v>171.4</v>
      </c>
      <c r="R1291">
        <v>6785874</v>
      </c>
    </row>
    <row r="1292" spans="1:18" x14ac:dyDescent="0.25">
      <c r="A1292" s="170">
        <v>43908</v>
      </c>
      <c r="B1292" s="116">
        <v>175</v>
      </c>
      <c r="C1292" s="116">
        <v>159.6</v>
      </c>
      <c r="D1292" s="116">
        <v>158.35</v>
      </c>
      <c r="E1292" s="116">
        <v>175</v>
      </c>
      <c r="F1292" s="116">
        <v>159.6</v>
      </c>
      <c r="G1292">
        <v>243309</v>
      </c>
      <c r="H1292" s="116"/>
      <c r="I1292" s="116"/>
      <c r="L1292" s="170">
        <v>43908</v>
      </c>
      <c r="M1292" s="116">
        <v>159.65</v>
      </c>
      <c r="N1292" s="116">
        <v>174.85</v>
      </c>
      <c r="O1292" s="116">
        <v>158.15</v>
      </c>
      <c r="P1292" s="116">
        <v>174.4</v>
      </c>
      <c r="Q1292" s="116">
        <v>159.65</v>
      </c>
      <c r="R1292">
        <v>5655132</v>
      </c>
    </row>
    <row r="1293" spans="1:18" x14ac:dyDescent="0.25">
      <c r="A1293" s="170">
        <v>43909</v>
      </c>
      <c r="B1293" s="116">
        <v>161.05000000000001</v>
      </c>
      <c r="C1293" s="116">
        <v>154.35</v>
      </c>
      <c r="D1293" s="116">
        <v>149.55000000000001</v>
      </c>
      <c r="E1293" s="116">
        <v>154.9</v>
      </c>
      <c r="F1293" s="116">
        <v>154.35</v>
      </c>
      <c r="G1293">
        <v>311683</v>
      </c>
      <c r="H1293" s="116"/>
      <c r="I1293" s="116"/>
      <c r="L1293" s="170">
        <v>43909</v>
      </c>
      <c r="M1293" s="116">
        <v>153.94999999999999</v>
      </c>
      <c r="N1293" s="116">
        <v>161.15</v>
      </c>
      <c r="O1293" s="116">
        <v>149.4</v>
      </c>
      <c r="P1293" s="116">
        <v>154</v>
      </c>
      <c r="Q1293" s="116">
        <v>153.94999999999999</v>
      </c>
      <c r="R1293">
        <v>11032807</v>
      </c>
    </row>
    <row r="1294" spans="1:18" x14ac:dyDescent="0.25">
      <c r="A1294" s="170">
        <v>43910</v>
      </c>
      <c r="B1294" s="116">
        <v>168.65</v>
      </c>
      <c r="C1294" s="116">
        <v>160.9</v>
      </c>
      <c r="D1294" s="116">
        <v>151.94999999999999</v>
      </c>
      <c r="E1294" s="116">
        <v>154</v>
      </c>
      <c r="F1294" s="116">
        <v>160.9</v>
      </c>
      <c r="G1294">
        <v>597052</v>
      </c>
      <c r="H1294" s="116"/>
      <c r="I1294" s="116"/>
      <c r="L1294" s="170">
        <v>43910</v>
      </c>
      <c r="M1294" s="116">
        <v>160.4</v>
      </c>
      <c r="N1294" s="116">
        <v>168.55</v>
      </c>
      <c r="O1294" s="116">
        <v>151.4</v>
      </c>
      <c r="P1294" s="116">
        <v>153.94999999999999</v>
      </c>
      <c r="Q1294" s="116">
        <v>160.4</v>
      </c>
      <c r="R1294">
        <v>14150719</v>
      </c>
    </row>
    <row r="1295" spans="1:18" x14ac:dyDescent="0.25">
      <c r="A1295" s="170">
        <v>43913</v>
      </c>
      <c r="B1295" s="116">
        <v>150.75</v>
      </c>
      <c r="C1295" s="116">
        <v>145.5</v>
      </c>
      <c r="D1295" s="116">
        <v>139.80000000000001</v>
      </c>
      <c r="E1295" s="116">
        <v>149.69999999999999</v>
      </c>
      <c r="F1295" s="116">
        <v>145.5</v>
      </c>
      <c r="G1295">
        <v>128134</v>
      </c>
      <c r="H1295" s="116"/>
      <c r="I1295" s="116"/>
      <c r="L1295" s="170">
        <v>43913</v>
      </c>
      <c r="M1295" s="116">
        <v>145.85</v>
      </c>
      <c r="N1295" s="116">
        <v>150.9</v>
      </c>
      <c r="O1295" s="116">
        <v>139.55000000000001</v>
      </c>
      <c r="P1295" s="116">
        <v>145</v>
      </c>
      <c r="Q1295" s="116">
        <v>145.85</v>
      </c>
      <c r="R1295">
        <v>4517269</v>
      </c>
    </row>
    <row r="1296" spans="1:18" x14ac:dyDescent="0.25">
      <c r="A1296" s="170">
        <v>43914</v>
      </c>
      <c r="B1296" s="116">
        <v>155.80000000000001</v>
      </c>
      <c r="C1296" s="116">
        <v>142.15</v>
      </c>
      <c r="D1296" s="116">
        <v>140.94999999999999</v>
      </c>
      <c r="E1296" s="116">
        <v>150</v>
      </c>
      <c r="F1296" s="116">
        <v>142.15</v>
      </c>
      <c r="G1296">
        <v>183216</v>
      </c>
      <c r="H1296" s="116"/>
      <c r="I1296" s="116"/>
      <c r="L1296" s="170">
        <v>43914</v>
      </c>
      <c r="M1296" s="116">
        <v>142.15</v>
      </c>
      <c r="N1296" s="116">
        <v>155.80000000000001</v>
      </c>
      <c r="O1296" s="116">
        <v>140.1</v>
      </c>
      <c r="P1296" s="116">
        <v>145.1</v>
      </c>
      <c r="Q1296" s="116">
        <v>142.15</v>
      </c>
      <c r="R1296">
        <v>3874329</v>
      </c>
    </row>
    <row r="1297" spans="1:18" x14ac:dyDescent="0.25">
      <c r="A1297" s="170">
        <v>43915</v>
      </c>
      <c r="B1297" s="116">
        <v>144.4</v>
      </c>
      <c r="C1297" s="116">
        <v>139.15</v>
      </c>
      <c r="D1297" s="116">
        <v>137</v>
      </c>
      <c r="E1297" s="116">
        <v>141</v>
      </c>
      <c r="F1297" s="116">
        <v>139.15</v>
      </c>
      <c r="G1297">
        <v>100815</v>
      </c>
      <c r="H1297" s="116"/>
      <c r="I1297" s="116"/>
      <c r="L1297" s="170">
        <v>43915</v>
      </c>
      <c r="M1297" s="116">
        <v>139.35</v>
      </c>
      <c r="N1297" s="116">
        <v>144.44999999999999</v>
      </c>
      <c r="O1297" s="116">
        <v>138</v>
      </c>
      <c r="P1297" s="116">
        <v>139</v>
      </c>
      <c r="Q1297" s="116">
        <v>139.35</v>
      </c>
      <c r="R1297">
        <v>6937627</v>
      </c>
    </row>
    <row r="1298" spans="1:18" x14ac:dyDescent="0.25">
      <c r="A1298" s="170">
        <v>43916</v>
      </c>
      <c r="B1298" s="116">
        <v>147</v>
      </c>
      <c r="C1298" s="116">
        <v>144.19999999999999</v>
      </c>
      <c r="D1298" s="116">
        <v>136.65</v>
      </c>
      <c r="E1298" s="116">
        <v>147</v>
      </c>
      <c r="F1298" s="116">
        <v>144.19999999999999</v>
      </c>
      <c r="G1298">
        <v>219588</v>
      </c>
      <c r="H1298" s="116"/>
      <c r="I1298" s="116"/>
      <c r="L1298" s="170">
        <v>43916</v>
      </c>
      <c r="M1298" s="116">
        <v>144.05000000000001</v>
      </c>
      <c r="N1298" s="116">
        <v>146.6</v>
      </c>
      <c r="O1298" s="116">
        <v>136.55000000000001</v>
      </c>
      <c r="P1298" s="116">
        <v>141.25</v>
      </c>
      <c r="Q1298" s="116">
        <v>144.05000000000001</v>
      </c>
      <c r="R1298">
        <v>14408540</v>
      </c>
    </row>
    <row r="1299" spans="1:18" x14ac:dyDescent="0.25">
      <c r="A1299" s="170">
        <v>43917</v>
      </c>
      <c r="B1299" s="116">
        <v>151.94999999999999</v>
      </c>
      <c r="C1299" s="116">
        <v>141.19999999999999</v>
      </c>
      <c r="D1299" s="116">
        <v>139.69999999999999</v>
      </c>
      <c r="E1299" s="116">
        <v>144.05000000000001</v>
      </c>
      <c r="F1299" s="116">
        <v>141.19999999999999</v>
      </c>
      <c r="G1299">
        <v>231761</v>
      </c>
      <c r="H1299" s="116"/>
      <c r="I1299" s="116"/>
      <c r="L1299" s="170">
        <v>43917</v>
      </c>
      <c r="M1299" s="116">
        <v>141.55000000000001</v>
      </c>
      <c r="N1299" s="116">
        <v>152</v>
      </c>
      <c r="O1299" s="116">
        <v>141</v>
      </c>
      <c r="P1299" s="116">
        <v>148.55000000000001</v>
      </c>
      <c r="Q1299" s="116">
        <v>141.55000000000001</v>
      </c>
      <c r="R1299">
        <v>7706575</v>
      </c>
    </row>
    <row r="1300" spans="1:18" x14ac:dyDescent="0.25">
      <c r="A1300" s="170">
        <v>43920</v>
      </c>
      <c r="B1300" s="116">
        <v>154.05000000000001</v>
      </c>
      <c r="C1300" s="116">
        <v>148.15</v>
      </c>
      <c r="D1300" s="116">
        <v>137.75</v>
      </c>
      <c r="E1300" s="116">
        <v>144.80000000000001</v>
      </c>
      <c r="F1300" s="116">
        <v>148.15</v>
      </c>
      <c r="G1300">
        <v>138970</v>
      </c>
      <c r="H1300" s="116"/>
      <c r="I1300" s="116"/>
      <c r="L1300" s="170">
        <v>43920</v>
      </c>
      <c r="M1300" s="116">
        <v>148.25</v>
      </c>
      <c r="N1300" s="116">
        <v>154.69999999999999</v>
      </c>
      <c r="O1300" s="116">
        <v>137.4</v>
      </c>
      <c r="P1300" s="116">
        <v>140</v>
      </c>
      <c r="Q1300" s="116">
        <v>148.25</v>
      </c>
      <c r="R1300">
        <v>6410821</v>
      </c>
    </row>
    <row r="1301" spans="1:18" x14ac:dyDescent="0.25">
      <c r="A1301" s="170">
        <v>43921</v>
      </c>
      <c r="B1301" s="116">
        <v>157</v>
      </c>
      <c r="C1301" s="116">
        <v>155.69999999999999</v>
      </c>
      <c r="D1301" s="116">
        <v>146.80000000000001</v>
      </c>
      <c r="E1301" s="116">
        <v>146.80000000000001</v>
      </c>
      <c r="F1301" s="116">
        <v>155.69999999999999</v>
      </c>
      <c r="G1301">
        <v>94442</v>
      </c>
      <c r="H1301" s="116"/>
      <c r="I1301" s="116"/>
      <c r="L1301" s="170">
        <v>43921</v>
      </c>
      <c r="M1301" s="116">
        <v>155.69999999999999</v>
      </c>
      <c r="N1301" s="116">
        <v>157</v>
      </c>
      <c r="O1301" s="116">
        <v>146.69999999999999</v>
      </c>
      <c r="P1301" s="116">
        <v>152</v>
      </c>
      <c r="Q1301" s="116">
        <v>155.69999999999999</v>
      </c>
      <c r="R1301">
        <v>3948069</v>
      </c>
    </row>
    <row r="1302" spans="1:18" x14ac:dyDescent="0.25">
      <c r="A1302" s="170">
        <v>43922</v>
      </c>
      <c r="B1302" s="116">
        <v>158.44999999999999</v>
      </c>
      <c r="C1302" s="116">
        <v>156.75</v>
      </c>
      <c r="D1302" s="116">
        <v>148.05000000000001</v>
      </c>
      <c r="E1302" s="116">
        <v>148.05000000000001</v>
      </c>
      <c r="F1302" s="116">
        <v>156.75</v>
      </c>
      <c r="G1302">
        <v>160975</v>
      </c>
      <c r="H1302" s="116"/>
      <c r="I1302" s="116"/>
      <c r="L1302" s="170">
        <v>43922</v>
      </c>
      <c r="M1302" s="116">
        <v>156.65</v>
      </c>
      <c r="N1302" s="116">
        <v>158.4</v>
      </c>
      <c r="O1302" s="116">
        <v>150.69999999999999</v>
      </c>
      <c r="P1302" s="116">
        <v>155.4</v>
      </c>
      <c r="Q1302" s="116">
        <v>156.65</v>
      </c>
      <c r="R1302">
        <v>2690175</v>
      </c>
    </row>
    <row r="1303" spans="1:18" x14ac:dyDescent="0.25">
      <c r="A1303" s="170">
        <v>43924</v>
      </c>
      <c r="B1303" s="116">
        <v>157</v>
      </c>
      <c r="C1303" s="116">
        <v>153.05000000000001</v>
      </c>
      <c r="D1303" s="116">
        <v>151.69999999999999</v>
      </c>
      <c r="E1303" s="116">
        <v>157</v>
      </c>
      <c r="F1303" s="116">
        <v>153.05000000000001</v>
      </c>
      <c r="G1303">
        <v>600559</v>
      </c>
      <c r="H1303" s="116"/>
      <c r="I1303" s="116"/>
      <c r="L1303" s="170">
        <v>43924</v>
      </c>
      <c r="M1303" s="116">
        <v>153</v>
      </c>
      <c r="N1303" s="116">
        <v>156.65</v>
      </c>
      <c r="O1303" s="116">
        <v>151.55000000000001</v>
      </c>
      <c r="P1303" s="116">
        <v>156.6</v>
      </c>
      <c r="Q1303" s="116">
        <v>153</v>
      </c>
      <c r="R1303">
        <v>3738943</v>
      </c>
    </row>
    <row r="1304" spans="1:18" x14ac:dyDescent="0.25">
      <c r="A1304" s="170">
        <v>43928</v>
      </c>
      <c r="B1304" s="116">
        <v>160.55000000000001</v>
      </c>
      <c r="C1304" s="116">
        <v>159.1</v>
      </c>
      <c r="D1304" s="116">
        <v>153</v>
      </c>
      <c r="E1304" s="116">
        <v>153</v>
      </c>
      <c r="F1304" s="116">
        <v>159.1</v>
      </c>
      <c r="G1304">
        <v>246820</v>
      </c>
      <c r="H1304" s="116"/>
      <c r="I1304" s="116"/>
      <c r="L1304" s="170">
        <v>43928</v>
      </c>
      <c r="M1304" s="116">
        <v>159</v>
      </c>
      <c r="N1304" s="116">
        <v>160.5</v>
      </c>
      <c r="O1304" s="116">
        <v>153.5</v>
      </c>
      <c r="P1304" s="116">
        <v>154</v>
      </c>
      <c r="Q1304" s="116">
        <v>159</v>
      </c>
      <c r="R1304">
        <v>6642891</v>
      </c>
    </row>
    <row r="1305" spans="1:18" x14ac:dyDescent="0.25">
      <c r="A1305" s="170">
        <v>43929</v>
      </c>
      <c r="B1305" s="116">
        <v>160</v>
      </c>
      <c r="C1305" s="116">
        <v>149.75</v>
      </c>
      <c r="D1305" s="116">
        <v>148.25</v>
      </c>
      <c r="E1305" s="116">
        <v>160</v>
      </c>
      <c r="F1305" s="116">
        <v>149.75</v>
      </c>
      <c r="G1305">
        <v>290294</v>
      </c>
      <c r="H1305" s="116"/>
      <c r="I1305" s="116"/>
      <c r="L1305" s="170">
        <v>43929</v>
      </c>
      <c r="M1305" s="116">
        <v>149.69999999999999</v>
      </c>
      <c r="N1305" s="116">
        <v>159.5</v>
      </c>
      <c r="O1305" s="116">
        <v>148.19999999999999</v>
      </c>
      <c r="P1305" s="116">
        <v>158.5</v>
      </c>
      <c r="Q1305" s="116">
        <v>149.69999999999999</v>
      </c>
      <c r="R1305">
        <v>10421438</v>
      </c>
    </row>
    <row r="1306" spans="1:18" x14ac:dyDescent="0.25">
      <c r="A1306" s="170">
        <v>43930</v>
      </c>
      <c r="B1306" s="116">
        <v>160.55000000000001</v>
      </c>
      <c r="C1306" s="116">
        <v>158.85</v>
      </c>
      <c r="D1306" s="116">
        <v>149.75</v>
      </c>
      <c r="E1306" s="116">
        <v>149.75</v>
      </c>
      <c r="F1306" s="116">
        <v>158.85</v>
      </c>
      <c r="G1306">
        <v>280400</v>
      </c>
      <c r="H1306" s="116"/>
      <c r="I1306" s="116"/>
      <c r="L1306" s="170">
        <v>43930</v>
      </c>
      <c r="M1306" s="116">
        <v>158.80000000000001</v>
      </c>
      <c r="N1306" s="116">
        <v>160.6</v>
      </c>
      <c r="O1306" s="116">
        <v>150.75</v>
      </c>
      <c r="P1306" s="116">
        <v>151.19999999999999</v>
      </c>
      <c r="Q1306" s="116">
        <v>158.80000000000001</v>
      </c>
      <c r="R1306">
        <v>8828432</v>
      </c>
    </row>
    <row r="1307" spans="1:18" x14ac:dyDescent="0.25">
      <c r="A1307" s="170">
        <v>43934</v>
      </c>
      <c r="B1307" s="116">
        <v>172.3</v>
      </c>
      <c r="C1307" s="116">
        <v>164.9</v>
      </c>
      <c r="D1307" s="116">
        <v>157.5</v>
      </c>
      <c r="E1307" s="116">
        <v>160</v>
      </c>
      <c r="F1307" s="116">
        <v>164.9</v>
      </c>
      <c r="G1307">
        <v>838749</v>
      </c>
      <c r="H1307" s="116"/>
      <c r="I1307" s="116"/>
      <c r="L1307" s="170">
        <v>43934</v>
      </c>
      <c r="M1307" s="116">
        <v>165</v>
      </c>
      <c r="N1307" s="116">
        <v>172.35</v>
      </c>
      <c r="O1307" s="116">
        <v>157.25</v>
      </c>
      <c r="P1307" s="116">
        <v>158.94999999999999</v>
      </c>
      <c r="Q1307" s="116">
        <v>165</v>
      </c>
      <c r="R1307">
        <v>12551506</v>
      </c>
    </row>
    <row r="1308" spans="1:18" x14ac:dyDescent="0.25">
      <c r="A1308" s="170">
        <v>43936</v>
      </c>
      <c r="B1308" s="116">
        <v>173.9</v>
      </c>
      <c r="C1308" s="116">
        <v>168.55</v>
      </c>
      <c r="D1308" s="116">
        <v>167.4</v>
      </c>
      <c r="E1308" s="116">
        <v>170</v>
      </c>
      <c r="F1308" s="116">
        <v>168.55</v>
      </c>
      <c r="G1308">
        <v>256804</v>
      </c>
      <c r="H1308" s="116"/>
      <c r="I1308" s="116"/>
      <c r="L1308" s="170">
        <v>43936</v>
      </c>
      <c r="M1308" s="116">
        <v>168.55</v>
      </c>
      <c r="N1308" s="116">
        <v>173.95</v>
      </c>
      <c r="O1308" s="116">
        <v>167.1</v>
      </c>
      <c r="P1308" s="116">
        <v>167.1</v>
      </c>
      <c r="Q1308" s="116">
        <v>168.55</v>
      </c>
      <c r="R1308">
        <v>9909062</v>
      </c>
    </row>
    <row r="1309" spans="1:18" x14ac:dyDescent="0.25">
      <c r="A1309" s="170">
        <v>43937</v>
      </c>
      <c r="B1309" s="116">
        <v>174.55</v>
      </c>
      <c r="C1309" s="116">
        <v>169.6</v>
      </c>
      <c r="D1309" s="116">
        <v>163</v>
      </c>
      <c r="E1309" s="116">
        <v>169.2</v>
      </c>
      <c r="F1309" s="116">
        <v>169.6</v>
      </c>
      <c r="G1309">
        <v>232882</v>
      </c>
      <c r="H1309" s="116"/>
      <c r="I1309" s="116"/>
      <c r="L1309" s="170">
        <v>43937</v>
      </c>
      <c r="M1309" s="116">
        <v>169.7</v>
      </c>
      <c r="N1309" s="116">
        <v>174.65</v>
      </c>
      <c r="O1309" s="116">
        <v>163.85</v>
      </c>
      <c r="P1309" s="116">
        <v>167.1</v>
      </c>
      <c r="Q1309" s="116">
        <v>169.7</v>
      </c>
      <c r="R1309">
        <v>6792496</v>
      </c>
    </row>
    <row r="1310" spans="1:18" x14ac:dyDescent="0.25">
      <c r="A1310" s="170">
        <v>43938</v>
      </c>
      <c r="B1310" s="116">
        <v>178.2</v>
      </c>
      <c r="C1310" s="116">
        <v>174.6</v>
      </c>
      <c r="D1310" s="116">
        <v>169.5</v>
      </c>
      <c r="E1310" s="116">
        <v>177.8</v>
      </c>
      <c r="F1310" s="116">
        <v>174.6</v>
      </c>
      <c r="G1310">
        <v>319106</v>
      </c>
      <c r="H1310" s="116"/>
      <c r="I1310" s="116"/>
      <c r="L1310" s="170">
        <v>43938</v>
      </c>
      <c r="M1310" s="116">
        <v>172.95</v>
      </c>
      <c r="N1310" s="116">
        <v>175.5</v>
      </c>
      <c r="O1310" s="116">
        <v>169.4</v>
      </c>
      <c r="P1310" s="116">
        <v>174</v>
      </c>
      <c r="Q1310" s="116">
        <v>172.95</v>
      </c>
      <c r="R1310">
        <v>3706603</v>
      </c>
    </row>
    <row r="1311" spans="1:18" x14ac:dyDescent="0.25">
      <c r="A1311" s="170">
        <v>43941</v>
      </c>
      <c r="B1311" s="116">
        <v>176.9</v>
      </c>
      <c r="C1311" s="116">
        <v>170.25</v>
      </c>
      <c r="D1311" s="116">
        <v>170</v>
      </c>
      <c r="E1311" s="116">
        <v>176.9</v>
      </c>
      <c r="F1311" s="116">
        <v>170.25</v>
      </c>
      <c r="G1311">
        <v>182031</v>
      </c>
      <c r="H1311" s="116"/>
      <c r="I1311" s="116"/>
      <c r="L1311" s="170">
        <v>43941</v>
      </c>
      <c r="M1311" s="116">
        <v>170.3</v>
      </c>
      <c r="N1311" s="116">
        <v>175.9</v>
      </c>
      <c r="O1311" s="116">
        <v>169.95</v>
      </c>
      <c r="P1311" s="116">
        <v>175.9</v>
      </c>
      <c r="Q1311" s="116">
        <v>170.3</v>
      </c>
      <c r="R1311">
        <v>2682037</v>
      </c>
    </row>
    <row r="1312" spans="1:18" x14ac:dyDescent="0.25">
      <c r="A1312" s="170">
        <v>43942</v>
      </c>
      <c r="B1312" s="116">
        <v>170</v>
      </c>
      <c r="C1312" s="116">
        <v>167.65</v>
      </c>
      <c r="D1312" s="116">
        <v>164.25</v>
      </c>
      <c r="E1312" s="116">
        <v>170</v>
      </c>
      <c r="F1312" s="116">
        <v>167.65</v>
      </c>
      <c r="G1312">
        <v>224979</v>
      </c>
      <c r="H1312" s="116"/>
      <c r="I1312" s="116"/>
      <c r="L1312" s="170">
        <v>43942</v>
      </c>
      <c r="M1312" s="116">
        <v>167.55</v>
      </c>
      <c r="N1312" s="116">
        <v>169.45</v>
      </c>
      <c r="O1312" s="116">
        <v>164.1</v>
      </c>
      <c r="P1312" s="116">
        <v>167.75</v>
      </c>
      <c r="Q1312" s="116">
        <v>167.55</v>
      </c>
      <c r="R1312">
        <v>2369603</v>
      </c>
    </row>
    <row r="1313" spans="1:18" x14ac:dyDescent="0.25">
      <c r="A1313" s="170">
        <v>43943</v>
      </c>
      <c r="B1313" s="116">
        <v>177.7</v>
      </c>
      <c r="C1313" s="116">
        <v>176.7</v>
      </c>
      <c r="D1313" s="116">
        <v>166.45</v>
      </c>
      <c r="E1313" s="116">
        <v>169.95</v>
      </c>
      <c r="F1313" s="116">
        <v>176.7</v>
      </c>
      <c r="G1313">
        <v>160635</v>
      </c>
      <c r="H1313" s="116"/>
      <c r="I1313" s="116"/>
      <c r="L1313" s="170">
        <v>43943</v>
      </c>
      <c r="M1313" s="116">
        <v>176.5</v>
      </c>
      <c r="N1313" s="116">
        <v>177.7</v>
      </c>
      <c r="O1313" s="116">
        <v>166.35</v>
      </c>
      <c r="P1313" s="116">
        <v>167.4</v>
      </c>
      <c r="Q1313" s="116">
        <v>176.5</v>
      </c>
      <c r="R1313">
        <v>5333081</v>
      </c>
    </row>
    <row r="1314" spans="1:18" x14ac:dyDescent="0.25">
      <c r="A1314" s="170">
        <v>43944</v>
      </c>
      <c r="B1314" s="116">
        <v>179.8</v>
      </c>
      <c r="C1314" s="116">
        <v>171.45</v>
      </c>
      <c r="D1314" s="116">
        <v>170.5</v>
      </c>
      <c r="E1314" s="116">
        <v>179.8</v>
      </c>
      <c r="F1314" s="116">
        <v>171.45</v>
      </c>
      <c r="G1314">
        <v>160285</v>
      </c>
      <c r="H1314" s="116"/>
      <c r="I1314" s="116"/>
      <c r="L1314" s="170">
        <v>43944</v>
      </c>
      <c r="M1314" s="116">
        <v>171.45</v>
      </c>
      <c r="N1314" s="116">
        <v>179.5</v>
      </c>
      <c r="O1314" s="116">
        <v>170.4</v>
      </c>
      <c r="P1314" s="116">
        <v>178.5</v>
      </c>
      <c r="Q1314" s="116">
        <v>171.45</v>
      </c>
      <c r="R1314">
        <v>4629630</v>
      </c>
    </row>
    <row r="1315" spans="1:18" x14ac:dyDescent="0.25">
      <c r="A1315" s="170">
        <v>43945</v>
      </c>
      <c r="B1315" s="116">
        <v>171.6</v>
      </c>
      <c r="C1315" s="116">
        <v>167.95</v>
      </c>
      <c r="D1315" s="116">
        <v>167.1</v>
      </c>
      <c r="E1315" s="116">
        <v>170</v>
      </c>
      <c r="F1315" s="116">
        <v>167.95</v>
      </c>
      <c r="G1315">
        <v>124796</v>
      </c>
      <c r="H1315" s="116"/>
      <c r="I1315" s="116"/>
      <c r="L1315" s="170">
        <v>43945</v>
      </c>
      <c r="M1315" s="116">
        <v>167.95</v>
      </c>
      <c r="N1315" s="116">
        <v>171.6</v>
      </c>
      <c r="O1315" s="116">
        <v>166.2</v>
      </c>
      <c r="P1315" s="116">
        <v>169.9</v>
      </c>
      <c r="Q1315" s="116">
        <v>167.95</v>
      </c>
      <c r="R1315">
        <v>2729060</v>
      </c>
    </row>
    <row r="1316" spans="1:18" x14ac:dyDescent="0.25">
      <c r="A1316" s="170">
        <v>43948</v>
      </c>
      <c r="B1316" s="116">
        <v>174</v>
      </c>
      <c r="C1316" s="116">
        <v>172.3</v>
      </c>
      <c r="D1316" s="116">
        <v>168.75</v>
      </c>
      <c r="E1316" s="116">
        <v>174</v>
      </c>
      <c r="F1316" s="116">
        <v>172.3</v>
      </c>
      <c r="G1316">
        <v>158519</v>
      </c>
      <c r="H1316" s="116"/>
      <c r="I1316" s="116"/>
      <c r="L1316" s="170">
        <v>43948</v>
      </c>
      <c r="M1316" s="116">
        <v>172.3</v>
      </c>
      <c r="N1316" s="116">
        <v>174</v>
      </c>
      <c r="O1316" s="116">
        <v>168.6</v>
      </c>
      <c r="P1316" s="116">
        <v>170.4</v>
      </c>
      <c r="Q1316" s="116">
        <v>172.3</v>
      </c>
      <c r="R1316">
        <v>4140719</v>
      </c>
    </row>
    <row r="1317" spans="1:18" x14ac:dyDescent="0.25">
      <c r="A1317" s="170">
        <v>43949</v>
      </c>
      <c r="B1317" s="116">
        <v>180</v>
      </c>
      <c r="C1317" s="116">
        <v>168</v>
      </c>
      <c r="D1317" s="116">
        <v>166.75</v>
      </c>
      <c r="E1317" s="116">
        <v>180</v>
      </c>
      <c r="F1317" s="116">
        <v>168</v>
      </c>
      <c r="G1317">
        <v>488399</v>
      </c>
      <c r="H1317" s="116"/>
      <c r="I1317" s="116"/>
      <c r="L1317" s="170">
        <v>43949</v>
      </c>
      <c r="M1317" s="116">
        <v>167.7</v>
      </c>
      <c r="N1317" s="116">
        <v>179</v>
      </c>
      <c r="O1317" s="116">
        <v>166.85</v>
      </c>
      <c r="P1317" s="116">
        <v>179</v>
      </c>
      <c r="Q1317" s="116">
        <v>167.7</v>
      </c>
      <c r="R1317">
        <v>13325718</v>
      </c>
    </row>
    <row r="1318" spans="1:18" x14ac:dyDescent="0.25">
      <c r="A1318" s="170">
        <v>43950</v>
      </c>
      <c r="B1318" s="116">
        <v>170.7</v>
      </c>
      <c r="C1318" s="116">
        <v>169.5</v>
      </c>
      <c r="D1318" s="116">
        <v>165.65</v>
      </c>
      <c r="E1318" s="116">
        <v>167.5</v>
      </c>
      <c r="F1318" s="116">
        <v>169.5</v>
      </c>
      <c r="G1318">
        <v>188564</v>
      </c>
      <c r="H1318" s="116"/>
      <c r="I1318" s="116"/>
      <c r="L1318" s="170">
        <v>43950</v>
      </c>
      <c r="M1318" s="116">
        <v>169.5</v>
      </c>
      <c r="N1318" s="116">
        <v>170.75</v>
      </c>
      <c r="O1318" s="116">
        <v>165.65</v>
      </c>
      <c r="P1318" s="116">
        <v>166.9</v>
      </c>
      <c r="Q1318" s="116">
        <v>169.5</v>
      </c>
      <c r="R1318">
        <v>3900474</v>
      </c>
    </row>
    <row r="1319" spans="1:18" x14ac:dyDescent="0.25">
      <c r="A1319" s="170">
        <v>43951</v>
      </c>
      <c r="B1319" s="116">
        <v>174.85</v>
      </c>
      <c r="C1319" s="116">
        <v>171.7</v>
      </c>
      <c r="D1319" s="116">
        <v>170.8</v>
      </c>
      <c r="E1319" s="116">
        <v>170.9</v>
      </c>
      <c r="F1319" s="116">
        <v>171.7</v>
      </c>
      <c r="G1319">
        <v>176908</v>
      </c>
      <c r="H1319" s="116"/>
      <c r="I1319" s="116"/>
      <c r="L1319" s="170">
        <v>43951</v>
      </c>
      <c r="M1319" s="116">
        <v>171.65</v>
      </c>
      <c r="N1319" s="116">
        <v>174.85</v>
      </c>
      <c r="O1319" s="116">
        <v>170.55</v>
      </c>
      <c r="P1319" s="116">
        <v>171.2</v>
      </c>
      <c r="Q1319" s="116">
        <v>171.65</v>
      </c>
      <c r="R1319">
        <v>4691798</v>
      </c>
    </row>
    <row r="1320" spans="1:18" x14ac:dyDescent="0.25">
      <c r="A1320" s="170">
        <v>43955</v>
      </c>
      <c r="B1320" s="116">
        <v>169.8</v>
      </c>
      <c r="C1320" s="116">
        <v>162.44999999999999</v>
      </c>
      <c r="D1320" s="116">
        <v>161.55000000000001</v>
      </c>
      <c r="E1320" s="116">
        <v>169</v>
      </c>
      <c r="F1320" s="116">
        <v>162.44999999999999</v>
      </c>
      <c r="G1320">
        <v>200354</v>
      </c>
      <c r="H1320" s="116"/>
      <c r="I1320" s="116"/>
      <c r="L1320" s="170">
        <v>43955</v>
      </c>
      <c r="M1320" s="116">
        <v>162.35</v>
      </c>
      <c r="N1320" s="116">
        <v>169.8</v>
      </c>
      <c r="O1320" s="116">
        <v>161.5</v>
      </c>
      <c r="P1320" s="116">
        <v>167.25</v>
      </c>
      <c r="Q1320" s="116">
        <v>162.35</v>
      </c>
      <c r="R1320">
        <v>4949252</v>
      </c>
    </row>
    <row r="1321" spans="1:18" x14ac:dyDescent="0.25">
      <c r="A1321" s="170">
        <v>43956</v>
      </c>
      <c r="B1321" s="116">
        <v>168.8</v>
      </c>
      <c r="C1321" s="116">
        <v>164.8</v>
      </c>
      <c r="D1321" s="116">
        <v>163.80000000000001</v>
      </c>
      <c r="E1321" s="116">
        <v>167.6</v>
      </c>
      <c r="F1321" s="116">
        <v>164.8</v>
      </c>
      <c r="G1321">
        <v>135237</v>
      </c>
      <c r="H1321" s="116"/>
      <c r="I1321" s="116"/>
      <c r="L1321" s="170">
        <v>43956</v>
      </c>
      <c r="M1321" s="116">
        <v>164.8</v>
      </c>
      <c r="N1321" s="116">
        <v>168.85</v>
      </c>
      <c r="O1321" s="116">
        <v>163.75</v>
      </c>
      <c r="P1321" s="116">
        <v>165</v>
      </c>
      <c r="Q1321" s="116">
        <v>164.8</v>
      </c>
      <c r="R1321">
        <v>4097025</v>
      </c>
    </row>
    <row r="1322" spans="1:18" x14ac:dyDescent="0.25">
      <c r="A1322" s="170">
        <v>43957</v>
      </c>
      <c r="B1322" s="116">
        <v>170.45</v>
      </c>
      <c r="C1322" s="116">
        <v>167.9</v>
      </c>
      <c r="D1322" s="116">
        <v>164.5</v>
      </c>
      <c r="E1322" s="116">
        <v>165</v>
      </c>
      <c r="F1322" s="116">
        <v>167.9</v>
      </c>
      <c r="G1322">
        <v>184288</v>
      </c>
      <c r="H1322" s="116"/>
      <c r="I1322" s="116"/>
      <c r="L1322" s="170">
        <v>43957</v>
      </c>
      <c r="M1322" s="116">
        <v>167.85</v>
      </c>
      <c r="N1322" s="116">
        <v>170.55</v>
      </c>
      <c r="O1322" s="116">
        <v>164.5</v>
      </c>
      <c r="P1322" s="116">
        <v>165.6</v>
      </c>
      <c r="Q1322" s="116">
        <v>167.85</v>
      </c>
      <c r="R1322">
        <v>7032456</v>
      </c>
    </row>
    <row r="1323" spans="1:18" x14ac:dyDescent="0.25">
      <c r="A1323" s="170">
        <v>43958</v>
      </c>
      <c r="B1323" s="116">
        <v>170.7</v>
      </c>
      <c r="C1323" s="116">
        <v>168.55</v>
      </c>
      <c r="D1323" s="116">
        <v>165.2</v>
      </c>
      <c r="E1323" s="116">
        <v>165.2</v>
      </c>
      <c r="F1323" s="116">
        <v>168.55</v>
      </c>
      <c r="G1323">
        <v>114085</v>
      </c>
      <c r="H1323" s="116"/>
      <c r="I1323" s="116"/>
      <c r="L1323" s="170">
        <v>43958</v>
      </c>
      <c r="M1323" s="116">
        <v>168.6</v>
      </c>
      <c r="N1323" s="116">
        <v>170.8</v>
      </c>
      <c r="O1323" s="116">
        <v>166.8</v>
      </c>
      <c r="P1323" s="116">
        <v>167.9</v>
      </c>
      <c r="Q1323" s="116">
        <v>168.6</v>
      </c>
      <c r="R1323">
        <v>4497992</v>
      </c>
    </row>
    <row r="1324" spans="1:18" x14ac:dyDescent="0.25">
      <c r="A1324" s="170">
        <v>43959</v>
      </c>
      <c r="B1324" s="116">
        <v>172.85</v>
      </c>
      <c r="C1324" s="116">
        <v>169.35</v>
      </c>
      <c r="D1324" s="116">
        <v>168.5</v>
      </c>
      <c r="E1324" s="116">
        <v>168.5</v>
      </c>
      <c r="F1324" s="116">
        <v>169.35</v>
      </c>
      <c r="G1324">
        <v>126335</v>
      </c>
      <c r="H1324" s="116"/>
      <c r="I1324" s="116"/>
      <c r="L1324" s="170">
        <v>43959</v>
      </c>
      <c r="M1324" s="116">
        <v>169.35</v>
      </c>
      <c r="N1324" s="116">
        <v>172.95</v>
      </c>
      <c r="O1324" s="116">
        <v>168.75</v>
      </c>
      <c r="P1324" s="116">
        <v>170.7</v>
      </c>
      <c r="Q1324" s="116">
        <v>169.35</v>
      </c>
      <c r="R1324">
        <v>3874980</v>
      </c>
    </row>
    <row r="1325" spans="1:18" x14ac:dyDescent="0.25">
      <c r="A1325" s="170">
        <v>43962</v>
      </c>
      <c r="B1325" s="116">
        <v>174.65</v>
      </c>
      <c r="C1325" s="116">
        <v>174</v>
      </c>
      <c r="D1325" s="116">
        <v>170.5</v>
      </c>
      <c r="E1325" s="116">
        <v>170.7</v>
      </c>
      <c r="F1325" s="116">
        <v>174</v>
      </c>
      <c r="G1325">
        <v>139100</v>
      </c>
      <c r="H1325" s="116"/>
      <c r="I1325" s="116"/>
      <c r="L1325" s="170">
        <v>43962</v>
      </c>
      <c r="M1325" s="116">
        <v>173.95</v>
      </c>
      <c r="N1325" s="116">
        <v>174.7</v>
      </c>
      <c r="O1325" s="116">
        <v>170.15</v>
      </c>
      <c r="P1325" s="116">
        <v>170.15</v>
      </c>
      <c r="Q1325" s="116">
        <v>173.95</v>
      </c>
      <c r="R1325">
        <v>4258713</v>
      </c>
    </row>
    <row r="1326" spans="1:18" x14ac:dyDescent="0.25">
      <c r="A1326" s="170">
        <v>43963</v>
      </c>
      <c r="B1326" s="116">
        <v>176.25</v>
      </c>
      <c r="C1326" s="116">
        <v>175.15</v>
      </c>
      <c r="D1326" s="116">
        <v>170.75</v>
      </c>
      <c r="E1326" s="116">
        <v>174.6</v>
      </c>
      <c r="F1326" s="116">
        <v>175.15</v>
      </c>
      <c r="G1326">
        <v>133203</v>
      </c>
      <c r="H1326" s="116"/>
      <c r="I1326" s="116"/>
      <c r="L1326" s="170">
        <v>43963</v>
      </c>
      <c r="M1326" s="116">
        <v>175.2</v>
      </c>
      <c r="N1326" s="116">
        <v>176.3</v>
      </c>
      <c r="O1326" s="116">
        <v>170.65</v>
      </c>
      <c r="P1326" s="116">
        <v>173.5</v>
      </c>
      <c r="Q1326" s="116">
        <v>175.2</v>
      </c>
      <c r="R1326">
        <v>3911751</v>
      </c>
    </row>
    <row r="1327" spans="1:18" x14ac:dyDescent="0.25">
      <c r="A1327" s="170">
        <v>43964</v>
      </c>
      <c r="B1327" s="116">
        <v>190.9</v>
      </c>
      <c r="C1327" s="116">
        <v>182.95</v>
      </c>
      <c r="D1327" s="116">
        <v>180.5</v>
      </c>
      <c r="E1327" s="116">
        <v>180.5</v>
      </c>
      <c r="F1327" s="116">
        <v>182.95</v>
      </c>
      <c r="G1327">
        <v>416895</v>
      </c>
      <c r="H1327" s="116"/>
      <c r="I1327" s="116"/>
      <c r="L1327" s="170">
        <v>43964</v>
      </c>
      <c r="M1327" s="116">
        <v>183</v>
      </c>
      <c r="N1327" s="116">
        <v>191</v>
      </c>
      <c r="O1327" s="116">
        <v>182</v>
      </c>
      <c r="P1327" s="116">
        <v>182.1</v>
      </c>
      <c r="Q1327" s="116">
        <v>183</v>
      </c>
      <c r="R1327">
        <v>14928663</v>
      </c>
    </row>
    <row r="1328" spans="1:18" x14ac:dyDescent="0.25">
      <c r="A1328" s="170">
        <v>43965</v>
      </c>
      <c r="B1328" s="116">
        <v>184</v>
      </c>
      <c r="C1328" s="116">
        <v>182.55</v>
      </c>
      <c r="D1328" s="116">
        <v>178.65</v>
      </c>
      <c r="E1328" s="116">
        <v>182</v>
      </c>
      <c r="F1328" s="116">
        <v>182.55</v>
      </c>
      <c r="G1328">
        <v>106657</v>
      </c>
      <c r="H1328" s="116"/>
      <c r="I1328" s="116"/>
      <c r="L1328" s="170">
        <v>43965</v>
      </c>
      <c r="M1328" s="116">
        <v>182.5</v>
      </c>
      <c r="N1328" s="116">
        <v>184.2</v>
      </c>
      <c r="O1328" s="116">
        <v>178.65</v>
      </c>
      <c r="P1328" s="116">
        <v>181.2</v>
      </c>
      <c r="Q1328" s="116">
        <v>182.5</v>
      </c>
      <c r="R1328">
        <v>2893550</v>
      </c>
    </row>
    <row r="1329" spans="1:18" x14ac:dyDescent="0.25">
      <c r="A1329" s="170">
        <v>43966</v>
      </c>
      <c r="B1329" s="116">
        <v>184.7</v>
      </c>
      <c r="C1329" s="116">
        <v>181.65</v>
      </c>
      <c r="D1329" s="116">
        <v>179.9</v>
      </c>
      <c r="E1329" s="116">
        <v>183.45</v>
      </c>
      <c r="F1329" s="116">
        <v>181.65</v>
      </c>
      <c r="G1329">
        <v>114025</v>
      </c>
      <c r="H1329" s="116"/>
      <c r="I1329" s="116"/>
      <c r="L1329" s="170">
        <v>43966</v>
      </c>
      <c r="M1329" s="116">
        <v>181.8</v>
      </c>
      <c r="N1329" s="116">
        <v>184.7</v>
      </c>
      <c r="O1329" s="116">
        <v>179.85</v>
      </c>
      <c r="P1329" s="116">
        <v>184</v>
      </c>
      <c r="Q1329" s="116">
        <v>181.8</v>
      </c>
      <c r="R1329">
        <v>6194865</v>
      </c>
    </row>
    <row r="1330" spans="1:18" x14ac:dyDescent="0.25">
      <c r="A1330" s="170">
        <v>43969</v>
      </c>
      <c r="B1330" s="116">
        <v>184.6</v>
      </c>
      <c r="C1330" s="116">
        <v>172.05</v>
      </c>
      <c r="D1330" s="116">
        <v>171.05</v>
      </c>
      <c r="E1330" s="116">
        <v>184.6</v>
      </c>
      <c r="F1330" s="116">
        <v>172.05</v>
      </c>
      <c r="G1330">
        <v>139038</v>
      </c>
      <c r="H1330" s="116"/>
      <c r="I1330" s="116"/>
      <c r="L1330" s="170">
        <v>43969</v>
      </c>
      <c r="M1330" s="116">
        <v>172.15</v>
      </c>
      <c r="N1330" s="116">
        <v>182.45</v>
      </c>
      <c r="O1330" s="116">
        <v>171</v>
      </c>
      <c r="P1330" s="116">
        <v>182</v>
      </c>
      <c r="Q1330" s="116">
        <v>172.15</v>
      </c>
      <c r="R1330">
        <v>3640919</v>
      </c>
    </row>
    <row r="1331" spans="1:18" x14ac:dyDescent="0.25">
      <c r="A1331" s="170">
        <v>43970</v>
      </c>
      <c r="B1331" s="116">
        <v>176.7</v>
      </c>
      <c r="C1331" s="116">
        <v>174.6</v>
      </c>
      <c r="D1331" s="116">
        <v>170.45</v>
      </c>
      <c r="E1331" s="116">
        <v>173.25</v>
      </c>
      <c r="F1331" s="116">
        <v>174.6</v>
      </c>
      <c r="G1331">
        <v>105137</v>
      </c>
      <c r="H1331" s="116"/>
      <c r="I1331" s="116"/>
      <c r="L1331" s="170">
        <v>43970</v>
      </c>
      <c r="M1331" s="116">
        <v>174.6</v>
      </c>
      <c r="N1331" s="116">
        <v>176.8</v>
      </c>
      <c r="O1331" s="116">
        <v>170.25</v>
      </c>
      <c r="P1331" s="116">
        <v>173.9</v>
      </c>
      <c r="Q1331" s="116">
        <v>174.6</v>
      </c>
      <c r="R1331">
        <v>3512226</v>
      </c>
    </row>
    <row r="1332" spans="1:18" x14ac:dyDescent="0.25">
      <c r="A1332" s="170">
        <v>43971</v>
      </c>
      <c r="B1332" s="116">
        <v>180.8</v>
      </c>
      <c r="C1332" s="116">
        <v>179.5</v>
      </c>
      <c r="D1332" s="116">
        <v>171</v>
      </c>
      <c r="E1332" s="116">
        <v>171</v>
      </c>
      <c r="F1332" s="116">
        <v>179.5</v>
      </c>
      <c r="G1332">
        <v>125761</v>
      </c>
      <c r="H1332" s="116"/>
      <c r="I1332" s="116"/>
      <c r="L1332" s="170">
        <v>43971</v>
      </c>
      <c r="M1332" s="116">
        <v>179.65</v>
      </c>
      <c r="N1332" s="116">
        <v>181.55</v>
      </c>
      <c r="O1332" s="116">
        <v>172.35</v>
      </c>
      <c r="P1332" s="116">
        <v>174.5</v>
      </c>
      <c r="Q1332" s="116">
        <v>179.65</v>
      </c>
      <c r="R1332">
        <v>2833520</v>
      </c>
    </row>
    <row r="1333" spans="1:18" x14ac:dyDescent="0.25">
      <c r="A1333" s="170">
        <v>43972</v>
      </c>
      <c r="B1333" s="116">
        <v>183.6</v>
      </c>
      <c r="C1333" s="116">
        <v>181.05</v>
      </c>
      <c r="D1333" s="116">
        <v>177.4</v>
      </c>
      <c r="E1333" s="116">
        <v>180</v>
      </c>
      <c r="F1333" s="116">
        <v>181.05</v>
      </c>
      <c r="G1333">
        <v>127351</v>
      </c>
      <c r="H1333" s="116"/>
      <c r="I1333" s="116"/>
      <c r="L1333" s="170">
        <v>43972</v>
      </c>
      <c r="M1333" s="116">
        <v>181</v>
      </c>
      <c r="N1333" s="116">
        <v>183.7</v>
      </c>
      <c r="O1333" s="116">
        <v>177.5</v>
      </c>
      <c r="P1333" s="116">
        <v>180.7</v>
      </c>
      <c r="Q1333" s="116">
        <v>181</v>
      </c>
      <c r="R1333">
        <v>5097416</v>
      </c>
    </row>
    <row r="1334" spans="1:18" x14ac:dyDescent="0.25">
      <c r="A1334" s="170">
        <v>43973</v>
      </c>
      <c r="B1334" s="116">
        <v>187.75</v>
      </c>
      <c r="C1334" s="116">
        <v>187.1</v>
      </c>
      <c r="D1334" s="116">
        <v>177.45</v>
      </c>
      <c r="E1334" s="116">
        <v>180.05</v>
      </c>
      <c r="F1334" s="116">
        <v>187.1</v>
      </c>
      <c r="G1334">
        <v>261089</v>
      </c>
      <c r="H1334" s="116"/>
      <c r="I1334" s="116"/>
      <c r="L1334" s="170">
        <v>43973</v>
      </c>
      <c r="M1334" s="116">
        <v>186.95</v>
      </c>
      <c r="N1334" s="116">
        <v>187.85</v>
      </c>
      <c r="O1334" s="116">
        <v>177.2</v>
      </c>
      <c r="P1334" s="116">
        <v>180</v>
      </c>
      <c r="Q1334" s="116">
        <v>186.95</v>
      </c>
      <c r="R1334">
        <v>6953579</v>
      </c>
    </row>
    <row r="1335" spans="1:18" x14ac:dyDescent="0.25">
      <c r="A1335" s="170">
        <v>43977</v>
      </c>
      <c r="B1335" s="116">
        <v>190</v>
      </c>
      <c r="C1335" s="116">
        <v>188.75</v>
      </c>
      <c r="D1335" s="116">
        <v>185.65</v>
      </c>
      <c r="E1335" s="116">
        <v>189.6</v>
      </c>
      <c r="F1335" s="116">
        <v>188.75</v>
      </c>
      <c r="G1335">
        <v>188120</v>
      </c>
      <c r="H1335" s="116"/>
      <c r="I1335" s="116"/>
      <c r="L1335" s="170">
        <v>43977</v>
      </c>
      <c r="M1335" s="116">
        <v>188.55</v>
      </c>
      <c r="N1335" s="116">
        <v>190</v>
      </c>
      <c r="O1335" s="116">
        <v>185.55</v>
      </c>
      <c r="P1335" s="116">
        <v>187.8</v>
      </c>
      <c r="Q1335" s="116">
        <v>188.55</v>
      </c>
      <c r="R1335">
        <v>5800498</v>
      </c>
    </row>
    <row r="1336" spans="1:18" x14ac:dyDescent="0.25">
      <c r="A1336" s="170">
        <v>43978</v>
      </c>
      <c r="B1336" s="116">
        <v>190</v>
      </c>
      <c r="C1336" s="116">
        <v>187.5</v>
      </c>
      <c r="D1336" s="116">
        <v>185.1</v>
      </c>
      <c r="E1336" s="116">
        <v>190</v>
      </c>
      <c r="F1336" s="116">
        <v>187.5</v>
      </c>
      <c r="G1336">
        <v>87307</v>
      </c>
      <c r="H1336" s="116"/>
      <c r="I1336" s="116"/>
      <c r="L1336" s="170">
        <v>43978</v>
      </c>
      <c r="M1336" s="116">
        <v>187.45</v>
      </c>
      <c r="N1336" s="116">
        <v>189.9</v>
      </c>
      <c r="O1336" s="116">
        <v>185.1</v>
      </c>
      <c r="P1336" s="116">
        <v>189.9</v>
      </c>
      <c r="Q1336" s="116">
        <v>187.45</v>
      </c>
      <c r="R1336">
        <v>3151133</v>
      </c>
    </row>
    <row r="1337" spans="1:18" x14ac:dyDescent="0.25">
      <c r="A1337" s="170">
        <v>43979</v>
      </c>
      <c r="B1337" s="116">
        <v>191.95</v>
      </c>
      <c r="C1337" s="116">
        <v>191.45</v>
      </c>
      <c r="D1337" s="116">
        <v>185.55</v>
      </c>
      <c r="E1337" s="116">
        <v>187.5</v>
      </c>
      <c r="F1337" s="116">
        <v>191.45</v>
      </c>
      <c r="G1337">
        <v>155015</v>
      </c>
      <c r="H1337" s="116"/>
      <c r="I1337" s="116"/>
      <c r="L1337" s="170">
        <v>43979</v>
      </c>
      <c r="M1337" s="116">
        <v>191.3</v>
      </c>
      <c r="N1337" s="116">
        <v>192</v>
      </c>
      <c r="O1337" s="116">
        <v>185.4</v>
      </c>
      <c r="P1337" s="116">
        <v>187.25</v>
      </c>
      <c r="Q1337" s="116">
        <v>191.3</v>
      </c>
      <c r="R1337">
        <v>3704033</v>
      </c>
    </row>
    <row r="1338" spans="1:18" x14ac:dyDescent="0.25">
      <c r="A1338" s="170">
        <v>43980</v>
      </c>
      <c r="B1338" s="116">
        <v>194.85</v>
      </c>
      <c r="C1338" s="116">
        <v>191.35</v>
      </c>
      <c r="D1338" s="116">
        <v>187.15</v>
      </c>
      <c r="E1338" s="116">
        <v>191</v>
      </c>
      <c r="F1338" s="116">
        <v>191.35</v>
      </c>
      <c r="G1338">
        <v>190544</v>
      </c>
      <c r="H1338" s="116"/>
      <c r="I1338" s="116"/>
      <c r="L1338" s="170">
        <v>43980</v>
      </c>
      <c r="M1338" s="116">
        <v>191.55</v>
      </c>
      <c r="N1338" s="116">
        <v>194.9</v>
      </c>
      <c r="O1338" s="116">
        <v>187</v>
      </c>
      <c r="P1338" s="116">
        <v>191</v>
      </c>
      <c r="Q1338" s="116">
        <v>191.55</v>
      </c>
      <c r="R1338">
        <v>8514156</v>
      </c>
    </row>
    <row r="1339" spans="1:18" x14ac:dyDescent="0.25">
      <c r="A1339" s="170">
        <v>43983</v>
      </c>
      <c r="B1339" s="116">
        <v>195.65</v>
      </c>
      <c r="C1339" s="116">
        <v>189</v>
      </c>
      <c r="D1339" s="116">
        <v>188.3</v>
      </c>
      <c r="E1339" s="116">
        <v>194.5</v>
      </c>
      <c r="F1339" s="116">
        <v>189</v>
      </c>
      <c r="G1339">
        <v>231104</v>
      </c>
      <c r="H1339" s="116"/>
      <c r="I1339" s="116"/>
      <c r="L1339" s="170">
        <v>43983</v>
      </c>
      <c r="M1339" s="116">
        <v>188.95</v>
      </c>
      <c r="N1339" s="116">
        <v>195.65</v>
      </c>
      <c r="O1339" s="116">
        <v>188.3</v>
      </c>
      <c r="P1339" s="116">
        <v>191.8</v>
      </c>
      <c r="Q1339" s="116">
        <v>188.95</v>
      </c>
      <c r="R1339">
        <v>6737201</v>
      </c>
    </row>
    <row r="1340" spans="1:18" x14ac:dyDescent="0.25">
      <c r="A1340" s="170">
        <v>43984</v>
      </c>
      <c r="B1340" s="116">
        <v>193.65</v>
      </c>
      <c r="C1340" s="116">
        <v>191.25</v>
      </c>
      <c r="D1340" s="116">
        <v>188.3</v>
      </c>
      <c r="E1340" s="116">
        <v>191.95</v>
      </c>
      <c r="F1340" s="116">
        <v>191.25</v>
      </c>
      <c r="G1340">
        <v>114243</v>
      </c>
      <c r="H1340" s="116"/>
      <c r="I1340" s="116"/>
      <c r="L1340" s="170">
        <v>43984</v>
      </c>
      <c r="M1340" s="116">
        <v>191.2</v>
      </c>
      <c r="N1340" s="116">
        <v>193.75</v>
      </c>
      <c r="O1340" s="116">
        <v>188.2</v>
      </c>
      <c r="P1340" s="116">
        <v>189.5</v>
      </c>
      <c r="Q1340" s="116">
        <v>191.2</v>
      </c>
      <c r="R1340">
        <v>4978019</v>
      </c>
    </row>
    <row r="1341" spans="1:18" x14ac:dyDescent="0.25">
      <c r="A1341" s="170">
        <v>43985</v>
      </c>
      <c r="B1341" s="116">
        <v>193.9</v>
      </c>
      <c r="C1341" s="116">
        <v>187.75</v>
      </c>
      <c r="D1341" s="116">
        <v>186.7</v>
      </c>
      <c r="E1341" s="116">
        <v>193.6</v>
      </c>
      <c r="F1341" s="116">
        <v>187.75</v>
      </c>
      <c r="G1341">
        <v>140854</v>
      </c>
      <c r="H1341" s="116"/>
      <c r="I1341" s="116"/>
      <c r="L1341" s="170">
        <v>43985</v>
      </c>
      <c r="M1341" s="116">
        <v>187.75</v>
      </c>
      <c r="N1341" s="116">
        <v>194</v>
      </c>
      <c r="O1341" s="116">
        <v>186.75</v>
      </c>
      <c r="P1341" s="116">
        <v>193.25</v>
      </c>
      <c r="Q1341" s="116">
        <v>187.75</v>
      </c>
      <c r="R1341">
        <v>4719425</v>
      </c>
    </row>
    <row r="1342" spans="1:18" x14ac:dyDescent="0.25">
      <c r="A1342" s="170">
        <v>43986</v>
      </c>
      <c r="B1342" s="116">
        <v>189.15</v>
      </c>
      <c r="C1342" s="116">
        <v>186.8</v>
      </c>
      <c r="D1342" s="116">
        <v>182.1</v>
      </c>
      <c r="E1342" s="116">
        <v>188.9</v>
      </c>
      <c r="F1342" s="116">
        <v>186.8</v>
      </c>
      <c r="G1342">
        <v>440398</v>
      </c>
      <c r="H1342" s="116"/>
      <c r="I1342" s="116"/>
      <c r="L1342" s="170">
        <v>43986</v>
      </c>
      <c r="M1342" s="116">
        <v>186.75</v>
      </c>
      <c r="N1342" s="116">
        <v>189.25</v>
      </c>
      <c r="O1342" s="116">
        <v>182.05</v>
      </c>
      <c r="P1342" s="116">
        <v>188.15</v>
      </c>
      <c r="Q1342" s="116">
        <v>186.75</v>
      </c>
      <c r="R1342">
        <v>5769947</v>
      </c>
    </row>
    <row r="1343" spans="1:18" x14ac:dyDescent="0.25">
      <c r="A1343" s="170">
        <v>43987</v>
      </c>
      <c r="B1343" s="116">
        <v>195.8</v>
      </c>
      <c r="C1343" s="116">
        <v>195.15</v>
      </c>
      <c r="D1343" s="116">
        <v>186.45</v>
      </c>
      <c r="E1343" s="116">
        <v>188.95</v>
      </c>
      <c r="F1343" s="116">
        <v>195.15</v>
      </c>
      <c r="G1343">
        <v>149343</v>
      </c>
      <c r="H1343" s="116"/>
      <c r="I1343" s="116"/>
      <c r="L1343" s="170">
        <v>43987</v>
      </c>
      <c r="M1343" s="116">
        <v>195.1</v>
      </c>
      <c r="N1343" s="116">
        <v>196.35</v>
      </c>
      <c r="O1343" s="116">
        <v>186.3</v>
      </c>
      <c r="P1343" s="116">
        <v>188</v>
      </c>
      <c r="Q1343" s="116">
        <v>195.1</v>
      </c>
      <c r="R1343">
        <v>7431679</v>
      </c>
    </row>
    <row r="1344" spans="1:18" x14ac:dyDescent="0.25">
      <c r="A1344" s="170">
        <v>43990</v>
      </c>
      <c r="B1344" s="116">
        <v>199</v>
      </c>
      <c r="C1344" s="116">
        <v>191.35</v>
      </c>
      <c r="D1344" s="116">
        <v>190.7</v>
      </c>
      <c r="E1344" s="116">
        <v>199</v>
      </c>
      <c r="F1344" s="116">
        <v>191.35</v>
      </c>
      <c r="G1344">
        <v>159143</v>
      </c>
      <c r="H1344" s="116"/>
      <c r="I1344" s="116"/>
      <c r="L1344" s="170">
        <v>43990</v>
      </c>
      <c r="M1344" s="116">
        <v>191.45</v>
      </c>
      <c r="N1344" s="116">
        <v>198.95</v>
      </c>
      <c r="O1344" s="116">
        <v>190.4</v>
      </c>
      <c r="P1344" s="116">
        <v>198.95</v>
      </c>
      <c r="Q1344" s="116">
        <v>191.45</v>
      </c>
      <c r="R1344">
        <v>4469783</v>
      </c>
    </row>
    <row r="1345" spans="1:18" x14ac:dyDescent="0.25">
      <c r="A1345" s="170">
        <v>43991</v>
      </c>
      <c r="B1345" s="116">
        <v>195.2</v>
      </c>
      <c r="C1345" s="116">
        <v>188.1</v>
      </c>
      <c r="D1345" s="116">
        <v>186.85</v>
      </c>
      <c r="E1345" s="116">
        <v>193.45</v>
      </c>
      <c r="F1345" s="116">
        <v>188.1</v>
      </c>
      <c r="G1345">
        <v>127716</v>
      </c>
      <c r="H1345" s="116"/>
      <c r="I1345" s="116"/>
      <c r="L1345" s="170">
        <v>43991</v>
      </c>
      <c r="M1345" s="116">
        <v>187.8</v>
      </c>
      <c r="N1345" s="116">
        <v>195.25</v>
      </c>
      <c r="O1345" s="116">
        <v>186.85</v>
      </c>
      <c r="P1345" s="116">
        <v>192.2</v>
      </c>
      <c r="Q1345" s="116">
        <v>187.8</v>
      </c>
      <c r="R1345">
        <v>4252087</v>
      </c>
    </row>
    <row r="1346" spans="1:18" x14ac:dyDescent="0.25">
      <c r="A1346" s="170">
        <v>43992</v>
      </c>
      <c r="B1346" s="116">
        <v>194.15</v>
      </c>
      <c r="C1346" s="116">
        <v>191.95</v>
      </c>
      <c r="D1346" s="116">
        <v>188</v>
      </c>
      <c r="E1346" s="116">
        <v>188</v>
      </c>
      <c r="F1346" s="116">
        <v>191.95</v>
      </c>
      <c r="G1346">
        <v>94646</v>
      </c>
      <c r="H1346" s="116"/>
      <c r="I1346" s="116"/>
      <c r="L1346" s="170">
        <v>43992</v>
      </c>
      <c r="M1346" s="116">
        <v>192</v>
      </c>
      <c r="N1346" s="116">
        <v>194.35</v>
      </c>
      <c r="O1346" s="116">
        <v>188.1</v>
      </c>
      <c r="P1346" s="116">
        <v>188.1</v>
      </c>
      <c r="Q1346" s="116">
        <v>192</v>
      </c>
      <c r="R1346">
        <v>4235763</v>
      </c>
    </row>
    <row r="1347" spans="1:18" x14ac:dyDescent="0.25">
      <c r="A1347" s="170">
        <v>43993</v>
      </c>
      <c r="B1347" s="116">
        <v>194</v>
      </c>
      <c r="C1347" s="116">
        <v>189.4</v>
      </c>
      <c r="D1347" s="116">
        <v>189</v>
      </c>
      <c r="E1347" s="116">
        <v>193.5</v>
      </c>
      <c r="F1347" s="116">
        <v>189.4</v>
      </c>
      <c r="G1347">
        <v>77135</v>
      </c>
      <c r="H1347" s="116"/>
      <c r="I1347" s="116"/>
      <c r="L1347" s="170">
        <v>43993</v>
      </c>
      <c r="M1347" s="116">
        <v>189.5</v>
      </c>
      <c r="N1347" s="116">
        <v>194.25</v>
      </c>
      <c r="O1347" s="116">
        <v>189</v>
      </c>
      <c r="P1347" s="116">
        <v>191.5</v>
      </c>
      <c r="Q1347" s="116">
        <v>189.5</v>
      </c>
      <c r="R1347">
        <v>3397620</v>
      </c>
    </row>
    <row r="1348" spans="1:18" x14ac:dyDescent="0.25">
      <c r="A1348" s="170">
        <v>43994</v>
      </c>
      <c r="B1348" s="116">
        <v>194.9</v>
      </c>
      <c r="C1348" s="116">
        <v>193.75</v>
      </c>
      <c r="D1348" s="116">
        <v>181.75</v>
      </c>
      <c r="E1348" s="116">
        <v>182.95</v>
      </c>
      <c r="F1348" s="116">
        <v>193.75</v>
      </c>
      <c r="G1348">
        <v>158185</v>
      </c>
      <c r="H1348" s="116"/>
      <c r="I1348" s="116"/>
      <c r="L1348" s="170">
        <v>43994</v>
      </c>
      <c r="M1348" s="116">
        <v>193.7</v>
      </c>
      <c r="N1348" s="116">
        <v>194.95</v>
      </c>
      <c r="O1348" s="116">
        <v>181.65</v>
      </c>
      <c r="P1348" s="116">
        <v>181.9</v>
      </c>
      <c r="Q1348" s="116">
        <v>193.7</v>
      </c>
      <c r="R1348">
        <v>5199081</v>
      </c>
    </row>
    <row r="1349" spans="1:18" x14ac:dyDescent="0.25">
      <c r="A1349" s="170">
        <v>43997</v>
      </c>
      <c r="B1349" s="116">
        <v>194.4</v>
      </c>
      <c r="C1349" s="116">
        <v>191.45</v>
      </c>
      <c r="D1349" s="116">
        <v>190.25</v>
      </c>
      <c r="E1349" s="116">
        <v>193</v>
      </c>
      <c r="F1349" s="116">
        <v>191.45</v>
      </c>
      <c r="G1349">
        <v>71842</v>
      </c>
      <c r="H1349" s="116"/>
      <c r="I1349" s="116"/>
      <c r="L1349" s="170">
        <v>43997</v>
      </c>
      <c r="M1349" s="116">
        <v>191.5</v>
      </c>
      <c r="N1349" s="116">
        <v>194.4</v>
      </c>
      <c r="O1349" s="116">
        <v>190.1</v>
      </c>
      <c r="P1349" s="116">
        <v>192.85</v>
      </c>
      <c r="Q1349" s="116">
        <v>191.5</v>
      </c>
      <c r="R1349">
        <v>1996945</v>
      </c>
    </row>
    <row r="1350" spans="1:18" x14ac:dyDescent="0.25">
      <c r="A1350" s="170">
        <v>43998</v>
      </c>
      <c r="B1350" s="116">
        <v>198.4</v>
      </c>
      <c r="C1350" s="116">
        <v>190.4</v>
      </c>
      <c r="D1350" s="116">
        <v>187.85</v>
      </c>
      <c r="E1350" s="116">
        <v>193.8</v>
      </c>
      <c r="F1350" s="116">
        <v>190.4</v>
      </c>
      <c r="G1350">
        <v>224218</v>
      </c>
      <c r="H1350" s="116"/>
      <c r="I1350" s="116"/>
      <c r="L1350" s="170">
        <v>43998</v>
      </c>
      <c r="M1350" s="116">
        <v>190.6</v>
      </c>
      <c r="N1350" s="116">
        <v>198.4</v>
      </c>
      <c r="O1350" s="116">
        <v>187.8</v>
      </c>
      <c r="P1350" s="116">
        <v>192.6</v>
      </c>
      <c r="Q1350" s="116">
        <v>190.6</v>
      </c>
      <c r="R1350">
        <v>5481825</v>
      </c>
    </row>
    <row r="1351" spans="1:18" x14ac:dyDescent="0.25">
      <c r="A1351" s="170">
        <v>43999</v>
      </c>
      <c r="B1351" s="116">
        <v>191.35</v>
      </c>
      <c r="C1351" s="116">
        <v>187.15</v>
      </c>
      <c r="D1351" s="116">
        <v>186.3</v>
      </c>
      <c r="E1351" s="116">
        <v>188.35</v>
      </c>
      <c r="F1351" s="116">
        <v>187.15</v>
      </c>
      <c r="G1351">
        <v>103761</v>
      </c>
      <c r="H1351" s="116"/>
      <c r="I1351" s="116"/>
      <c r="L1351" s="170">
        <v>43999</v>
      </c>
      <c r="M1351" s="116">
        <v>187.15</v>
      </c>
      <c r="N1351" s="116">
        <v>191.5</v>
      </c>
      <c r="O1351" s="116">
        <v>185.35</v>
      </c>
      <c r="P1351" s="116">
        <v>188.55</v>
      </c>
      <c r="Q1351" s="116">
        <v>187.15</v>
      </c>
      <c r="R1351">
        <v>3190009</v>
      </c>
    </row>
    <row r="1352" spans="1:18" x14ac:dyDescent="0.25">
      <c r="A1352" s="170">
        <v>44000</v>
      </c>
      <c r="B1352" s="116">
        <v>188.9</v>
      </c>
      <c r="C1352" s="116">
        <v>187.35</v>
      </c>
      <c r="D1352" s="116">
        <v>185.75</v>
      </c>
      <c r="E1352" s="116">
        <v>186.9</v>
      </c>
      <c r="F1352" s="116">
        <v>187.35</v>
      </c>
      <c r="G1352">
        <v>175217</v>
      </c>
      <c r="H1352" s="116"/>
      <c r="I1352" s="116"/>
      <c r="L1352" s="170">
        <v>44000</v>
      </c>
      <c r="M1352" s="116">
        <v>187.35</v>
      </c>
      <c r="N1352" s="116">
        <v>189</v>
      </c>
      <c r="O1352" s="116">
        <v>185.7</v>
      </c>
      <c r="P1352" s="116">
        <v>187.2</v>
      </c>
      <c r="Q1352" s="116">
        <v>187.35</v>
      </c>
      <c r="R1352">
        <v>3259969</v>
      </c>
    </row>
    <row r="1353" spans="1:18" x14ac:dyDescent="0.25">
      <c r="A1353" s="170">
        <v>44001</v>
      </c>
      <c r="B1353" s="116">
        <v>193.75</v>
      </c>
      <c r="C1353" s="116">
        <v>190.7</v>
      </c>
      <c r="D1353" s="116">
        <v>187.7</v>
      </c>
      <c r="E1353" s="116">
        <v>187.7</v>
      </c>
      <c r="F1353" s="116">
        <v>190.7</v>
      </c>
      <c r="G1353">
        <v>196698</v>
      </c>
      <c r="H1353" s="116"/>
      <c r="I1353" s="116"/>
      <c r="L1353" s="170">
        <v>44001</v>
      </c>
      <c r="M1353" s="116">
        <v>190.8</v>
      </c>
      <c r="N1353" s="116">
        <v>194</v>
      </c>
      <c r="O1353" s="116">
        <v>187.55</v>
      </c>
      <c r="P1353" s="116">
        <v>188.4</v>
      </c>
      <c r="Q1353" s="116">
        <v>190.8</v>
      </c>
      <c r="R1353">
        <v>7723563</v>
      </c>
    </row>
    <row r="1354" spans="1:18" x14ac:dyDescent="0.25">
      <c r="A1354" s="170">
        <v>44004</v>
      </c>
      <c r="B1354" s="116">
        <v>194.35</v>
      </c>
      <c r="C1354" s="116">
        <v>191.1</v>
      </c>
      <c r="D1354" s="116">
        <v>190.6</v>
      </c>
      <c r="E1354" s="116">
        <v>194.35</v>
      </c>
      <c r="F1354" s="116">
        <v>191.1</v>
      </c>
      <c r="G1354">
        <v>63352</v>
      </c>
      <c r="H1354" s="116"/>
      <c r="I1354" s="116"/>
      <c r="L1354" s="170">
        <v>44004</v>
      </c>
      <c r="M1354" s="116">
        <v>191.1</v>
      </c>
      <c r="N1354" s="116">
        <v>193.3</v>
      </c>
      <c r="O1354" s="116">
        <v>190.55</v>
      </c>
      <c r="P1354" s="116">
        <v>191.45</v>
      </c>
      <c r="Q1354" s="116">
        <v>191.1</v>
      </c>
      <c r="R1354">
        <v>2478247</v>
      </c>
    </row>
    <row r="1355" spans="1:18" x14ac:dyDescent="0.25">
      <c r="A1355" s="170">
        <v>44005</v>
      </c>
      <c r="B1355" s="116">
        <v>196.2</v>
      </c>
      <c r="C1355" s="116">
        <v>193.15</v>
      </c>
      <c r="D1355" s="116">
        <v>191.1</v>
      </c>
      <c r="E1355" s="116">
        <v>191.1</v>
      </c>
      <c r="F1355" s="116">
        <v>193.15</v>
      </c>
      <c r="G1355">
        <v>153508</v>
      </c>
      <c r="H1355" s="116"/>
      <c r="I1355" s="116"/>
      <c r="L1355" s="170">
        <v>44005</v>
      </c>
      <c r="M1355" s="116">
        <v>193.25</v>
      </c>
      <c r="N1355" s="116">
        <v>196.2</v>
      </c>
      <c r="O1355" s="116">
        <v>191.1</v>
      </c>
      <c r="P1355" s="116">
        <v>191.8</v>
      </c>
      <c r="Q1355" s="116">
        <v>193.25</v>
      </c>
      <c r="R1355">
        <v>4619623</v>
      </c>
    </row>
    <row r="1356" spans="1:18" x14ac:dyDescent="0.25">
      <c r="A1356" s="170">
        <v>44006</v>
      </c>
      <c r="B1356" s="116">
        <v>198.05</v>
      </c>
      <c r="C1356" s="116">
        <v>189.15</v>
      </c>
      <c r="D1356" s="116">
        <v>186.55</v>
      </c>
      <c r="E1356" s="116">
        <v>195</v>
      </c>
      <c r="F1356" s="116">
        <v>189.15</v>
      </c>
      <c r="G1356">
        <v>175026</v>
      </c>
      <c r="H1356" s="116"/>
      <c r="I1356" s="116"/>
      <c r="L1356" s="170">
        <v>44006</v>
      </c>
      <c r="M1356" s="116">
        <v>188.7</v>
      </c>
      <c r="N1356" s="116">
        <v>198.2</v>
      </c>
      <c r="O1356" s="116">
        <v>186.4</v>
      </c>
      <c r="P1356" s="116">
        <v>194.25</v>
      </c>
      <c r="Q1356" s="116">
        <v>188.7</v>
      </c>
      <c r="R1356">
        <v>6600983</v>
      </c>
    </row>
    <row r="1357" spans="1:18" x14ac:dyDescent="0.25">
      <c r="A1357" s="170">
        <v>44007</v>
      </c>
      <c r="B1357" s="116">
        <v>191.2</v>
      </c>
      <c r="C1357" s="116">
        <v>186.25</v>
      </c>
      <c r="D1357" s="116">
        <v>185.4</v>
      </c>
      <c r="E1357" s="116">
        <v>187.5</v>
      </c>
      <c r="F1357" s="116">
        <v>186.25</v>
      </c>
      <c r="G1357">
        <v>125266</v>
      </c>
      <c r="H1357" s="116"/>
      <c r="I1357" s="116"/>
      <c r="L1357" s="170">
        <v>44007</v>
      </c>
      <c r="M1357" s="116">
        <v>186.25</v>
      </c>
      <c r="N1357" s="116">
        <v>191.35</v>
      </c>
      <c r="O1357" s="116">
        <v>185.35</v>
      </c>
      <c r="P1357" s="116">
        <v>188.1</v>
      </c>
      <c r="Q1357" s="116">
        <v>186.25</v>
      </c>
      <c r="R1357">
        <v>4479141</v>
      </c>
    </row>
    <row r="1358" spans="1:18" x14ac:dyDescent="0.25">
      <c r="A1358" s="170">
        <v>44008</v>
      </c>
      <c r="B1358" s="116">
        <v>188.7</v>
      </c>
      <c r="C1358" s="116">
        <v>188.05</v>
      </c>
      <c r="D1358" s="116">
        <v>186.15</v>
      </c>
      <c r="E1358" s="116">
        <v>186.55</v>
      </c>
      <c r="F1358" s="116">
        <v>188.05</v>
      </c>
      <c r="G1358">
        <v>106521</v>
      </c>
      <c r="H1358" s="116"/>
      <c r="I1358" s="116"/>
      <c r="L1358" s="170">
        <v>44008</v>
      </c>
      <c r="M1358" s="116">
        <v>188</v>
      </c>
      <c r="N1358" s="116">
        <v>188.7</v>
      </c>
      <c r="O1358" s="116">
        <v>186.15</v>
      </c>
      <c r="P1358" s="116">
        <v>188</v>
      </c>
      <c r="Q1358" s="116">
        <v>188</v>
      </c>
      <c r="R1358">
        <v>3304712</v>
      </c>
    </row>
    <row r="1359" spans="1:18" x14ac:dyDescent="0.25">
      <c r="A1359" s="170">
        <v>44011</v>
      </c>
      <c r="B1359" s="116">
        <v>188.3</v>
      </c>
      <c r="C1359" s="116">
        <v>187.6</v>
      </c>
      <c r="D1359" s="116">
        <v>183.35</v>
      </c>
      <c r="E1359" s="116">
        <v>188.05</v>
      </c>
      <c r="F1359" s="116">
        <v>187.6</v>
      </c>
      <c r="G1359">
        <v>110460</v>
      </c>
      <c r="H1359" s="116"/>
      <c r="I1359" s="116"/>
      <c r="L1359" s="170">
        <v>44011</v>
      </c>
      <c r="M1359" s="116">
        <v>187.55</v>
      </c>
      <c r="N1359" s="116">
        <v>188.65</v>
      </c>
      <c r="O1359" s="116">
        <v>183.2</v>
      </c>
      <c r="P1359" s="116">
        <v>188</v>
      </c>
      <c r="Q1359" s="116">
        <v>187.55</v>
      </c>
      <c r="R1359">
        <v>3555861</v>
      </c>
    </row>
    <row r="1360" spans="1:18" x14ac:dyDescent="0.25">
      <c r="A1360" s="170">
        <v>44012</v>
      </c>
      <c r="B1360" s="116">
        <v>194.85</v>
      </c>
      <c r="C1360" s="116">
        <v>193.45</v>
      </c>
      <c r="D1360" s="116">
        <v>187.95</v>
      </c>
      <c r="E1360" s="116">
        <v>188.1</v>
      </c>
      <c r="F1360" s="116">
        <v>193.45</v>
      </c>
      <c r="G1360">
        <v>259914</v>
      </c>
      <c r="H1360" s="116"/>
      <c r="I1360" s="116"/>
      <c r="L1360" s="170">
        <v>44012</v>
      </c>
      <c r="M1360" s="116">
        <v>193.6</v>
      </c>
      <c r="N1360" s="116">
        <v>194.95</v>
      </c>
      <c r="O1360" s="116">
        <v>187.65</v>
      </c>
      <c r="P1360" s="116">
        <v>187.65</v>
      </c>
      <c r="Q1360" s="116">
        <v>193.6</v>
      </c>
      <c r="R1360">
        <v>6482253</v>
      </c>
    </row>
    <row r="1361" spans="1:18" x14ac:dyDescent="0.25">
      <c r="A1361" s="170">
        <v>44013</v>
      </c>
      <c r="B1361" s="116">
        <v>195.5</v>
      </c>
      <c r="C1361" s="116">
        <v>192.25</v>
      </c>
      <c r="D1361" s="116">
        <v>190.65</v>
      </c>
      <c r="E1361" s="116">
        <v>194.1</v>
      </c>
      <c r="F1361" s="116">
        <v>192.25</v>
      </c>
      <c r="G1361">
        <v>90972</v>
      </c>
      <c r="H1361" s="116"/>
      <c r="I1361" s="116"/>
      <c r="L1361" s="170">
        <v>44013</v>
      </c>
      <c r="M1361" s="116">
        <v>192.2</v>
      </c>
      <c r="N1361" s="116">
        <v>195.7</v>
      </c>
      <c r="O1361" s="116">
        <v>190.4</v>
      </c>
      <c r="P1361" s="116">
        <v>194.15</v>
      </c>
      <c r="Q1361" s="116">
        <v>192.2</v>
      </c>
      <c r="R1361">
        <v>2867676</v>
      </c>
    </row>
    <row r="1362" spans="1:18" x14ac:dyDescent="0.25">
      <c r="A1362" s="170">
        <v>44014</v>
      </c>
      <c r="B1362" s="116">
        <v>196.2</v>
      </c>
      <c r="C1362" s="116">
        <v>193.7</v>
      </c>
      <c r="D1362" s="116">
        <v>192.15</v>
      </c>
      <c r="E1362" s="116">
        <v>193</v>
      </c>
      <c r="F1362" s="116">
        <v>193.7</v>
      </c>
      <c r="G1362">
        <v>128018</v>
      </c>
      <c r="H1362" s="116"/>
      <c r="I1362" s="116"/>
      <c r="L1362" s="170">
        <v>44014</v>
      </c>
      <c r="M1362" s="116">
        <v>193.7</v>
      </c>
      <c r="N1362" s="116">
        <v>196.4</v>
      </c>
      <c r="O1362" s="116">
        <v>192.05</v>
      </c>
      <c r="P1362" s="116">
        <v>192.7</v>
      </c>
      <c r="Q1362" s="116">
        <v>193.7</v>
      </c>
      <c r="R1362">
        <v>2693250</v>
      </c>
    </row>
    <row r="1363" spans="1:18" x14ac:dyDescent="0.25">
      <c r="A1363" s="170">
        <v>44015</v>
      </c>
      <c r="B1363" s="116">
        <v>196.15</v>
      </c>
      <c r="C1363" s="116">
        <v>195.85</v>
      </c>
      <c r="D1363" s="116">
        <v>192.1</v>
      </c>
      <c r="E1363" s="116">
        <v>193.9</v>
      </c>
      <c r="F1363" s="116">
        <v>195.85</v>
      </c>
      <c r="G1363">
        <v>119414</v>
      </c>
      <c r="H1363" s="116"/>
      <c r="I1363" s="116"/>
      <c r="L1363" s="170">
        <v>44015</v>
      </c>
      <c r="M1363" s="116">
        <v>195.8</v>
      </c>
      <c r="N1363" s="116">
        <v>196.25</v>
      </c>
      <c r="O1363" s="116">
        <v>192.05</v>
      </c>
      <c r="P1363" s="116">
        <v>194.6</v>
      </c>
      <c r="Q1363" s="116">
        <v>195.8</v>
      </c>
      <c r="R1363">
        <v>4168369</v>
      </c>
    </row>
    <row r="1364" spans="1:18" x14ac:dyDescent="0.25">
      <c r="A1364" s="170">
        <v>44018</v>
      </c>
      <c r="B1364" s="116">
        <v>197.6</v>
      </c>
      <c r="C1364" s="116">
        <v>194</v>
      </c>
      <c r="D1364" s="116">
        <v>193.4</v>
      </c>
      <c r="E1364" s="116">
        <v>197.1</v>
      </c>
      <c r="F1364" s="116">
        <v>194</v>
      </c>
      <c r="G1364">
        <v>104213</v>
      </c>
      <c r="H1364" s="116"/>
      <c r="I1364" s="116"/>
      <c r="L1364" s="170">
        <v>44018</v>
      </c>
      <c r="M1364" s="116">
        <v>193.9</v>
      </c>
      <c r="N1364" s="116">
        <v>198</v>
      </c>
      <c r="O1364" s="116">
        <v>193.35</v>
      </c>
      <c r="P1364" s="116">
        <v>197.75</v>
      </c>
      <c r="Q1364" s="116">
        <v>193.9</v>
      </c>
      <c r="R1364">
        <v>2632304</v>
      </c>
    </row>
    <row r="1365" spans="1:18" x14ac:dyDescent="0.25">
      <c r="A1365" s="170">
        <v>44019</v>
      </c>
      <c r="B1365" s="116">
        <v>194.5</v>
      </c>
      <c r="C1365" s="116">
        <v>193.3</v>
      </c>
      <c r="D1365" s="116">
        <v>191</v>
      </c>
      <c r="E1365" s="116">
        <v>193.9</v>
      </c>
      <c r="F1365" s="116">
        <v>193.3</v>
      </c>
      <c r="G1365">
        <v>90887</v>
      </c>
      <c r="H1365" s="116"/>
      <c r="I1365" s="116"/>
      <c r="L1365" s="170">
        <v>44019</v>
      </c>
      <c r="M1365" s="116">
        <v>193.25</v>
      </c>
      <c r="N1365" s="116">
        <v>194.6</v>
      </c>
      <c r="O1365" s="116">
        <v>191.1</v>
      </c>
      <c r="P1365" s="116">
        <v>194.6</v>
      </c>
      <c r="Q1365" s="116">
        <v>193.25</v>
      </c>
      <c r="R1365">
        <v>2551746</v>
      </c>
    </row>
    <row r="1366" spans="1:18" x14ac:dyDescent="0.25">
      <c r="A1366" s="170">
        <v>44020</v>
      </c>
      <c r="B1366" s="116">
        <v>196.55</v>
      </c>
      <c r="C1366" s="116">
        <v>195.6</v>
      </c>
      <c r="D1366" s="116">
        <v>192.85</v>
      </c>
      <c r="E1366" s="116">
        <v>193.7</v>
      </c>
      <c r="F1366" s="116">
        <v>195.6</v>
      </c>
      <c r="G1366">
        <v>109391</v>
      </c>
      <c r="H1366" s="116"/>
      <c r="I1366" s="116"/>
      <c r="L1366" s="170">
        <v>44020</v>
      </c>
      <c r="M1366" s="116">
        <v>195.55</v>
      </c>
      <c r="N1366" s="116">
        <v>196.6</v>
      </c>
      <c r="O1366" s="116">
        <v>192.8</v>
      </c>
      <c r="P1366" s="116">
        <v>194.25</v>
      </c>
      <c r="Q1366" s="116">
        <v>195.55</v>
      </c>
      <c r="R1366">
        <v>3253882</v>
      </c>
    </row>
    <row r="1367" spans="1:18" x14ac:dyDescent="0.25">
      <c r="A1367" s="170">
        <v>44021</v>
      </c>
      <c r="B1367" s="116">
        <v>202.95</v>
      </c>
      <c r="C1367" s="116">
        <v>201.95</v>
      </c>
      <c r="D1367" s="116">
        <v>195.6</v>
      </c>
      <c r="E1367" s="116">
        <v>195.7</v>
      </c>
      <c r="F1367" s="116">
        <v>201.95</v>
      </c>
      <c r="G1367">
        <v>377842</v>
      </c>
      <c r="H1367" s="116"/>
      <c r="I1367" s="116"/>
      <c r="L1367" s="170">
        <v>44021</v>
      </c>
      <c r="M1367" s="116">
        <v>202</v>
      </c>
      <c r="N1367" s="116">
        <v>202.9</v>
      </c>
      <c r="O1367" s="116">
        <v>195.6</v>
      </c>
      <c r="P1367" s="116">
        <v>196.4</v>
      </c>
      <c r="Q1367" s="116">
        <v>202</v>
      </c>
      <c r="R1367">
        <v>8857515</v>
      </c>
    </row>
    <row r="1368" spans="1:18" x14ac:dyDescent="0.25">
      <c r="A1368" s="170">
        <v>44022</v>
      </c>
      <c r="B1368" s="116">
        <v>204.35</v>
      </c>
      <c r="C1368" s="116">
        <v>197.15</v>
      </c>
      <c r="D1368" s="116">
        <v>196.5</v>
      </c>
      <c r="E1368" s="116">
        <v>202.8</v>
      </c>
      <c r="F1368" s="116">
        <v>197.15</v>
      </c>
      <c r="G1368">
        <v>227788</v>
      </c>
      <c r="H1368" s="116"/>
      <c r="I1368" s="116"/>
      <c r="L1368" s="170">
        <v>44022</v>
      </c>
      <c r="M1368" s="116">
        <v>197.2</v>
      </c>
      <c r="N1368" s="116">
        <v>204.35</v>
      </c>
      <c r="O1368" s="116">
        <v>196.5</v>
      </c>
      <c r="P1368" s="116">
        <v>202.2</v>
      </c>
      <c r="Q1368" s="116">
        <v>197.2</v>
      </c>
      <c r="R1368">
        <v>6643796</v>
      </c>
    </row>
    <row r="1369" spans="1:18" x14ac:dyDescent="0.25">
      <c r="A1369" s="170">
        <v>44025</v>
      </c>
      <c r="B1369" s="116">
        <v>199.7</v>
      </c>
      <c r="C1369" s="116">
        <v>198.45</v>
      </c>
      <c r="D1369" s="116">
        <v>193.9</v>
      </c>
      <c r="E1369" s="116">
        <v>197.55</v>
      </c>
      <c r="F1369" s="116">
        <v>198.45</v>
      </c>
      <c r="G1369">
        <v>229199</v>
      </c>
      <c r="H1369" s="116"/>
      <c r="I1369" s="116"/>
      <c r="L1369" s="170">
        <v>44025</v>
      </c>
      <c r="M1369" s="116">
        <v>198.45</v>
      </c>
      <c r="N1369" s="116">
        <v>199.7</v>
      </c>
      <c r="O1369" s="116">
        <v>193.75</v>
      </c>
      <c r="P1369" s="116">
        <v>197.2</v>
      </c>
      <c r="Q1369" s="116">
        <v>198.45</v>
      </c>
      <c r="R1369">
        <v>5213446</v>
      </c>
    </row>
    <row r="1370" spans="1:18" x14ac:dyDescent="0.25">
      <c r="A1370" s="170">
        <v>44026</v>
      </c>
      <c r="B1370" s="116">
        <v>199.2</v>
      </c>
      <c r="C1370" s="116">
        <v>190.6</v>
      </c>
      <c r="D1370" s="116">
        <v>190.1</v>
      </c>
      <c r="E1370" s="116">
        <v>199</v>
      </c>
      <c r="F1370" s="116">
        <v>190.6</v>
      </c>
      <c r="G1370">
        <v>85043</v>
      </c>
      <c r="H1370" s="116"/>
      <c r="I1370" s="116"/>
      <c r="L1370" s="170">
        <v>44026</v>
      </c>
      <c r="M1370" s="116">
        <v>190.5</v>
      </c>
      <c r="N1370" s="116">
        <v>199.2</v>
      </c>
      <c r="O1370" s="116">
        <v>190</v>
      </c>
      <c r="P1370" s="116">
        <v>197.85</v>
      </c>
      <c r="Q1370" s="116">
        <v>190.5</v>
      </c>
      <c r="R1370">
        <v>4391974</v>
      </c>
    </row>
    <row r="1371" spans="1:18" x14ac:dyDescent="0.25">
      <c r="A1371" s="170">
        <v>44027</v>
      </c>
      <c r="B1371" s="116">
        <v>193.15</v>
      </c>
      <c r="C1371" s="116">
        <v>188.65</v>
      </c>
      <c r="D1371" s="116">
        <v>187.75</v>
      </c>
      <c r="E1371" s="116">
        <v>192</v>
      </c>
      <c r="F1371" s="116">
        <v>188.65</v>
      </c>
      <c r="G1371">
        <v>156219</v>
      </c>
      <c r="H1371" s="116"/>
      <c r="I1371" s="116"/>
      <c r="L1371" s="170">
        <v>44027</v>
      </c>
      <c r="M1371" s="116">
        <v>188.65</v>
      </c>
      <c r="N1371" s="116">
        <v>193.25</v>
      </c>
      <c r="O1371" s="116">
        <v>187.7</v>
      </c>
      <c r="P1371" s="116">
        <v>192.5</v>
      </c>
      <c r="Q1371" s="116">
        <v>188.65</v>
      </c>
      <c r="R1371">
        <v>4521290</v>
      </c>
    </row>
    <row r="1372" spans="1:18" x14ac:dyDescent="0.25">
      <c r="A1372" s="170">
        <v>44028</v>
      </c>
      <c r="B1372" s="116">
        <v>192.95</v>
      </c>
      <c r="C1372" s="116">
        <v>192.5</v>
      </c>
      <c r="D1372" s="116">
        <v>185.8</v>
      </c>
      <c r="E1372" s="116">
        <v>190</v>
      </c>
      <c r="F1372" s="116">
        <v>192.5</v>
      </c>
      <c r="G1372">
        <v>75735</v>
      </c>
      <c r="H1372" s="116"/>
      <c r="I1372" s="116"/>
      <c r="L1372" s="170">
        <v>44028</v>
      </c>
      <c r="M1372" s="116">
        <v>192.5</v>
      </c>
      <c r="N1372" s="116">
        <v>193</v>
      </c>
      <c r="O1372" s="116">
        <v>185.7</v>
      </c>
      <c r="P1372" s="116">
        <v>189.45</v>
      </c>
      <c r="Q1372" s="116">
        <v>192.5</v>
      </c>
      <c r="R1372">
        <v>3137669</v>
      </c>
    </row>
    <row r="1373" spans="1:18" x14ac:dyDescent="0.25">
      <c r="A1373" s="170">
        <v>44029</v>
      </c>
      <c r="B1373" s="116">
        <v>195.5</v>
      </c>
      <c r="C1373" s="116">
        <v>193.4</v>
      </c>
      <c r="D1373" s="116">
        <v>191.6</v>
      </c>
      <c r="E1373" s="116">
        <v>192.85</v>
      </c>
      <c r="F1373" s="116">
        <v>193.4</v>
      </c>
      <c r="G1373">
        <v>76787</v>
      </c>
      <c r="H1373" s="116"/>
      <c r="I1373" s="116"/>
      <c r="L1373" s="170">
        <v>44029</v>
      </c>
      <c r="M1373" s="116">
        <v>193.45</v>
      </c>
      <c r="N1373" s="116">
        <v>195.6</v>
      </c>
      <c r="O1373" s="116">
        <v>191.3</v>
      </c>
      <c r="P1373" s="116">
        <v>193.1</v>
      </c>
      <c r="Q1373" s="116">
        <v>193.45</v>
      </c>
      <c r="R1373">
        <v>3254870</v>
      </c>
    </row>
    <row r="1374" spans="1:18" x14ac:dyDescent="0.25">
      <c r="A1374" s="170">
        <v>44032</v>
      </c>
      <c r="B1374" s="116">
        <v>197</v>
      </c>
      <c r="C1374" s="116">
        <v>195.85</v>
      </c>
      <c r="D1374" s="116">
        <v>194</v>
      </c>
      <c r="E1374" s="116">
        <v>194</v>
      </c>
      <c r="F1374" s="116">
        <v>195.85</v>
      </c>
      <c r="G1374">
        <v>56714</v>
      </c>
      <c r="H1374" s="116"/>
      <c r="I1374" s="116"/>
      <c r="L1374" s="170">
        <v>44032</v>
      </c>
      <c r="M1374" s="116">
        <v>195.7</v>
      </c>
      <c r="N1374" s="116">
        <v>197</v>
      </c>
      <c r="O1374" s="116">
        <v>194.5</v>
      </c>
      <c r="P1374" s="116">
        <v>195</v>
      </c>
      <c r="Q1374" s="116">
        <v>195.7</v>
      </c>
      <c r="R1374">
        <v>2204860</v>
      </c>
    </row>
    <row r="1375" spans="1:18" x14ac:dyDescent="0.25">
      <c r="A1375" s="170">
        <v>44033</v>
      </c>
      <c r="B1375" s="116">
        <v>207.8</v>
      </c>
      <c r="C1375" s="116">
        <v>204.8</v>
      </c>
      <c r="D1375" s="116">
        <v>199.8</v>
      </c>
      <c r="E1375" s="116">
        <v>199.8</v>
      </c>
      <c r="F1375" s="116">
        <v>204.8</v>
      </c>
      <c r="G1375">
        <v>514482</v>
      </c>
      <c r="H1375" s="116"/>
      <c r="I1375" s="116"/>
      <c r="L1375" s="170">
        <v>44033</v>
      </c>
      <c r="M1375" s="116">
        <v>204.95</v>
      </c>
      <c r="N1375" s="116">
        <v>208</v>
      </c>
      <c r="O1375" s="116">
        <v>200</v>
      </c>
      <c r="P1375" s="116">
        <v>201</v>
      </c>
      <c r="Q1375" s="116">
        <v>204.95</v>
      </c>
      <c r="R1375">
        <v>12976657</v>
      </c>
    </row>
    <row r="1376" spans="1:18" x14ac:dyDescent="0.25">
      <c r="A1376" s="170">
        <v>44034</v>
      </c>
      <c r="B1376" s="116">
        <v>205</v>
      </c>
      <c r="C1376" s="116">
        <v>201</v>
      </c>
      <c r="D1376" s="116">
        <v>199.1</v>
      </c>
      <c r="E1376" s="116">
        <v>205</v>
      </c>
      <c r="F1376" s="116">
        <v>201</v>
      </c>
      <c r="G1376">
        <v>52501</v>
      </c>
      <c r="H1376" s="116"/>
      <c r="I1376" s="116"/>
      <c r="L1376" s="170">
        <v>44034</v>
      </c>
      <c r="M1376" s="116">
        <v>200.9</v>
      </c>
      <c r="N1376" s="116">
        <v>204.95</v>
      </c>
      <c r="O1376" s="116">
        <v>199.1</v>
      </c>
      <c r="P1376" s="116">
        <v>204.95</v>
      </c>
      <c r="Q1376" s="116">
        <v>200.9</v>
      </c>
      <c r="R1376">
        <v>3320086</v>
      </c>
    </row>
    <row r="1377" spans="1:18" x14ac:dyDescent="0.25">
      <c r="A1377" s="170">
        <v>44035</v>
      </c>
      <c r="B1377" s="116">
        <v>203.35</v>
      </c>
      <c r="C1377" s="116">
        <v>197.8</v>
      </c>
      <c r="D1377" s="116">
        <v>197.3</v>
      </c>
      <c r="E1377" s="116">
        <v>201.5</v>
      </c>
      <c r="F1377" s="116">
        <v>197.8</v>
      </c>
      <c r="G1377">
        <v>78975</v>
      </c>
      <c r="H1377" s="116"/>
      <c r="I1377" s="116"/>
      <c r="L1377" s="170">
        <v>44035</v>
      </c>
      <c r="M1377" s="116">
        <v>197.95</v>
      </c>
      <c r="N1377" s="116">
        <v>202.25</v>
      </c>
      <c r="O1377" s="116">
        <v>197.25</v>
      </c>
      <c r="P1377" s="116">
        <v>201.5</v>
      </c>
      <c r="Q1377" s="116">
        <v>197.95</v>
      </c>
      <c r="R1377">
        <v>3302917</v>
      </c>
    </row>
    <row r="1378" spans="1:18" x14ac:dyDescent="0.25">
      <c r="A1378" s="170">
        <v>44036</v>
      </c>
      <c r="B1378" s="116">
        <v>202.45</v>
      </c>
      <c r="C1378" s="116">
        <v>201</v>
      </c>
      <c r="D1378" s="116">
        <v>196.6</v>
      </c>
      <c r="E1378" s="116">
        <v>198</v>
      </c>
      <c r="F1378" s="116">
        <v>201</v>
      </c>
      <c r="G1378">
        <v>364648</v>
      </c>
      <c r="H1378" s="116"/>
      <c r="I1378" s="116"/>
      <c r="L1378" s="170">
        <v>44036</v>
      </c>
      <c r="M1378" s="116">
        <v>200.95</v>
      </c>
      <c r="N1378" s="116">
        <v>202.5</v>
      </c>
      <c r="O1378" s="116">
        <v>196.5</v>
      </c>
      <c r="P1378" s="116">
        <v>197.95</v>
      </c>
      <c r="Q1378" s="116">
        <v>200.95</v>
      </c>
      <c r="R1378">
        <v>5135305</v>
      </c>
    </row>
    <row r="1379" spans="1:18" x14ac:dyDescent="0.25">
      <c r="A1379" s="170">
        <v>44039</v>
      </c>
      <c r="B1379" s="116">
        <v>208.8</v>
      </c>
      <c r="C1379" s="116">
        <v>206.95</v>
      </c>
      <c r="D1379" s="116">
        <v>202.05</v>
      </c>
      <c r="E1379" s="116">
        <v>207.7</v>
      </c>
      <c r="F1379" s="116">
        <v>206.95</v>
      </c>
      <c r="G1379">
        <v>644084</v>
      </c>
      <c r="H1379" s="116"/>
      <c r="I1379" s="116"/>
      <c r="L1379" s="170">
        <v>44039</v>
      </c>
      <c r="M1379" s="116">
        <v>207.15</v>
      </c>
      <c r="N1379" s="116">
        <v>208.95</v>
      </c>
      <c r="O1379" s="116">
        <v>202.05</v>
      </c>
      <c r="P1379" s="116">
        <v>205.9</v>
      </c>
      <c r="Q1379" s="116">
        <v>207.15</v>
      </c>
      <c r="R1379">
        <v>11855464</v>
      </c>
    </row>
    <row r="1380" spans="1:18" x14ac:dyDescent="0.25">
      <c r="A1380" s="170">
        <v>44040</v>
      </c>
      <c r="B1380" s="116">
        <v>217.5</v>
      </c>
      <c r="C1380" s="116">
        <v>216.75</v>
      </c>
      <c r="D1380" s="116">
        <v>206</v>
      </c>
      <c r="E1380" s="116">
        <v>206.95</v>
      </c>
      <c r="F1380" s="116">
        <v>216.75</v>
      </c>
      <c r="G1380">
        <v>261043</v>
      </c>
      <c r="H1380" s="116"/>
      <c r="I1380" s="116"/>
      <c r="L1380" s="170">
        <v>44040</v>
      </c>
      <c r="M1380" s="116">
        <v>216.7</v>
      </c>
      <c r="N1380" s="116">
        <v>218.85</v>
      </c>
      <c r="O1380" s="116">
        <v>205.8</v>
      </c>
      <c r="P1380" s="116">
        <v>206.75</v>
      </c>
      <c r="Q1380" s="116">
        <v>216.7</v>
      </c>
      <c r="R1380">
        <v>8290471</v>
      </c>
    </row>
    <row r="1381" spans="1:18" x14ac:dyDescent="0.25">
      <c r="A1381" s="170">
        <v>44041</v>
      </c>
      <c r="B1381" s="116">
        <v>219.6</v>
      </c>
      <c r="C1381" s="116">
        <v>215.65</v>
      </c>
      <c r="D1381" s="116">
        <v>213.85</v>
      </c>
      <c r="E1381" s="116">
        <v>217.4</v>
      </c>
      <c r="F1381" s="116">
        <v>215.65</v>
      </c>
      <c r="G1381">
        <v>213159</v>
      </c>
      <c r="H1381" s="116"/>
      <c r="I1381" s="116"/>
      <c r="L1381" s="170">
        <v>44041</v>
      </c>
      <c r="M1381" s="116">
        <v>215.6</v>
      </c>
      <c r="N1381" s="116">
        <v>219.6</v>
      </c>
      <c r="O1381" s="116">
        <v>213.75</v>
      </c>
      <c r="P1381" s="116">
        <v>216.5</v>
      </c>
      <c r="Q1381" s="116">
        <v>215.6</v>
      </c>
      <c r="R1381">
        <v>5678086</v>
      </c>
    </row>
    <row r="1382" spans="1:18" x14ac:dyDescent="0.25">
      <c r="A1382" s="170">
        <v>44042</v>
      </c>
      <c r="B1382" s="116">
        <v>222</v>
      </c>
      <c r="C1382" s="116">
        <v>221.25</v>
      </c>
      <c r="D1382" s="116">
        <v>213.8</v>
      </c>
      <c r="E1382" s="116">
        <v>217.5</v>
      </c>
      <c r="F1382" s="116">
        <v>221.25</v>
      </c>
      <c r="G1382">
        <v>182930</v>
      </c>
      <c r="H1382" s="116"/>
      <c r="I1382" s="116"/>
      <c r="L1382" s="170">
        <v>44042</v>
      </c>
      <c r="M1382" s="116">
        <v>221.25</v>
      </c>
      <c r="N1382" s="116">
        <v>222.2</v>
      </c>
      <c r="O1382" s="116">
        <v>213.05</v>
      </c>
      <c r="P1382" s="116">
        <v>216</v>
      </c>
      <c r="Q1382" s="116">
        <v>221.25</v>
      </c>
      <c r="R1382">
        <v>5871680</v>
      </c>
    </row>
    <row r="1383" spans="1:18" x14ac:dyDescent="0.25">
      <c r="A1383" s="170">
        <v>44043</v>
      </c>
      <c r="B1383" s="116">
        <v>225.4</v>
      </c>
      <c r="C1383" s="116">
        <v>220</v>
      </c>
      <c r="D1383" s="116">
        <v>217.7</v>
      </c>
      <c r="E1383" s="116">
        <v>219.5</v>
      </c>
      <c r="F1383" s="116">
        <v>220</v>
      </c>
      <c r="G1383">
        <v>142794</v>
      </c>
      <c r="H1383" s="116"/>
      <c r="I1383" s="116"/>
      <c r="L1383" s="170">
        <v>44043</v>
      </c>
      <c r="M1383" s="116">
        <v>220.1</v>
      </c>
      <c r="N1383" s="116">
        <v>225.5</v>
      </c>
      <c r="O1383" s="116">
        <v>217.6</v>
      </c>
      <c r="P1383" s="116">
        <v>221.25</v>
      </c>
      <c r="Q1383" s="116">
        <v>220.1</v>
      </c>
      <c r="R1383">
        <v>6638453</v>
      </c>
    </row>
    <row r="1384" spans="1:18" x14ac:dyDescent="0.25">
      <c r="A1384" s="170">
        <v>44046</v>
      </c>
      <c r="B1384" s="116">
        <v>225.9</v>
      </c>
      <c r="C1384" s="116">
        <v>221.05</v>
      </c>
      <c r="D1384" s="116">
        <v>218.95</v>
      </c>
      <c r="E1384" s="116">
        <v>219.7</v>
      </c>
      <c r="F1384" s="116">
        <v>221.05</v>
      </c>
      <c r="G1384">
        <v>145465</v>
      </c>
      <c r="H1384" s="116"/>
      <c r="I1384" s="116"/>
      <c r="L1384" s="170">
        <v>44046</v>
      </c>
      <c r="M1384" s="116">
        <v>221.15</v>
      </c>
      <c r="N1384" s="116">
        <v>225.8</v>
      </c>
      <c r="O1384" s="116">
        <v>218.5</v>
      </c>
      <c r="P1384" s="116">
        <v>218.5</v>
      </c>
      <c r="Q1384" s="116">
        <v>221.15</v>
      </c>
      <c r="R1384">
        <v>6020129</v>
      </c>
    </row>
    <row r="1385" spans="1:18" x14ac:dyDescent="0.25">
      <c r="A1385" s="170">
        <v>44047</v>
      </c>
      <c r="B1385" s="116">
        <v>225</v>
      </c>
      <c r="C1385" s="116">
        <v>221.8</v>
      </c>
      <c r="D1385" s="116">
        <v>220.4</v>
      </c>
      <c r="E1385" s="116">
        <v>221.6</v>
      </c>
      <c r="F1385" s="116">
        <v>221.8</v>
      </c>
      <c r="G1385">
        <v>97546</v>
      </c>
      <c r="H1385" s="116"/>
      <c r="I1385" s="116"/>
      <c r="L1385" s="170">
        <v>44047</v>
      </c>
      <c r="M1385" s="116">
        <v>221.55</v>
      </c>
      <c r="N1385" s="116">
        <v>225.15</v>
      </c>
      <c r="O1385" s="116">
        <v>220.25</v>
      </c>
      <c r="P1385" s="116">
        <v>221.1</v>
      </c>
      <c r="Q1385" s="116">
        <v>221.55</v>
      </c>
      <c r="R1385">
        <v>4706837</v>
      </c>
    </row>
    <row r="1386" spans="1:18" x14ac:dyDescent="0.25">
      <c r="A1386" s="170">
        <v>44048</v>
      </c>
      <c r="B1386" s="116">
        <v>224.15</v>
      </c>
      <c r="C1386" s="116">
        <v>220.9</v>
      </c>
      <c r="D1386" s="116">
        <v>219.4</v>
      </c>
      <c r="E1386" s="116">
        <v>222</v>
      </c>
      <c r="F1386" s="116">
        <v>220.9</v>
      </c>
      <c r="G1386">
        <v>80660</v>
      </c>
      <c r="H1386" s="116"/>
      <c r="I1386" s="116"/>
      <c r="L1386" s="170">
        <v>44048</v>
      </c>
      <c r="M1386" s="116">
        <v>220.9</v>
      </c>
      <c r="N1386" s="116">
        <v>224.15</v>
      </c>
      <c r="O1386" s="116">
        <v>219.25</v>
      </c>
      <c r="P1386" s="116">
        <v>221.6</v>
      </c>
      <c r="Q1386" s="116">
        <v>220.9</v>
      </c>
      <c r="R1386">
        <v>4115591</v>
      </c>
    </row>
    <row r="1387" spans="1:18" x14ac:dyDescent="0.25">
      <c r="A1387" s="170">
        <v>44049</v>
      </c>
      <c r="B1387" s="116">
        <v>224.65</v>
      </c>
      <c r="C1387" s="116">
        <v>223.15</v>
      </c>
      <c r="D1387" s="116">
        <v>221.05</v>
      </c>
      <c r="E1387" s="116">
        <v>222.95</v>
      </c>
      <c r="F1387" s="116">
        <v>223.15</v>
      </c>
      <c r="G1387">
        <v>69106</v>
      </c>
      <c r="H1387" s="116"/>
      <c r="I1387" s="116"/>
      <c r="L1387" s="170">
        <v>44049</v>
      </c>
      <c r="M1387" s="116">
        <v>222.95</v>
      </c>
      <c r="N1387" s="116">
        <v>224.75</v>
      </c>
      <c r="O1387" s="116">
        <v>221.1</v>
      </c>
      <c r="P1387" s="116">
        <v>221.35</v>
      </c>
      <c r="Q1387" s="116">
        <v>222.95</v>
      </c>
      <c r="R1387">
        <v>3245608</v>
      </c>
    </row>
    <row r="1388" spans="1:18" x14ac:dyDescent="0.25">
      <c r="A1388" s="170">
        <v>44050</v>
      </c>
      <c r="B1388" s="116">
        <v>226.25</v>
      </c>
      <c r="C1388" s="116">
        <v>219.6</v>
      </c>
      <c r="D1388" s="116">
        <v>218.65</v>
      </c>
      <c r="E1388" s="116">
        <v>224</v>
      </c>
      <c r="F1388" s="116">
        <v>219.6</v>
      </c>
      <c r="G1388">
        <v>90934</v>
      </c>
      <c r="H1388" s="116"/>
      <c r="I1388" s="116"/>
      <c r="L1388" s="170">
        <v>44050</v>
      </c>
      <c r="M1388" s="116">
        <v>219.55</v>
      </c>
      <c r="N1388" s="116">
        <v>226.25</v>
      </c>
      <c r="O1388" s="116">
        <v>218.6</v>
      </c>
      <c r="P1388" s="116">
        <v>222</v>
      </c>
      <c r="Q1388" s="116">
        <v>219.55</v>
      </c>
      <c r="R1388">
        <v>4871444</v>
      </c>
    </row>
    <row r="1389" spans="1:18" x14ac:dyDescent="0.25">
      <c r="A1389" s="170">
        <v>44053</v>
      </c>
      <c r="B1389" s="116">
        <v>223.4</v>
      </c>
      <c r="C1389" s="116">
        <v>221.65</v>
      </c>
      <c r="D1389" s="116">
        <v>219.45</v>
      </c>
      <c r="E1389" s="116">
        <v>220.15</v>
      </c>
      <c r="F1389" s="116">
        <v>221.65</v>
      </c>
      <c r="G1389">
        <v>106648</v>
      </c>
      <c r="H1389" s="116"/>
      <c r="I1389" s="116"/>
      <c r="L1389" s="170">
        <v>44053</v>
      </c>
      <c r="M1389" s="116">
        <v>221.85</v>
      </c>
      <c r="N1389" s="116">
        <v>223.5</v>
      </c>
      <c r="O1389" s="116">
        <v>219.55</v>
      </c>
      <c r="P1389" s="116">
        <v>221</v>
      </c>
      <c r="Q1389" s="116">
        <v>221.85</v>
      </c>
      <c r="R1389">
        <v>3306247</v>
      </c>
    </row>
    <row r="1390" spans="1:18" x14ac:dyDescent="0.25">
      <c r="A1390" s="170">
        <v>44054</v>
      </c>
      <c r="B1390" s="116">
        <v>229.25</v>
      </c>
      <c r="C1390" s="116">
        <v>222.65</v>
      </c>
      <c r="D1390" s="116">
        <v>221.65</v>
      </c>
      <c r="E1390" s="116">
        <v>223</v>
      </c>
      <c r="F1390" s="116">
        <v>222.65</v>
      </c>
      <c r="G1390">
        <v>259746</v>
      </c>
      <c r="H1390" s="116"/>
      <c r="I1390" s="116"/>
      <c r="L1390" s="170">
        <v>44054</v>
      </c>
      <c r="M1390" s="116">
        <v>222.75</v>
      </c>
      <c r="N1390" s="116">
        <v>229.25</v>
      </c>
      <c r="O1390" s="116">
        <v>221.35</v>
      </c>
      <c r="P1390" s="116">
        <v>222.85</v>
      </c>
      <c r="Q1390" s="116">
        <v>222.75</v>
      </c>
      <c r="R1390">
        <v>6916437</v>
      </c>
    </row>
    <row r="1391" spans="1:18" x14ac:dyDescent="0.25">
      <c r="A1391" s="170">
        <v>44055</v>
      </c>
      <c r="B1391" s="116">
        <v>223</v>
      </c>
      <c r="C1391" s="116">
        <v>221.8</v>
      </c>
      <c r="D1391" s="116">
        <v>219.55</v>
      </c>
      <c r="E1391" s="116">
        <v>222.65</v>
      </c>
      <c r="F1391" s="116">
        <v>221.8</v>
      </c>
      <c r="G1391">
        <v>100911</v>
      </c>
      <c r="H1391" s="116"/>
      <c r="I1391" s="116"/>
      <c r="L1391" s="170">
        <v>44055</v>
      </c>
      <c r="M1391" s="116">
        <v>221.8</v>
      </c>
      <c r="N1391" s="116">
        <v>223.2</v>
      </c>
      <c r="O1391" s="116">
        <v>219.3</v>
      </c>
      <c r="P1391" s="116">
        <v>222.5</v>
      </c>
      <c r="Q1391" s="116">
        <v>221.8</v>
      </c>
      <c r="R1391">
        <v>2396865</v>
      </c>
    </row>
    <row r="1392" spans="1:18" x14ac:dyDescent="0.25">
      <c r="A1392" s="170">
        <v>44056</v>
      </c>
      <c r="B1392" s="116">
        <v>224.65</v>
      </c>
      <c r="C1392" s="116">
        <v>222</v>
      </c>
      <c r="D1392" s="116">
        <v>219.95</v>
      </c>
      <c r="E1392" s="116">
        <v>221.25</v>
      </c>
      <c r="F1392" s="116">
        <v>222</v>
      </c>
      <c r="G1392">
        <v>72810</v>
      </c>
      <c r="H1392" s="116"/>
      <c r="I1392" s="116"/>
      <c r="L1392" s="170">
        <v>44056</v>
      </c>
      <c r="M1392" s="116">
        <v>222</v>
      </c>
      <c r="N1392" s="116">
        <v>224.85</v>
      </c>
      <c r="O1392" s="116">
        <v>219.8</v>
      </c>
      <c r="P1392" s="116">
        <v>222.3</v>
      </c>
      <c r="Q1392" s="116">
        <v>222</v>
      </c>
      <c r="R1392">
        <v>2238707</v>
      </c>
    </row>
    <row r="1393" spans="1:18" x14ac:dyDescent="0.25">
      <c r="A1393" s="170">
        <v>44057</v>
      </c>
      <c r="B1393" s="116">
        <v>224.5</v>
      </c>
      <c r="C1393" s="116">
        <v>220.6</v>
      </c>
      <c r="D1393" s="116">
        <v>218.9</v>
      </c>
      <c r="E1393" s="116">
        <v>220.55</v>
      </c>
      <c r="F1393" s="116">
        <v>220.6</v>
      </c>
      <c r="G1393">
        <v>63212</v>
      </c>
      <c r="H1393" s="116"/>
      <c r="I1393" s="116"/>
      <c r="L1393" s="170">
        <v>44057</v>
      </c>
      <c r="M1393" s="116">
        <v>220.75</v>
      </c>
      <c r="N1393" s="116">
        <v>224.55</v>
      </c>
      <c r="O1393" s="116">
        <v>218.85</v>
      </c>
      <c r="P1393" s="116">
        <v>221.8</v>
      </c>
      <c r="Q1393" s="116">
        <v>220.75</v>
      </c>
      <c r="R1393">
        <v>2751124</v>
      </c>
    </row>
    <row r="1394" spans="1:18" x14ac:dyDescent="0.25">
      <c r="A1394" s="170">
        <v>44060</v>
      </c>
      <c r="B1394" s="116">
        <v>222.45</v>
      </c>
      <c r="C1394" s="116">
        <v>219.3</v>
      </c>
      <c r="D1394" s="116">
        <v>218.2</v>
      </c>
      <c r="E1394" s="116">
        <v>222.3</v>
      </c>
      <c r="F1394" s="116">
        <v>219.3</v>
      </c>
      <c r="G1394">
        <v>52241</v>
      </c>
      <c r="H1394" s="116"/>
      <c r="I1394" s="116"/>
      <c r="L1394" s="170">
        <v>44060</v>
      </c>
      <c r="M1394" s="116">
        <v>219.35</v>
      </c>
      <c r="N1394" s="116">
        <v>222.95</v>
      </c>
      <c r="O1394" s="116">
        <v>218.1</v>
      </c>
      <c r="P1394" s="116">
        <v>221.75</v>
      </c>
      <c r="Q1394" s="116">
        <v>219.35</v>
      </c>
      <c r="R1394">
        <v>2479307</v>
      </c>
    </row>
    <row r="1395" spans="1:18" x14ac:dyDescent="0.25">
      <c r="A1395" s="170">
        <v>44061</v>
      </c>
      <c r="B1395" s="116">
        <v>229</v>
      </c>
      <c r="C1395" s="116">
        <v>228.3</v>
      </c>
      <c r="D1395" s="116">
        <v>220</v>
      </c>
      <c r="E1395" s="116">
        <v>221</v>
      </c>
      <c r="F1395" s="116">
        <v>228.3</v>
      </c>
      <c r="G1395">
        <v>112694</v>
      </c>
      <c r="H1395" s="116"/>
      <c r="I1395" s="116"/>
      <c r="L1395" s="170">
        <v>44061</v>
      </c>
      <c r="M1395" s="116">
        <v>228.2</v>
      </c>
      <c r="N1395" s="116">
        <v>229.2</v>
      </c>
      <c r="O1395" s="116">
        <v>219.5</v>
      </c>
      <c r="P1395" s="116">
        <v>219.5</v>
      </c>
      <c r="Q1395" s="116">
        <v>228.2</v>
      </c>
      <c r="R1395">
        <v>5469882</v>
      </c>
    </row>
    <row r="1396" spans="1:18" x14ac:dyDescent="0.25">
      <c r="A1396" s="170">
        <v>44062</v>
      </c>
      <c r="B1396" s="116">
        <v>231.85</v>
      </c>
      <c r="C1396" s="116">
        <v>226.75</v>
      </c>
      <c r="D1396" s="116">
        <v>225.6</v>
      </c>
      <c r="E1396" s="116">
        <v>230</v>
      </c>
      <c r="F1396" s="116">
        <v>226.75</v>
      </c>
      <c r="G1396">
        <v>186949</v>
      </c>
      <c r="H1396" s="116"/>
      <c r="I1396" s="116"/>
      <c r="L1396" s="170">
        <v>44062</v>
      </c>
      <c r="M1396" s="116">
        <v>226.95</v>
      </c>
      <c r="N1396" s="116">
        <v>231.85</v>
      </c>
      <c r="O1396" s="116">
        <v>225.7</v>
      </c>
      <c r="P1396" s="116">
        <v>230.2</v>
      </c>
      <c r="Q1396" s="116">
        <v>226.95</v>
      </c>
      <c r="R1396">
        <v>4821016</v>
      </c>
    </row>
    <row r="1397" spans="1:18" x14ac:dyDescent="0.25">
      <c r="A1397" s="170">
        <v>44063</v>
      </c>
      <c r="B1397" s="116">
        <v>228.35</v>
      </c>
      <c r="C1397" s="116">
        <v>225.4</v>
      </c>
      <c r="D1397" s="116">
        <v>224.05</v>
      </c>
      <c r="E1397" s="116">
        <v>226.6</v>
      </c>
      <c r="F1397" s="116">
        <v>225.4</v>
      </c>
      <c r="G1397">
        <v>68275</v>
      </c>
      <c r="H1397" s="116"/>
      <c r="I1397" s="116"/>
      <c r="L1397" s="170">
        <v>44063</v>
      </c>
      <c r="M1397" s="116">
        <v>225.35</v>
      </c>
      <c r="N1397" s="116">
        <v>228.3</v>
      </c>
      <c r="O1397" s="116">
        <v>224</v>
      </c>
      <c r="P1397" s="116">
        <v>224.8</v>
      </c>
      <c r="Q1397" s="116">
        <v>225.35</v>
      </c>
      <c r="R1397">
        <v>1540485</v>
      </c>
    </row>
    <row r="1398" spans="1:18" x14ac:dyDescent="0.25">
      <c r="A1398" s="170">
        <v>44064</v>
      </c>
      <c r="B1398" s="116">
        <v>228.5</v>
      </c>
      <c r="C1398" s="116">
        <v>225.95</v>
      </c>
      <c r="D1398" s="116">
        <v>224.5</v>
      </c>
      <c r="E1398" s="116">
        <v>224.85</v>
      </c>
      <c r="F1398" s="116">
        <v>225.95</v>
      </c>
      <c r="G1398">
        <v>70039</v>
      </c>
      <c r="H1398" s="116"/>
      <c r="I1398" s="116"/>
      <c r="L1398" s="170">
        <v>44064</v>
      </c>
      <c r="M1398" s="116">
        <v>225.95</v>
      </c>
      <c r="N1398" s="116">
        <v>228.7</v>
      </c>
      <c r="O1398" s="116">
        <v>224.4</v>
      </c>
      <c r="P1398" s="116">
        <v>226.6</v>
      </c>
      <c r="Q1398" s="116">
        <v>225.95</v>
      </c>
      <c r="R1398">
        <v>1700350</v>
      </c>
    </row>
    <row r="1399" spans="1:18" x14ac:dyDescent="0.25">
      <c r="A1399" s="170">
        <v>44067</v>
      </c>
      <c r="B1399" s="116">
        <v>227.15</v>
      </c>
      <c r="C1399" s="116">
        <v>224.25</v>
      </c>
      <c r="D1399" s="116">
        <v>223.15</v>
      </c>
      <c r="E1399" s="116">
        <v>227</v>
      </c>
      <c r="F1399" s="116">
        <v>224.25</v>
      </c>
      <c r="G1399">
        <v>77367</v>
      </c>
      <c r="H1399" s="116"/>
      <c r="I1399" s="116"/>
      <c r="L1399" s="170">
        <v>44067</v>
      </c>
      <c r="M1399" s="116">
        <v>224.2</v>
      </c>
      <c r="N1399" s="116">
        <v>227.25</v>
      </c>
      <c r="O1399" s="116">
        <v>223.15</v>
      </c>
      <c r="P1399" s="116">
        <v>226.5</v>
      </c>
      <c r="Q1399" s="116">
        <v>224.2</v>
      </c>
      <c r="R1399">
        <v>2503510</v>
      </c>
    </row>
    <row r="1400" spans="1:18" x14ac:dyDescent="0.25">
      <c r="A1400" s="170">
        <v>44068</v>
      </c>
      <c r="B1400" s="116">
        <v>226</v>
      </c>
      <c r="C1400" s="116">
        <v>222.6</v>
      </c>
      <c r="D1400" s="116">
        <v>221.2</v>
      </c>
      <c r="E1400" s="116">
        <v>223</v>
      </c>
      <c r="F1400" s="116">
        <v>222.6</v>
      </c>
      <c r="G1400">
        <v>56605</v>
      </c>
      <c r="H1400" s="116"/>
      <c r="I1400" s="116"/>
      <c r="L1400" s="170">
        <v>44068</v>
      </c>
      <c r="M1400" s="116">
        <v>222.35</v>
      </c>
      <c r="N1400" s="116">
        <v>226.2</v>
      </c>
      <c r="O1400" s="116">
        <v>221.1</v>
      </c>
      <c r="P1400" s="116">
        <v>224.6</v>
      </c>
      <c r="Q1400" s="116">
        <v>222.35</v>
      </c>
      <c r="R1400">
        <v>1638069</v>
      </c>
    </row>
    <row r="1401" spans="1:18" x14ac:dyDescent="0.25">
      <c r="A1401" s="170">
        <v>44069</v>
      </c>
      <c r="B1401" s="116">
        <v>222.7</v>
      </c>
      <c r="C1401" s="116">
        <v>220.9</v>
      </c>
      <c r="D1401" s="116">
        <v>219.65</v>
      </c>
      <c r="E1401" s="116">
        <v>222.7</v>
      </c>
      <c r="F1401" s="116">
        <v>220.9</v>
      </c>
      <c r="G1401">
        <v>131873</v>
      </c>
      <c r="H1401" s="116"/>
      <c r="I1401" s="116"/>
      <c r="L1401" s="170">
        <v>44069</v>
      </c>
      <c r="M1401" s="116">
        <v>220.85</v>
      </c>
      <c r="N1401" s="116">
        <v>223.6</v>
      </c>
      <c r="O1401" s="116">
        <v>219.6</v>
      </c>
      <c r="P1401" s="116">
        <v>223.6</v>
      </c>
      <c r="Q1401" s="116">
        <v>220.85</v>
      </c>
      <c r="R1401">
        <v>2595484</v>
      </c>
    </row>
    <row r="1402" spans="1:18" x14ac:dyDescent="0.25">
      <c r="A1402" s="170">
        <v>44070</v>
      </c>
      <c r="B1402" s="116">
        <v>223.55</v>
      </c>
      <c r="C1402" s="116">
        <v>221.75</v>
      </c>
      <c r="D1402" s="116">
        <v>220.3</v>
      </c>
      <c r="E1402" s="116">
        <v>221</v>
      </c>
      <c r="F1402" s="116">
        <v>221.75</v>
      </c>
      <c r="G1402">
        <v>96959</v>
      </c>
      <c r="H1402" s="116"/>
      <c r="I1402" s="116"/>
      <c r="L1402" s="170">
        <v>44070</v>
      </c>
      <c r="M1402" s="116">
        <v>221.35</v>
      </c>
      <c r="N1402" s="116">
        <v>223.7</v>
      </c>
      <c r="O1402" s="116">
        <v>220.2</v>
      </c>
      <c r="P1402" s="116">
        <v>222</v>
      </c>
      <c r="Q1402" s="116">
        <v>221.35</v>
      </c>
      <c r="R1402">
        <v>2046039</v>
      </c>
    </row>
    <row r="1403" spans="1:18" x14ac:dyDescent="0.25">
      <c r="A1403" s="170">
        <v>44071</v>
      </c>
      <c r="B1403" s="116">
        <v>225</v>
      </c>
      <c r="C1403" s="116">
        <v>222.2</v>
      </c>
      <c r="D1403" s="116">
        <v>220.5</v>
      </c>
      <c r="E1403" s="116">
        <v>223</v>
      </c>
      <c r="F1403" s="116">
        <v>222.2</v>
      </c>
      <c r="G1403">
        <v>740019</v>
      </c>
      <c r="H1403" s="116"/>
      <c r="I1403" s="116"/>
      <c r="L1403" s="170">
        <v>44071</v>
      </c>
      <c r="M1403" s="116">
        <v>222.45</v>
      </c>
      <c r="N1403" s="116">
        <v>225.15</v>
      </c>
      <c r="O1403" s="116">
        <v>220.35</v>
      </c>
      <c r="P1403" s="116">
        <v>222.1</v>
      </c>
      <c r="Q1403" s="116">
        <v>222.45</v>
      </c>
      <c r="R1403">
        <v>4114190</v>
      </c>
    </row>
    <row r="1404" spans="1:18" x14ac:dyDescent="0.25">
      <c r="A1404" s="170">
        <v>44074</v>
      </c>
      <c r="B1404" s="116">
        <v>223.95</v>
      </c>
      <c r="C1404" s="116">
        <v>210.5</v>
      </c>
      <c r="D1404" s="116">
        <v>208.7</v>
      </c>
      <c r="E1404" s="116">
        <v>223</v>
      </c>
      <c r="F1404" s="116">
        <v>210.5</v>
      </c>
      <c r="G1404">
        <v>119853</v>
      </c>
      <c r="H1404" s="116"/>
      <c r="I1404" s="116"/>
      <c r="L1404" s="170">
        <v>44074</v>
      </c>
      <c r="M1404" s="116">
        <v>210.55</v>
      </c>
      <c r="N1404" s="116">
        <v>224.1</v>
      </c>
      <c r="O1404" s="116">
        <v>208.55</v>
      </c>
      <c r="P1404" s="116">
        <v>222.5</v>
      </c>
      <c r="Q1404" s="116">
        <v>210.55</v>
      </c>
      <c r="R1404">
        <v>4230653</v>
      </c>
    </row>
    <row r="1405" spans="1:18" x14ac:dyDescent="0.25">
      <c r="A1405" s="170">
        <v>44075</v>
      </c>
      <c r="B1405" s="116">
        <v>219.8</v>
      </c>
      <c r="C1405" s="116">
        <v>213</v>
      </c>
      <c r="D1405" s="116">
        <v>208.45</v>
      </c>
      <c r="E1405" s="116">
        <v>219.8</v>
      </c>
      <c r="F1405" s="116">
        <v>213</v>
      </c>
      <c r="G1405">
        <v>677541</v>
      </c>
      <c r="H1405" s="116"/>
      <c r="I1405" s="116"/>
      <c r="L1405" s="170">
        <v>44075</v>
      </c>
      <c r="M1405" s="116">
        <v>213</v>
      </c>
      <c r="N1405" s="116">
        <v>214.35</v>
      </c>
      <c r="O1405" s="116">
        <v>208.4</v>
      </c>
      <c r="P1405" s="116">
        <v>211</v>
      </c>
      <c r="Q1405" s="116">
        <v>213</v>
      </c>
      <c r="R1405">
        <v>4386376</v>
      </c>
    </row>
    <row r="1406" spans="1:18" x14ac:dyDescent="0.25">
      <c r="A1406" s="170">
        <v>44076</v>
      </c>
      <c r="B1406" s="116">
        <v>218.35</v>
      </c>
      <c r="C1406" s="116">
        <v>217.4</v>
      </c>
      <c r="D1406" s="116">
        <v>211.65</v>
      </c>
      <c r="E1406" s="116">
        <v>215</v>
      </c>
      <c r="F1406" s="116">
        <v>217.4</v>
      </c>
      <c r="G1406">
        <v>68702</v>
      </c>
      <c r="H1406" s="116"/>
      <c r="I1406" s="116"/>
      <c r="L1406" s="170">
        <v>44076</v>
      </c>
      <c r="M1406" s="116">
        <v>217.25</v>
      </c>
      <c r="N1406" s="116">
        <v>218.5</v>
      </c>
      <c r="O1406" s="116">
        <v>211.25</v>
      </c>
      <c r="P1406" s="116">
        <v>213.25</v>
      </c>
      <c r="Q1406" s="116">
        <v>217.25</v>
      </c>
      <c r="R1406">
        <v>3871764</v>
      </c>
    </row>
    <row r="1407" spans="1:18" x14ac:dyDescent="0.25">
      <c r="A1407" s="170">
        <v>44077</v>
      </c>
      <c r="B1407" s="116">
        <v>220.9</v>
      </c>
      <c r="C1407" s="116">
        <v>214.55</v>
      </c>
      <c r="D1407" s="116">
        <v>213.6</v>
      </c>
      <c r="E1407" s="116">
        <v>220.9</v>
      </c>
      <c r="F1407" s="116">
        <v>214.55</v>
      </c>
      <c r="G1407">
        <v>59811</v>
      </c>
      <c r="H1407" s="116"/>
      <c r="I1407" s="116"/>
      <c r="L1407" s="170">
        <v>44077</v>
      </c>
      <c r="M1407" s="116">
        <v>214.6</v>
      </c>
      <c r="N1407" s="116">
        <v>220</v>
      </c>
      <c r="O1407" s="116">
        <v>213.5</v>
      </c>
      <c r="P1407" s="116">
        <v>218.3</v>
      </c>
      <c r="Q1407" s="116">
        <v>214.6</v>
      </c>
      <c r="R1407">
        <v>3292415</v>
      </c>
    </row>
    <row r="1408" spans="1:18" x14ac:dyDescent="0.25">
      <c r="A1408" s="170">
        <v>44078</v>
      </c>
      <c r="B1408" s="116">
        <v>212.6</v>
      </c>
      <c r="C1408" s="116">
        <v>208.65</v>
      </c>
      <c r="D1408" s="116">
        <v>207.5</v>
      </c>
      <c r="E1408" s="116">
        <v>211</v>
      </c>
      <c r="F1408" s="116">
        <v>208.65</v>
      </c>
      <c r="G1408">
        <v>70173</v>
      </c>
      <c r="H1408" s="116"/>
      <c r="I1408" s="116"/>
      <c r="L1408" s="170">
        <v>44078</v>
      </c>
      <c r="M1408" s="116">
        <v>208.5</v>
      </c>
      <c r="N1408" s="116">
        <v>212.6</v>
      </c>
      <c r="O1408" s="116">
        <v>207</v>
      </c>
      <c r="P1408" s="116">
        <v>211.7</v>
      </c>
      <c r="Q1408" s="116">
        <v>208.5</v>
      </c>
      <c r="R1408">
        <v>3950171</v>
      </c>
    </row>
    <row r="1409" spans="1:18" x14ac:dyDescent="0.25">
      <c r="A1409" s="170">
        <v>44081</v>
      </c>
      <c r="B1409" s="116">
        <v>212.35</v>
      </c>
      <c r="C1409" s="116">
        <v>210.45</v>
      </c>
      <c r="D1409" s="116">
        <v>206.55</v>
      </c>
      <c r="E1409" s="116">
        <v>208.6</v>
      </c>
      <c r="F1409" s="116">
        <v>210.45</v>
      </c>
      <c r="G1409">
        <v>131679</v>
      </c>
      <c r="H1409" s="116"/>
      <c r="I1409" s="116"/>
      <c r="L1409" s="170">
        <v>44081</v>
      </c>
      <c r="M1409" s="116">
        <v>210.55</v>
      </c>
      <c r="N1409" s="116">
        <v>212.35</v>
      </c>
      <c r="O1409" s="116">
        <v>206.45</v>
      </c>
      <c r="P1409" s="116">
        <v>208.5</v>
      </c>
      <c r="Q1409" s="116">
        <v>210.55</v>
      </c>
      <c r="R1409">
        <v>4220405</v>
      </c>
    </row>
    <row r="1410" spans="1:18" x14ac:dyDescent="0.25">
      <c r="A1410" s="170">
        <v>44082</v>
      </c>
      <c r="B1410" s="116">
        <v>210.55</v>
      </c>
      <c r="C1410" s="116">
        <v>206.5</v>
      </c>
      <c r="D1410" s="116">
        <v>205.75</v>
      </c>
      <c r="E1410" s="116">
        <v>210.55</v>
      </c>
      <c r="F1410" s="116">
        <v>206.5</v>
      </c>
      <c r="G1410">
        <v>44543</v>
      </c>
      <c r="H1410" s="116"/>
      <c r="I1410" s="116"/>
      <c r="L1410" s="170">
        <v>44082</v>
      </c>
      <c r="M1410" s="116">
        <v>206.5</v>
      </c>
      <c r="N1410" s="116">
        <v>210.5</v>
      </c>
      <c r="O1410" s="116">
        <v>205.65</v>
      </c>
      <c r="P1410" s="116">
        <v>210.5</v>
      </c>
      <c r="Q1410" s="116">
        <v>206.5</v>
      </c>
      <c r="R1410">
        <v>2070634</v>
      </c>
    </row>
    <row r="1411" spans="1:18" x14ac:dyDescent="0.25">
      <c r="A1411" s="170">
        <v>44083</v>
      </c>
      <c r="B1411" s="116">
        <v>210.25</v>
      </c>
      <c r="C1411" s="116">
        <v>209.45</v>
      </c>
      <c r="D1411" s="116">
        <v>204.4</v>
      </c>
      <c r="E1411" s="116">
        <v>206.2</v>
      </c>
      <c r="F1411" s="116">
        <v>209.45</v>
      </c>
      <c r="G1411">
        <v>54302</v>
      </c>
      <c r="H1411" s="116"/>
      <c r="I1411" s="116"/>
      <c r="L1411" s="170">
        <v>44083</v>
      </c>
      <c r="M1411" s="116">
        <v>209.45</v>
      </c>
      <c r="N1411" s="116">
        <v>210.5</v>
      </c>
      <c r="O1411" s="116">
        <v>204.3</v>
      </c>
      <c r="P1411" s="116">
        <v>205.75</v>
      </c>
      <c r="Q1411" s="116">
        <v>209.45</v>
      </c>
      <c r="R1411">
        <v>2844517</v>
      </c>
    </row>
    <row r="1412" spans="1:18" x14ac:dyDescent="0.25">
      <c r="A1412" s="170">
        <v>44084</v>
      </c>
      <c r="B1412" s="116">
        <v>214.5</v>
      </c>
      <c r="C1412" s="116">
        <v>212.75</v>
      </c>
      <c r="D1412" s="116">
        <v>207.35</v>
      </c>
      <c r="E1412" s="116">
        <v>210.9</v>
      </c>
      <c r="F1412" s="116">
        <v>212.75</v>
      </c>
      <c r="G1412">
        <v>65724</v>
      </c>
      <c r="H1412" s="116"/>
      <c r="I1412" s="116"/>
      <c r="L1412" s="170">
        <v>44084</v>
      </c>
      <c r="M1412" s="116">
        <v>212.95</v>
      </c>
      <c r="N1412" s="116">
        <v>214.45</v>
      </c>
      <c r="O1412" s="116">
        <v>207.3</v>
      </c>
      <c r="P1412" s="116">
        <v>210.8</v>
      </c>
      <c r="Q1412" s="116">
        <v>212.95</v>
      </c>
      <c r="R1412">
        <v>2591779</v>
      </c>
    </row>
    <row r="1413" spans="1:18" x14ac:dyDescent="0.25">
      <c r="A1413" s="170">
        <v>44085</v>
      </c>
      <c r="B1413" s="116">
        <v>214.4</v>
      </c>
      <c r="C1413" s="116">
        <v>212.4</v>
      </c>
      <c r="D1413" s="116">
        <v>211.25</v>
      </c>
      <c r="E1413" s="116">
        <v>214.4</v>
      </c>
      <c r="F1413" s="116">
        <v>212.4</v>
      </c>
      <c r="G1413">
        <v>42865</v>
      </c>
      <c r="H1413" s="116"/>
      <c r="I1413" s="116"/>
      <c r="L1413" s="170">
        <v>44085</v>
      </c>
      <c r="M1413" s="116">
        <v>212.45</v>
      </c>
      <c r="N1413" s="116">
        <v>214.5</v>
      </c>
      <c r="O1413" s="116">
        <v>211.1</v>
      </c>
      <c r="P1413" s="116">
        <v>212.95</v>
      </c>
      <c r="Q1413" s="116">
        <v>212.45</v>
      </c>
      <c r="R1413">
        <v>1841491</v>
      </c>
    </row>
    <row r="1414" spans="1:18" x14ac:dyDescent="0.25">
      <c r="A1414" s="170">
        <v>44088</v>
      </c>
      <c r="B1414" s="116">
        <v>217</v>
      </c>
      <c r="C1414" s="116">
        <v>210.85</v>
      </c>
      <c r="D1414" s="116">
        <v>210</v>
      </c>
      <c r="E1414" s="116">
        <v>212.6</v>
      </c>
      <c r="F1414" s="116">
        <v>210.85</v>
      </c>
      <c r="G1414">
        <v>62598</v>
      </c>
      <c r="H1414" s="116"/>
      <c r="I1414" s="116"/>
      <c r="L1414" s="170">
        <v>44088</v>
      </c>
      <c r="M1414" s="116">
        <v>211.1</v>
      </c>
      <c r="N1414" s="116">
        <v>217</v>
      </c>
      <c r="O1414" s="116">
        <v>209.8</v>
      </c>
      <c r="P1414" s="116">
        <v>214.3</v>
      </c>
      <c r="Q1414" s="116">
        <v>211.1</v>
      </c>
      <c r="R1414">
        <v>4594264</v>
      </c>
    </row>
    <row r="1415" spans="1:18" x14ac:dyDescent="0.25">
      <c r="A1415" s="170">
        <v>44089</v>
      </c>
      <c r="B1415" s="116">
        <v>217.9</v>
      </c>
      <c r="C1415" s="116">
        <v>217.55</v>
      </c>
      <c r="D1415" s="116">
        <v>209.05</v>
      </c>
      <c r="E1415" s="116">
        <v>209.05</v>
      </c>
      <c r="F1415" s="116">
        <v>217.55</v>
      </c>
      <c r="G1415">
        <v>56219</v>
      </c>
      <c r="H1415" s="116"/>
      <c r="I1415" s="116"/>
      <c r="L1415" s="170">
        <v>44089</v>
      </c>
      <c r="M1415" s="116">
        <v>217.45</v>
      </c>
      <c r="N1415" s="116">
        <v>217.85</v>
      </c>
      <c r="O1415" s="116">
        <v>210.55</v>
      </c>
      <c r="P1415" s="116">
        <v>210.95</v>
      </c>
      <c r="Q1415" s="116">
        <v>217.45</v>
      </c>
      <c r="R1415">
        <v>3027667</v>
      </c>
    </row>
    <row r="1416" spans="1:18" x14ac:dyDescent="0.25">
      <c r="A1416" s="170">
        <v>44090</v>
      </c>
      <c r="B1416" s="116">
        <v>220.95</v>
      </c>
      <c r="C1416" s="116">
        <v>218.5</v>
      </c>
      <c r="D1416" s="116">
        <v>216.1</v>
      </c>
      <c r="E1416" s="116">
        <v>218.45</v>
      </c>
      <c r="F1416" s="116">
        <v>218.5</v>
      </c>
      <c r="G1416">
        <v>145982</v>
      </c>
      <c r="H1416" s="116"/>
      <c r="I1416" s="116"/>
      <c r="L1416" s="170">
        <v>44090</v>
      </c>
      <c r="M1416" s="116">
        <v>218.6</v>
      </c>
      <c r="N1416" s="116">
        <v>221</v>
      </c>
      <c r="O1416" s="116">
        <v>216.05</v>
      </c>
      <c r="P1416" s="116">
        <v>217.95</v>
      </c>
      <c r="Q1416" s="116">
        <v>218.6</v>
      </c>
      <c r="R1416">
        <v>4891756</v>
      </c>
    </row>
    <row r="1417" spans="1:18" x14ac:dyDescent="0.25">
      <c r="A1417" s="170">
        <v>44091</v>
      </c>
      <c r="B1417" s="116">
        <v>222.65</v>
      </c>
      <c r="C1417" s="116">
        <v>220.2</v>
      </c>
      <c r="D1417" s="116">
        <v>217.35</v>
      </c>
      <c r="E1417" s="116">
        <v>218.5</v>
      </c>
      <c r="F1417" s="116">
        <v>220.2</v>
      </c>
      <c r="G1417">
        <v>122262</v>
      </c>
      <c r="H1417" s="116"/>
      <c r="I1417" s="116"/>
      <c r="L1417" s="170">
        <v>44091</v>
      </c>
      <c r="M1417" s="116">
        <v>220.3</v>
      </c>
      <c r="N1417" s="116">
        <v>222.7</v>
      </c>
      <c r="O1417" s="116">
        <v>217.4</v>
      </c>
      <c r="P1417" s="116">
        <v>218</v>
      </c>
      <c r="Q1417" s="116">
        <v>220.3</v>
      </c>
      <c r="R1417">
        <v>4404688</v>
      </c>
    </row>
    <row r="1418" spans="1:18" x14ac:dyDescent="0.25">
      <c r="A1418" s="170">
        <v>44092</v>
      </c>
      <c r="B1418" s="116">
        <v>222.9</v>
      </c>
      <c r="C1418" s="116">
        <v>219.9</v>
      </c>
      <c r="D1418" s="116">
        <v>217.2</v>
      </c>
      <c r="E1418" s="116">
        <v>222</v>
      </c>
      <c r="F1418" s="116">
        <v>219.9</v>
      </c>
      <c r="G1418">
        <v>57697</v>
      </c>
      <c r="H1418" s="116"/>
      <c r="I1418" s="116"/>
      <c r="L1418" s="170">
        <v>44092</v>
      </c>
      <c r="M1418" s="116">
        <v>220</v>
      </c>
      <c r="N1418" s="116">
        <v>223</v>
      </c>
      <c r="O1418" s="116">
        <v>217.05</v>
      </c>
      <c r="P1418" s="116">
        <v>221.75</v>
      </c>
      <c r="Q1418" s="116">
        <v>220</v>
      </c>
      <c r="R1418">
        <v>3567707</v>
      </c>
    </row>
    <row r="1419" spans="1:18" x14ac:dyDescent="0.25">
      <c r="A1419" s="170">
        <v>44095</v>
      </c>
      <c r="B1419" s="116">
        <v>220</v>
      </c>
      <c r="C1419" s="116">
        <v>209.7</v>
      </c>
      <c r="D1419" s="116">
        <v>207.95</v>
      </c>
      <c r="E1419" s="116">
        <v>220</v>
      </c>
      <c r="F1419" s="116">
        <v>209.7</v>
      </c>
      <c r="G1419">
        <v>51467</v>
      </c>
      <c r="H1419" s="116"/>
      <c r="I1419" s="116"/>
      <c r="L1419" s="170">
        <v>44095</v>
      </c>
      <c r="M1419" s="116">
        <v>209.75</v>
      </c>
      <c r="N1419" s="116">
        <v>220.25</v>
      </c>
      <c r="O1419" s="116">
        <v>207.7</v>
      </c>
      <c r="P1419" s="116">
        <v>220</v>
      </c>
      <c r="Q1419" s="116">
        <v>209.75</v>
      </c>
      <c r="R1419">
        <v>2412725</v>
      </c>
    </row>
    <row r="1420" spans="1:18" x14ac:dyDescent="0.25">
      <c r="A1420" s="170">
        <v>44096</v>
      </c>
      <c r="B1420" s="116">
        <v>210.4</v>
      </c>
      <c r="C1420" s="116">
        <v>206.8</v>
      </c>
      <c r="D1420" s="116">
        <v>203.2</v>
      </c>
      <c r="E1420" s="116">
        <v>209.3</v>
      </c>
      <c r="F1420" s="116">
        <v>206.8</v>
      </c>
      <c r="G1420">
        <v>47100</v>
      </c>
      <c r="H1420" s="116"/>
      <c r="I1420" s="116"/>
      <c r="L1420" s="170">
        <v>44096</v>
      </c>
      <c r="M1420" s="116">
        <v>206.8</v>
      </c>
      <c r="N1420" s="116">
        <v>210.55</v>
      </c>
      <c r="O1420" s="116">
        <v>203</v>
      </c>
      <c r="P1420" s="116">
        <v>209.5</v>
      </c>
      <c r="Q1420" s="116">
        <v>206.8</v>
      </c>
      <c r="R1420">
        <v>3532428</v>
      </c>
    </row>
    <row r="1421" spans="1:18" x14ac:dyDescent="0.25">
      <c r="A1421" s="170">
        <v>44097</v>
      </c>
      <c r="B1421" s="116">
        <v>211.05</v>
      </c>
      <c r="C1421" s="116">
        <v>209.25</v>
      </c>
      <c r="D1421" s="116">
        <v>204.85</v>
      </c>
      <c r="E1421" s="116">
        <v>206.8</v>
      </c>
      <c r="F1421" s="116">
        <v>209.25</v>
      </c>
      <c r="G1421">
        <v>269114</v>
      </c>
      <c r="H1421" s="116"/>
      <c r="I1421" s="116"/>
      <c r="L1421" s="170">
        <v>44097</v>
      </c>
      <c r="M1421" s="116">
        <v>209.25</v>
      </c>
      <c r="N1421" s="116">
        <v>211.4</v>
      </c>
      <c r="O1421" s="116">
        <v>204.55</v>
      </c>
      <c r="P1421" s="116">
        <v>206.4</v>
      </c>
      <c r="Q1421" s="116">
        <v>209.25</v>
      </c>
      <c r="R1421">
        <v>4129810</v>
      </c>
    </row>
    <row r="1422" spans="1:18" x14ac:dyDescent="0.25">
      <c r="A1422" s="170">
        <v>44098</v>
      </c>
      <c r="B1422" s="116">
        <v>208.05</v>
      </c>
      <c r="C1422" s="116">
        <v>198.4</v>
      </c>
      <c r="D1422" s="116">
        <v>197.5</v>
      </c>
      <c r="E1422" s="116">
        <v>205.55</v>
      </c>
      <c r="F1422" s="116">
        <v>198.4</v>
      </c>
      <c r="G1422">
        <v>87695</v>
      </c>
      <c r="H1422" s="116"/>
      <c r="I1422" s="116"/>
      <c r="L1422" s="170">
        <v>44098</v>
      </c>
      <c r="M1422" s="116">
        <v>198.25</v>
      </c>
      <c r="N1422" s="116">
        <v>208.2</v>
      </c>
      <c r="O1422" s="116">
        <v>197.45</v>
      </c>
      <c r="P1422" s="116">
        <v>206.15</v>
      </c>
      <c r="Q1422" s="116">
        <v>198.25</v>
      </c>
      <c r="R1422">
        <v>3309215</v>
      </c>
    </row>
    <row r="1423" spans="1:18" x14ac:dyDescent="0.25">
      <c r="A1423" s="170">
        <v>44099</v>
      </c>
      <c r="B1423" s="116">
        <v>206.65</v>
      </c>
      <c r="C1423" s="116">
        <v>205.55</v>
      </c>
      <c r="D1423" s="116">
        <v>199</v>
      </c>
      <c r="E1423" s="116">
        <v>200</v>
      </c>
      <c r="F1423" s="116">
        <v>205.55</v>
      </c>
      <c r="G1423">
        <v>106976</v>
      </c>
      <c r="H1423" s="116"/>
      <c r="I1423" s="116"/>
      <c r="L1423" s="170">
        <v>44099</v>
      </c>
      <c r="M1423" s="116">
        <v>205.5</v>
      </c>
      <c r="N1423" s="116">
        <v>206.7</v>
      </c>
      <c r="O1423" s="116">
        <v>199</v>
      </c>
      <c r="P1423" s="116">
        <v>201.7</v>
      </c>
      <c r="Q1423" s="116">
        <v>205.5</v>
      </c>
      <c r="R1423">
        <v>4205656</v>
      </c>
    </row>
    <row r="1424" spans="1:18" x14ac:dyDescent="0.25">
      <c r="A1424" s="170">
        <v>44102</v>
      </c>
      <c r="B1424" s="116">
        <v>212.55</v>
      </c>
      <c r="C1424" s="116">
        <v>211.7</v>
      </c>
      <c r="D1424" s="116">
        <v>201.5</v>
      </c>
      <c r="E1424" s="116">
        <v>201.5</v>
      </c>
      <c r="F1424" s="116">
        <v>211.7</v>
      </c>
      <c r="G1424">
        <v>69135</v>
      </c>
      <c r="H1424" s="116"/>
      <c r="I1424" s="116"/>
      <c r="L1424" s="170">
        <v>44102</v>
      </c>
      <c r="M1424" s="116">
        <v>211.65</v>
      </c>
      <c r="N1424" s="116">
        <v>212.55</v>
      </c>
      <c r="O1424" s="116">
        <v>205.55</v>
      </c>
      <c r="P1424" s="116">
        <v>206.6</v>
      </c>
      <c r="Q1424" s="116">
        <v>211.65</v>
      </c>
      <c r="R1424">
        <v>2153072</v>
      </c>
    </row>
    <row r="1425" spans="1:18" x14ac:dyDescent="0.25">
      <c r="A1425" s="170">
        <v>44103</v>
      </c>
      <c r="B1425" s="116">
        <v>218.25</v>
      </c>
      <c r="C1425" s="116">
        <v>216.65</v>
      </c>
      <c r="D1425" s="116">
        <v>210.35</v>
      </c>
      <c r="E1425" s="116">
        <v>210.35</v>
      </c>
      <c r="F1425" s="116">
        <v>216.65</v>
      </c>
      <c r="G1425">
        <v>108239</v>
      </c>
      <c r="H1425" s="116"/>
      <c r="I1425" s="116"/>
      <c r="L1425" s="170">
        <v>44103</v>
      </c>
      <c r="M1425" s="116">
        <v>216.65</v>
      </c>
      <c r="N1425" s="116">
        <v>218.5</v>
      </c>
      <c r="O1425" s="116">
        <v>210.8</v>
      </c>
      <c r="P1425" s="116">
        <v>214.05</v>
      </c>
      <c r="Q1425" s="116">
        <v>216.65</v>
      </c>
      <c r="R1425">
        <v>4723206</v>
      </c>
    </row>
    <row r="1426" spans="1:18" x14ac:dyDescent="0.25">
      <c r="A1426" s="170">
        <v>44104</v>
      </c>
      <c r="B1426" s="116">
        <v>218.4</v>
      </c>
      <c r="C1426" s="116">
        <v>216.95</v>
      </c>
      <c r="D1426" s="116">
        <v>214</v>
      </c>
      <c r="E1426" s="116">
        <v>218.4</v>
      </c>
      <c r="F1426" s="116">
        <v>216.95</v>
      </c>
      <c r="G1426">
        <v>103842</v>
      </c>
      <c r="H1426" s="116"/>
      <c r="I1426" s="116"/>
      <c r="L1426" s="170">
        <v>44104</v>
      </c>
      <c r="M1426" s="116">
        <v>217</v>
      </c>
      <c r="N1426" s="116">
        <v>218.25</v>
      </c>
      <c r="O1426" s="116">
        <v>213.9</v>
      </c>
      <c r="P1426" s="116">
        <v>218</v>
      </c>
      <c r="Q1426" s="116">
        <v>217</v>
      </c>
      <c r="R1426">
        <v>3645700</v>
      </c>
    </row>
    <row r="1427" spans="1:18" x14ac:dyDescent="0.25">
      <c r="A1427" s="170">
        <v>44105</v>
      </c>
      <c r="B1427" s="116">
        <v>221.85</v>
      </c>
      <c r="C1427" s="116">
        <v>221.2</v>
      </c>
      <c r="D1427" s="116">
        <v>218</v>
      </c>
      <c r="E1427" s="116">
        <v>218.2</v>
      </c>
      <c r="F1427" s="116">
        <v>221.2</v>
      </c>
      <c r="G1427">
        <v>71857</v>
      </c>
      <c r="H1427" s="116"/>
      <c r="I1427" s="116"/>
      <c r="L1427" s="170">
        <v>44105</v>
      </c>
      <c r="M1427" s="116">
        <v>221.2</v>
      </c>
      <c r="N1427" s="116">
        <v>221.95</v>
      </c>
      <c r="O1427" s="116">
        <v>217.55</v>
      </c>
      <c r="P1427" s="116">
        <v>218.5</v>
      </c>
      <c r="Q1427" s="116">
        <v>221.2</v>
      </c>
      <c r="R1427">
        <v>3358699</v>
      </c>
    </row>
    <row r="1428" spans="1:18" x14ac:dyDescent="0.25">
      <c r="A1428" s="170">
        <v>44109</v>
      </c>
      <c r="B1428" s="116">
        <v>224.05</v>
      </c>
      <c r="C1428" s="116">
        <v>221.4</v>
      </c>
      <c r="D1428" s="116">
        <v>219.6</v>
      </c>
      <c r="E1428" s="116">
        <v>223</v>
      </c>
      <c r="F1428" s="116">
        <v>221.4</v>
      </c>
      <c r="G1428">
        <v>103010</v>
      </c>
      <c r="H1428" s="116"/>
      <c r="I1428" s="116"/>
      <c r="L1428" s="170">
        <v>44109</v>
      </c>
      <c r="M1428" s="116">
        <v>221.35</v>
      </c>
      <c r="N1428" s="116">
        <v>224.2</v>
      </c>
      <c r="O1428" s="116">
        <v>219.45</v>
      </c>
      <c r="P1428" s="116">
        <v>221.2</v>
      </c>
      <c r="Q1428" s="116">
        <v>221.35</v>
      </c>
      <c r="R1428">
        <v>3259420</v>
      </c>
    </row>
    <row r="1429" spans="1:18" x14ac:dyDescent="0.25">
      <c r="A1429" s="170">
        <v>44110</v>
      </c>
      <c r="B1429" s="116">
        <v>227.7</v>
      </c>
      <c r="C1429" s="116">
        <v>225.4</v>
      </c>
      <c r="D1429" s="116">
        <v>220.25</v>
      </c>
      <c r="E1429" s="116">
        <v>221.4</v>
      </c>
      <c r="F1429" s="116">
        <v>225.4</v>
      </c>
      <c r="G1429">
        <v>148595</v>
      </c>
      <c r="H1429" s="116"/>
      <c r="I1429" s="116"/>
      <c r="L1429" s="170">
        <v>44110</v>
      </c>
      <c r="M1429" s="116">
        <v>225.3</v>
      </c>
      <c r="N1429" s="116">
        <v>227.75</v>
      </c>
      <c r="O1429" s="116">
        <v>220.1</v>
      </c>
      <c r="P1429" s="116">
        <v>222.95</v>
      </c>
      <c r="Q1429" s="116">
        <v>225.3</v>
      </c>
      <c r="R1429">
        <v>4929361</v>
      </c>
    </row>
    <row r="1430" spans="1:18" x14ac:dyDescent="0.25">
      <c r="A1430" s="170">
        <v>44111</v>
      </c>
      <c r="B1430" s="116">
        <v>237.7</v>
      </c>
      <c r="C1430" s="116">
        <v>234.75</v>
      </c>
      <c r="D1430" s="116">
        <v>224.9</v>
      </c>
      <c r="E1430" s="116">
        <v>225.6</v>
      </c>
      <c r="F1430" s="116">
        <v>234.75</v>
      </c>
      <c r="G1430">
        <v>508306</v>
      </c>
      <c r="H1430" s="116"/>
      <c r="I1430" s="116"/>
      <c r="L1430" s="170">
        <v>44111</v>
      </c>
      <c r="M1430" s="116">
        <v>234.8</v>
      </c>
      <c r="N1430" s="116">
        <v>237.75</v>
      </c>
      <c r="O1430" s="116">
        <v>225</v>
      </c>
      <c r="P1430" s="116">
        <v>226</v>
      </c>
      <c r="Q1430" s="116">
        <v>234.8</v>
      </c>
      <c r="R1430">
        <v>16914960</v>
      </c>
    </row>
    <row r="1431" spans="1:18" x14ac:dyDescent="0.25">
      <c r="A1431" s="170">
        <v>44112</v>
      </c>
      <c r="B1431" s="116">
        <v>239.35</v>
      </c>
      <c r="C1431" s="116">
        <v>238.1</v>
      </c>
      <c r="D1431" s="116">
        <v>231.45</v>
      </c>
      <c r="E1431" s="116">
        <v>237.15</v>
      </c>
      <c r="F1431" s="116">
        <v>238.1</v>
      </c>
      <c r="G1431">
        <v>243027</v>
      </c>
      <c r="H1431" s="116"/>
      <c r="I1431" s="116"/>
      <c r="L1431" s="170">
        <v>44112</v>
      </c>
      <c r="M1431" s="116">
        <v>238.15</v>
      </c>
      <c r="N1431" s="116">
        <v>239.95</v>
      </c>
      <c r="O1431" s="116">
        <v>231.4</v>
      </c>
      <c r="P1431" s="116">
        <v>234.8</v>
      </c>
      <c r="Q1431" s="116">
        <v>238.15</v>
      </c>
      <c r="R1431">
        <v>8142299</v>
      </c>
    </row>
    <row r="1432" spans="1:18" x14ac:dyDescent="0.25">
      <c r="A1432" s="170">
        <v>44113</v>
      </c>
      <c r="B1432" s="116">
        <v>240.4</v>
      </c>
      <c r="C1432" s="116">
        <v>239.35</v>
      </c>
      <c r="D1432" s="116">
        <v>235.1</v>
      </c>
      <c r="E1432" s="116">
        <v>238.5</v>
      </c>
      <c r="F1432" s="116">
        <v>239.35</v>
      </c>
      <c r="G1432">
        <v>90810</v>
      </c>
      <c r="H1432" s="116"/>
      <c r="I1432" s="116"/>
      <c r="L1432" s="170">
        <v>44113</v>
      </c>
      <c r="M1432" s="116">
        <v>239.35</v>
      </c>
      <c r="N1432" s="116">
        <v>240.55</v>
      </c>
      <c r="O1432" s="116">
        <v>235</v>
      </c>
      <c r="P1432" s="116">
        <v>236.55</v>
      </c>
      <c r="Q1432" s="116">
        <v>239.35</v>
      </c>
      <c r="R1432">
        <v>6602985</v>
      </c>
    </row>
    <row r="1433" spans="1:18" x14ac:dyDescent="0.25">
      <c r="A1433" s="170">
        <v>44116</v>
      </c>
      <c r="B1433" s="116">
        <v>242.3</v>
      </c>
      <c r="C1433" s="116">
        <v>238.3</v>
      </c>
      <c r="D1433" s="116">
        <v>233.35</v>
      </c>
      <c r="E1433" s="116">
        <v>239</v>
      </c>
      <c r="F1433" s="116">
        <v>238.3</v>
      </c>
      <c r="G1433">
        <v>189431</v>
      </c>
      <c r="H1433" s="116"/>
      <c r="I1433" s="116"/>
      <c r="L1433" s="170">
        <v>44116</v>
      </c>
      <c r="M1433" s="116">
        <v>238.4</v>
      </c>
      <c r="N1433" s="116">
        <v>242.35</v>
      </c>
      <c r="O1433" s="116">
        <v>233.2</v>
      </c>
      <c r="P1433" s="116">
        <v>238</v>
      </c>
      <c r="Q1433" s="116">
        <v>238.4</v>
      </c>
      <c r="R1433">
        <v>6441943</v>
      </c>
    </row>
    <row r="1434" spans="1:18" x14ac:dyDescent="0.25">
      <c r="A1434" s="170">
        <v>44117</v>
      </c>
      <c r="B1434" s="116">
        <v>249.25</v>
      </c>
      <c r="C1434" s="116">
        <v>241.8</v>
      </c>
      <c r="D1434" s="116">
        <v>237.1</v>
      </c>
      <c r="E1434" s="116">
        <v>239.25</v>
      </c>
      <c r="F1434" s="116">
        <v>241.8</v>
      </c>
      <c r="G1434">
        <v>367682</v>
      </c>
      <c r="H1434" s="116"/>
      <c r="I1434" s="116"/>
      <c r="L1434" s="170">
        <v>44117</v>
      </c>
      <c r="M1434" s="116">
        <v>241.75</v>
      </c>
      <c r="N1434" s="116">
        <v>249.35</v>
      </c>
      <c r="O1434" s="116">
        <v>236.8</v>
      </c>
      <c r="P1434" s="116">
        <v>237</v>
      </c>
      <c r="Q1434" s="116">
        <v>241.75</v>
      </c>
      <c r="R1434">
        <v>16150051</v>
      </c>
    </row>
    <row r="1435" spans="1:18" x14ac:dyDescent="0.25">
      <c r="A1435" s="170">
        <v>44118</v>
      </c>
      <c r="B1435" s="116">
        <v>248</v>
      </c>
      <c r="C1435" s="116">
        <v>246.65</v>
      </c>
      <c r="D1435" s="116">
        <v>240.2</v>
      </c>
      <c r="E1435" s="116">
        <v>242</v>
      </c>
      <c r="F1435" s="116">
        <v>246.65</v>
      </c>
      <c r="G1435">
        <v>176383</v>
      </c>
      <c r="H1435" s="116"/>
      <c r="I1435" s="116"/>
      <c r="L1435" s="170">
        <v>44118</v>
      </c>
      <c r="M1435" s="116">
        <v>246.6</v>
      </c>
      <c r="N1435" s="116">
        <v>248</v>
      </c>
      <c r="O1435" s="116">
        <v>240.15</v>
      </c>
      <c r="P1435" s="116">
        <v>241.95</v>
      </c>
      <c r="Q1435" s="116">
        <v>246.6</v>
      </c>
      <c r="R1435">
        <v>10384793</v>
      </c>
    </row>
    <row r="1436" spans="1:18" x14ac:dyDescent="0.25">
      <c r="A1436" s="170">
        <v>44119</v>
      </c>
      <c r="B1436" s="116">
        <v>250.25</v>
      </c>
      <c r="C1436" s="116">
        <v>243.3</v>
      </c>
      <c r="D1436" s="116">
        <v>240.8</v>
      </c>
      <c r="E1436" s="116">
        <v>247.1</v>
      </c>
      <c r="F1436" s="116">
        <v>243.3</v>
      </c>
      <c r="G1436">
        <v>140913</v>
      </c>
      <c r="H1436" s="116"/>
      <c r="I1436" s="116"/>
      <c r="L1436" s="170">
        <v>44119</v>
      </c>
      <c r="M1436" s="116">
        <v>243.35</v>
      </c>
      <c r="N1436" s="116">
        <v>250</v>
      </c>
      <c r="O1436" s="116">
        <v>240.8</v>
      </c>
      <c r="P1436" s="116">
        <v>248</v>
      </c>
      <c r="Q1436" s="116">
        <v>243.35</v>
      </c>
      <c r="R1436">
        <v>8031726</v>
      </c>
    </row>
    <row r="1437" spans="1:18" x14ac:dyDescent="0.25">
      <c r="A1437" s="170">
        <v>44120</v>
      </c>
      <c r="B1437" s="116">
        <v>248.95</v>
      </c>
      <c r="C1437" s="116">
        <v>248.1</v>
      </c>
      <c r="D1437" s="116">
        <v>240.2</v>
      </c>
      <c r="E1437" s="116">
        <v>243.9</v>
      </c>
      <c r="F1437" s="116">
        <v>248.1</v>
      </c>
      <c r="G1437">
        <v>184024</v>
      </c>
      <c r="H1437" s="116"/>
      <c r="I1437" s="116"/>
      <c r="L1437" s="170">
        <v>44120</v>
      </c>
      <c r="M1437" s="116">
        <v>248</v>
      </c>
      <c r="N1437" s="116">
        <v>249</v>
      </c>
      <c r="O1437" s="116">
        <v>240.15</v>
      </c>
      <c r="P1437" s="116">
        <v>243.3</v>
      </c>
      <c r="Q1437" s="116">
        <v>248</v>
      </c>
      <c r="R1437">
        <v>12591434</v>
      </c>
    </row>
    <row r="1438" spans="1:18" x14ac:dyDescent="0.25">
      <c r="A1438" s="170">
        <v>44123</v>
      </c>
      <c r="B1438" s="116">
        <v>249.35</v>
      </c>
      <c r="C1438" s="116">
        <v>247.6</v>
      </c>
      <c r="D1438" s="116">
        <v>243.5</v>
      </c>
      <c r="E1438" s="116">
        <v>248.15</v>
      </c>
      <c r="F1438" s="116">
        <v>247.6</v>
      </c>
      <c r="G1438">
        <v>163415</v>
      </c>
      <c r="H1438" s="116"/>
      <c r="I1438" s="116"/>
      <c r="L1438" s="170">
        <v>44123</v>
      </c>
      <c r="M1438" s="116">
        <v>247.6</v>
      </c>
      <c r="N1438" s="116">
        <v>249.7</v>
      </c>
      <c r="O1438" s="116">
        <v>243.4</v>
      </c>
      <c r="P1438" s="116">
        <v>249.2</v>
      </c>
      <c r="Q1438" s="116">
        <v>247.6</v>
      </c>
      <c r="R1438">
        <v>10969208</v>
      </c>
    </row>
    <row r="1439" spans="1:18" x14ac:dyDescent="0.25">
      <c r="A1439" s="170">
        <v>44124</v>
      </c>
      <c r="B1439" s="116">
        <v>254.85</v>
      </c>
      <c r="C1439" s="116">
        <v>251.4</v>
      </c>
      <c r="D1439" s="116">
        <v>247.15</v>
      </c>
      <c r="E1439" s="116">
        <v>249</v>
      </c>
      <c r="F1439" s="116">
        <v>251.4</v>
      </c>
      <c r="G1439">
        <v>384530</v>
      </c>
      <c r="H1439" s="116"/>
      <c r="I1439" s="116"/>
      <c r="L1439" s="170">
        <v>44124</v>
      </c>
      <c r="M1439" s="116">
        <v>251.45</v>
      </c>
      <c r="N1439" s="116">
        <v>254.9</v>
      </c>
      <c r="O1439" s="116">
        <v>247.05</v>
      </c>
      <c r="P1439" s="116">
        <v>249.9</v>
      </c>
      <c r="Q1439" s="116">
        <v>251.45</v>
      </c>
      <c r="R1439">
        <v>20195023</v>
      </c>
    </row>
    <row r="1440" spans="1:18" x14ac:dyDescent="0.25">
      <c r="A1440" s="170">
        <v>44125</v>
      </c>
      <c r="B1440" s="116">
        <v>254.3</v>
      </c>
      <c r="C1440" s="116">
        <v>253.4</v>
      </c>
      <c r="D1440" s="116">
        <v>246.25</v>
      </c>
      <c r="E1440" s="116">
        <v>252.9</v>
      </c>
      <c r="F1440" s="116">
        <v>253.4</v>
      </c>
      <c r="G1440">
        <v>257360</v>
      </c>
      <c r="H1440" s="116"/>
      <c r="I1440" s="116"/>
      <c r="L1440" s="170">
        <v>44125</v>
      </c>
      <c r="M1440" s="116">
        <v>253.35</v>
      </c>
      <c r="N1440" s="116">
        <v>254.3</v>
      </c>
      <c r="O1440" s="116">
        <v>245.95</v>
      </c>
      <c r="P1440" s="116">
        <v>251.9</v>
      </c>
      <c r="Q1440" s="116">
        <v>253.35</v>
      </c>
      <c r="R1440">
        <v>9478126</v>
      </c>
    </row>
    <row r="1441" spans="1:18" x14ac:dyDescent="0.25">
      <c r="A1441" s="170">
        <v>44126</v>
      </c>
      <c r="B1441" s="116">
        <v>255.45</v>
      </c>
      <c r="C1441" s="116">
        <v>253.85</v>
      </c>
      <c r="D1441" s="116">
        <v>249.7</v>
      </c>
      <c r="E1441" s="116">
        <v>253.2</v>
      </c>
      <c r="F1441" s="116">
        <v>253.85</v>
      </c>
      <c r="G1441">
        <v>230041</v>
      </c>
      <c r="H1441" s="116"/>
      <c r="I1441" s="116"/>
      <c r="L1441" s="170">
        <v>44126</v>
      </c>
      <c r="M1441" s="116">
        <v>253.6</v>
      </c>
      <c r="N1441" s="116">
        <v>255.6</v>
      </c>
      <c r="O1441" s="116">
        <v>249.5</v>
      </c>
      <c r="P1441" s="116">
        <v>253</v>
      </c>
      <c r="Q1441" s="116">
        <v>253.6</v>
      </c>
      <c r="R1441">
        <v>11569824</v>
      </c>
    </row>
    <row r="1442" spans="1:18" x14ac:dyDescent="0.25">
      <c r="A1442" s="170">
        <v>44127</v>
      </c>
      <c r="B1442" s="116">
        <v>256.89999999999998</v>
      </c>
      <c r="C1442" s="116">
        <v>247.5</v>
      </c>
      <c r="D1442" s="116">
        <v>245.8</v>
      </c>
      <c r="E1442" s="116">
        <v>256.89999999999998</v>
      </c>
      <c r="F1442" s="116">
        <v>247.5</v>
      </c>
      <c r="G1442">
        <v>410754</v>
      </c>
      <c r="H1442" s="116"/>
      <c r="I1442" s="116"/>
      <c r="L1442" s="170">
        <v>44127</v>
      </c>
      <c r="M1442" s="116">
        <v>247.4</v>
      </c>
      <c r="N1442" s="116">
        <v>256</v>
      </c>
      <c r="O1442" s="116">
        <v>245</v>
      </c>
      <c r="P1442" s="116">
        <v>255.5</v>
      </c>
      <c r="Q1442" s="116">
        <v>247.4</v>
      </c>
      <c r="R1442">
        <v>15337715</v>
      </c>
    </row>
    <row r="1443" spans="1:18" x14ac:dyDescent="0.25">
      <c r="A1443" s="170">
        <v>44130</v>
      </c>
      <c r="B1443" s="116">
        <v>249</v>
      </c>
      <c r="C1443" s="116">
        <v>245</v>
      </c>
      <c r="D1443" s="116">
        <v>242.5</v>
      </c>
      <c r="E1443" s="116">
        <v>249</v>
      </c>
      <c r="F1443" s="116">
        <v>245</v>
      </c>
      <c r="G1443">
        <v>278370</v>
      </c>
      <c r="H1443" s="116"/>
      <c r="I1443" s="116"/>
      <c r="L1443" s="170">
        <v>44130</v>
      </c>
      <c r="M1443" s="116">
        <v>245.05</v>
      </c>
      <c r="N1443" s="116">
        <v>249</v>
      </c>
      <c r="O1443" s="116">
        <v>242.45</v>
      </c>
      <c r="P1443" s="116">
        <v>248.7</v>
      </c>
      <c r="Q1443" s="116">
        <v>245.05</v>
      </c>
      <c r="R1443">
        <v>8116758</v>
      </c>
    </row>
    <row r="1444" spans="1:18" x14ac:dyDescent="0.25">
      <c r="A1444" s="170">
        <v>44131</v>
      </c>
      <c r="B1444" s="116">
        <v>256.89999999999998</v>
      </c>
      <c r="C1444" s="116">
        <v>255.95</v>
      </c>
      <c r="D1444" s="116">
        <v>243.8</v>
      </c>
      <c r="E1444" s="116">
        <v>244</v>
      </c>
      <c r="F1444" s="116">
        <v>255.95</v>
      </c>
      <c r="G1444">
        <v>238140</v>
      </c>
      <c r="H1444" s="116"/>
      <c r="I1444" s="116"/>
      <c r="L1444" s="170">
        <v>44131</v>
      </c>
      <c r="M1444" s="116">
        <v>255.85</v>
      </c>
      <c r="N1444" s="116">
        <v>257</v>
      </c>
      <c r="O1444" s="116">
        <v>243.65</v>
      </c>
      <c r="P1444" s="116">
        <v>245.05</v>
      </c>
      <c r="Q1444" s="116">
        <v>255.85</v>
      </c>
      <c r="R1444">
        <v>13207219</v>
      </c>
    </row>
    <row r="1445" spans="1:18" x14ac:dyDescent="0.25">
      <c r="A1445" s="170">
        <v>44132</v>
      </c>
      <c r="B1445" s="116">
        <v>254.65</v>
      </c>
      <c r="C1445" s="116">
        <v>251.75</v>
      </c>
      <c r="D1445" s="116">
        <v>250.45</v>
      </c>
      <c r="E1445" s="116">
        <v>252.5</v>
      </c>
      <c r="F1445" s="116">
        <v>251.75</v>
      </c>
      <c r="G1445">
        <v>155251</v>
      </c>
      <c r="H1445" s="116"/>
      <c r="I1445" s="116"/>
      <c r="L1445" s="170">
        <v>44132</v>
      </c>
      <c r="M1445" s="116">
        <v>251.8</v>
      </c>
      <c r="N1445" s="116">
        <v>254.7</v>
      </c>
      <c r="O1445" s="116">
        <v>250.35</v>
      </c>
      <c r="P1445" s="116">
        <v>253.85</v>
      </c>
      <c r="Q1445" s="116">
        <v>251.8</v>
      </c>
      <c r="R1445">
        <v>4873537</v>
      </c>
    </row>
    <row r="1446" spans="1:18" x14ac:dyDescent="0.25">
      <c r="A1446" s="170">
        <v>44133</v>
      </c>
      <c r="B1446" s="116">
        <v>254.55</v>
      </c>
      <c r="C1446" s="116">
        <v>253.9</v>
      </c>
      <c r="D1446" s="116">
        <v>248.6</v>
      </c>
      <c r="E1446" s="116">
        <v>249.9</v>
      </c>
      <c r="F1446" s="116">
        <v>253.9</v>
      </c>
      <c r="G1446">
        <v>85149</v>
      </c>
      <c r="H1446" s="116"/>
      <c r="I1446" s="116"/>
      <c r="L1446" s="170">
        <v>44133</v>
      </c>
      <c r="M1446" s="116">
        <v>254</v>
      </c>
      <c r="N1446" s="116">
        <v>255</v>
      </c>
      <c r="O1446" s="116">
        <v>248.7</v>
      </c>
      <c r="P1446" s="116">
        <v>250.5</v>
      </c>
      <c r="Q1446" s="116">
        <v>254</v>
      </c>
      <c r="R1446">
        <v>4794371</v>
      </c>
    </row>
    <row r="1447" spans="1:18" x14ac:dyDescent="0.25">
      <c r="A1447" s="170">
        <v>44134</v>
      </c>
      <c r="B1447" s="116">
        <v>265.75</v>
      </c>
      <c r="C1447" s="116">
        <v>259.55</v>
      </c>
      <c r="D1447" s="116">
        <v>252.9</v>
      </c>
      <c r="E1447" s="116">
        <v>254.8</v>
      </c>
      <c r="F1447" s="116">
        <v>259.55</v>
      </c>
      <c r="G1447">
        <v>395308</v>
      </c>
      <c r="H1447" s="116"/>
      <c r="I1447" s="116"/>
      <c r="L1447" s="170">
        <v>44134</v>
      </c>
      <c r="M1447" s="116">
        <v>259.7</v>
      </c>
      <c r="N1447" s="116">
        <v>265.8</v>
      </c>
      <c r="O1447" s="116">
        <v>252.4</v>
      </c>
      <c r="P1447" s="116">
        <v>254.85</v>
      </c>
      <c r="Q1447" s="116">
        <v>259.7</v>
      </c>
      <c r="R1447">
        <v>18101783</v>
      </c>
    </row>
    <row r="1448" spans="1:18" x14ac:dyDescent="0.25">
      <c r="A1448" s="170">
        <v>44137</v>
      </c>
      <c r="B1448" s="116">
        <v>261.89999999999998</v>
      </c>
      <c r="C1448" s="116">
        <v>260.45</v>
      </c>
      <c r="D1448" s="116">
        <v>257.25</v>
      </c>
      <c r="E1448" s="116">
        <v>261.89999999999998</v>
      </c>
      <c r="F1448" s="116">
        <v>260.45</v>
      </c>
      <c r="G1448">
        <v>181349</v>
      </c>
      <c r="H1448" s="116"/>
      <c r="I1448" s="116"/>
      <c r="L1448" s="170">
        <v>44137</v>
      </c>
      <c r="M1448" s="116">
        <v>260.5</v>
      </c>
      <c r="N1448" s="116">
        <v>261.89999999999998</v>
      </c>
      <c r="O1448" s="116">
        <v>257.2</v>
      </c>
      <c r="P1448" s="116">
        <v>260</v>
      </c>
      <c r="Q1448" s="116">
        <v>260.5</v>
      </c>
      <c r="R1448">
        <v>6267645</v>
      </c>
    </row>
    <row r="1449" spans="1:18" x14ac:dyDescent="0.25">
      <c r="A1449" s="170">
        <v>44138</v>
      </c>
      <c r="B1449" s="116">
        <v>263.2</v>
      </c>
      <c r="C1449" s="116">
        <v>262.2</v>
      </c>
      <c r="D1449" s="116">
        <v>257.64999999999998</v>
      </c>
      <c r="E1449" s="116">
        <v>263.2</v>
      </c>
      <c r="F1449" s="116">
        <v>262.2</v>
      </c>
      <c r="G1449">
        <v>122843</v>
      </c>
      <c r="H1449" s="116"/>
      <c r="I1449" s="116"/>
      <c r="L1449" s="170">
        <v>44138</v>
      </c>
      <c r="M1449" s="116">
        <v>262</v>
      </c>
      <c r="N1449" s="116">
        <v>263.05</v>
      </c>
      <c r="O1449" s="116">
        <v>257.64999999999998</v>
      </c>
      <c r="P1449" s="116">
        <v>262.10000000000002</v>
      </c>
      <c r="Q1449" s="116">
        <v>262</v>
      </c>
      <c r="R1449">
        <v>5173220</v>
      </c>
    </row>
    <row r="1450" spans="1:18" x14ac:dyDescent="0.25">
      <c r="A1450" s="170">
        <v>44139</v>
      </c>
      <c r="B1450" s="116">
        <v>265.14999999999998</v>
      </c>
      <c r="C1450" s="116">
        <v>264.39999999999998</v>
      </c>
      <c r="D1450" s="116">
        <v>259.60000000000002</v>
      </c>
      <c r="E1450" s="116">
        <v>262</v>
      </c>
      <c r="F1450" s="116">
        <v>264.39999999999998</v>
      </c>
      <c r="G1450">
        <v>256770</v>
      </c>
      <c r="H1450" s="116"/>
      <c r="I1450" s="116"/>
      <c r="L1450" s="170">
        <v>44139</v>
      </c>
      <c r="M1450" s="116">
        <v>264.39999999999998</v>
      </c>
      <c r="N1450" s="116">
        <v>265.3</v>
      </c>
      <c r="O1450" s="116">
        <v>259.64999999999998</v>
      </c>
      <c r="P1450" s="116">
        <v>262</v>
      </c>
      <c r="Q1450" s="116">
        <v>264.39999999999998</v>
      </c>
      <c r="R1450">
        <v>4122454</v>
      </c>
    </row>
    <row r="1451" spans="1:18" x14ac:dyDescent="0.25">
      <c r="A1451" s="170">
        <v>44140</v>
      </c>
      <c r="B1451" s="116">
        <v>258.64999999999998</v>
      </c>
      <c r="C1451" s="116">
        <v>255.7</v>
      </c>
      <c r="D1451" s="116">
        <v>250.95</v>
      </c>
      <c r="E1451" s="116">
        <v>252.8</v>
      </c>
      <c r="F1451" s="116">
        <v>255.7</v>
      </c>
      <c r="G1451">
        <v>269863</v>
      </c>
      <c r="H1451" s="116"/>
      <c r="I1451" s="116"/>
      <c r="L1451" s="170">
        <v>44140</v>
      </c>
      <c r="M1451" s="116">
        <v>255.75</v>
      </c>
      <c r="N1451" s="116">
        <v>258.7</v>
      </c>
      <c r="O1451" s="116">
        <v>251</v>
      </c>
      <c r="P1451" s="116">
        <v>251.85</v>
      </c>
      <c r="Q1451" s="116">
        <v>255.75</v>
      </c>
      <c r="R1451">
        <v>12065738</v>
      </c>
    </row>
    <row r="1452" spans="1:18" x14ac:dyDescent="0.25">
      <c r="A1452" s="170">
        <v>44141</v>
      </c>
      <c r="B1452" s="116">
        <v>256.5</v>
      </c>
      <c r="C1452" s="116">
        <v>248</v>
      </c>
      <c r="D1452" s="116">
        <v>247.1</v>
      </c>
      <c r="E1452" s="116">
        <v>256.10000000000002</v>
      </c>
      <c r="F1452" s="116">
        <v>248</v>
      </c>
      <c r="G1452">
        <v>155285</v>
      </c>
      <c r="H1452" s="116"/>
      <c r="I1452" s="116"/>
      <c r="L1452" s="170">
        <v>44141</v>
      </c>
      <c r="M1452" s="116">
        <v>248</v>
      </c>
      <c r="N1452" s="116">
        <v>257</v>
      </c>
      <c r="O1452" s="116">
        <v>246.65</v>
      </c>
      <c r="P1452" s="116">
        <v>257</v>
      </c>
      <c r="Q1452" s="116">
        <v>248</v>
      </c>
      <c r="R1452">
        <v>8457488</v>
      </c>
    </row>
    <row r="1453" spans="1:18" x14ac:dyDescent="0.25">
      <c r="A1453" s="170">
        <v>44144</v>
      </c>
      <c r="B1453" s="116">
        <v>251.9</v>
      </c>
      <c r="C1453" s="116">
        <v>249.35</v>
      </c>
      <c r="D1453" s="116">
        <v>247.15</v>
      </c>
      <c r="E1453" s="116">
        <v>250</v>
      </c>
      <c r="F1453" s="116">
        <v>249.35</v>
      </c>
      <c r="G1453">
        <v>271115</v>
      </c>
      <c r="H1453" s="116"/>
      <c r="I1453" s="116"/>
      <c r="L1453" s="170">
        <v>44144</v>
      </c>
      <c r="M1453" s="116">
        <v>249.3</v>
      </c>
      <c r="N1453" s="116">
        <v>252</v>
      </c>
      <c r="O1453" s="116">
        <v>247.1</v>
      </c>
      <c r="P1453" s="116">
        <v>249.45</v>
      </c>
      <c r="Q1453" s="116">
        <v>249.3</v>
      </c>
      <c r="R1453">
        <v>8012202</v>
      </c>
    </row>
    <row r="1454" spans="1:18" x14ac:dyDescent="0.25">
      <c r="A1454" s="170">
        <v>44145</v>
      </c>
      <c r="B1454" s="116">
        <v>256.2</v>
      </c>
      <c r="C1454" s="116">
        <v>249.8</v>
      </c>
      <c r="D1454" s="116">
        <v>248.5</v>
      </c>
      <c r="E1454" s="116">
        <v>250.55</v>
      </c>
      <c r="F1454" s="116">
        <v>249.8</v>
      </c>
      <c r="G1454">
        <v>423866</v>
      </c>
      <c r="H1454" s="116"/>
      <c r="I1454" s="116"/>
      <c r="L1454" s="170">
        <v>44145</v>
      </c>
      <c r="M1454" s="116">
        <v>249.9</v>
      </c>
      <c r="N1454" s="116">
        <v>256.39999999999998</v>
      </c>
      <c r="O1454" s="116">
        <v>248.4</v>
      </c>
      <c r="P1454" s="116">
        <v>251</v>
      </c>
      <c r="Q1454" s="116">
        <v>249.9</v>
      </c>
      <c r="R1454">
        <v>8645746</v>
      </c>
    </row>
    <row r="1455" spans="1:18" x14ac:dyDescent="0.25">
      <c r="A1455" s="170">
        <v>44146</v>
      </c>
      <c r="B1455" s="116">
        <v>260.7</v>
      </c>
      <c r="C1455" s="116">
        <v>259.5</v>
      </c>
      <c r="D1455" s="116">
        <v>251.8</v>
      </c>
      <c r="E1455" s="116">
        <v>252</v>
      </c>
      <c r="F1455" s="116">
        <v>259.5</v>
      </c>
      <c r="G1455">
        <v>260622</v>
      </c>
      <c r="H1455" s="116"/>
      <c r="I1455" s="116"/>
      <c r="L1455" s="170">
        <v>44146</v>
      </c>
      <c r="M1455" s="116">
        <v>259.7</v>
      </c>
      <c r="N1455" s="116">
        <v>260.89999999999998</v>
      </c>
      <c r="O1455" s="116">
        <v>251.5</v>
      </c>
      <c r="P1455" s="116">
        <v>251.5</v>
      </c>
      <c r="Q1455" s="116">
        <v>259.7</v>
      </c>
      <c r="R1455">
        <v>9322013</v>
      </c>
    </row>
    <row r="1456" spans="1:18" x14ac:dyDescent="0.25">
      <c r="A1456" s="170">
        <v>44147</v>
      </c>
      <c r="B1456" s="116">
        <v>264.14999999999998</v>
      </c>
      <c r="C1456" s="116">
        <v>262.5</v>
      </c>
      <c r="D1456" s="116">
        <v>256.3</v>
      </c>
      <c r="E1456" s="116">
        <v>258</v>
      </c>
      <c r="F1456" s="116">
        <v>262.5</v>
      </c>
      <c r="G1456">
        <v>256643</v>
      </c>
      <c r="H1456" s="116"/>
      <c r="I1456" s="116"/>
      <c r="L1456" s="170">
        <v>44147</v>
      </c>
      <c r="M1456" s="116">
        <v>262.85000000000002</v>
      </c>
      <c r="N1456" s="116">
        <v>264.35000000000002</v>
      </c>
      <c r="O1456" s="116">
        <v>256.2</v>
      </c>
      <c r="P1456" s="116">
        <v>258.10000000000002</v>
      </c>
      <c r="Q1456" s="116">
        <v>262.85000000000002</v>
      </c>
      <c r="R1456">
        <v>6698839</v>
      </c>
    </row>
    <row r="1457" spans="1:18" x14ac:dyDescent="0.25">
      <c r="A1457" s="170">
        <v>44148</v>
      </c>
      <c r="B1457" s="116">
        <v>262.14999999999998</v>
      </c>
      <c r="C1457" s="116">
        <v>257.64999999999998</v>
      </c>
      <c r="D1457" s="116">
        <v>255.75</v>
      </c>
      <c r="E1457" s="116">
        <v>261.89999999999998</v>
      </c>
      <c r="F1457" s="116">
        <v>257.64999999999998</v>
      </c>
      <c r="G1457">
        <v>116190</v>
      </c>
      <c r="H1457" s="116"/>
      <c r="I1457" s="116"/>
      <c r="L1457" s="170">
        <v>44148</v>
      </c>
      <c r="M1457" s="116">
        <v>257.7</v>
      </c>
      <c r="N1457" s="116">
        <v>262.25</v>
      </c>
      <c r="O1457" s="116">
        <v>255.75</v>
      </c>
      <c r="P1457" s="116">
        <v>261.5</v>
      </c>
      <c r="Q1457" s="116">
        <v>257.7</v>
      </c>
      <c r="R1457">
        <v>7158835</v>
      </c>
    </row>
    <row r="1458" spans="1:18" x14ac:dyDescent="0.25">
      <c r="A1458" s="170">
        <v>44149</v>
      </c>
      <c r="B1458" s="116">
        <v>261.05</v>
      </c>
      <c r="C1458" s="116">
        <v>259.05</v>
      </c>
      <c r="D1458" s="116">
        <v>258.10000000000002</v>
      </c>
      <c r="E1458" s="116">
        <v>261.05</v>
      </c>
      <c r="F1458" s="116">
        <v>259.05</v>
      </c>
      <c r="G1458">
        <v>26867</v>
      </c>
      <c r="H1458" s="116"/>
      <c r="I1458" s="116"/>
      <c r="L1458" s="170">
        <v>44149</v>
      </c>
      <c r="M1458" s="116">
        <v>259</v>
      </c>
      <c r="N1458" s="116">
        <v>260.89999999999998</v>
      </c>
      <c r="O1458" s="116">
        <v>258.05</v>
      </c>
      <c r="P1458" s="116">
        <v>259.89999999999998</v>
      </c>
      <c r="Q1458" s="116">
        <v>259</v>
      </c>
      <c r="R1458">
        <v>489361</v>
      </c>
    </row>
    <row r="1459" spans="1:18" x14ac:dyDescent="0.25">
      <c r="A1459" s="170">
        <v>44152</v>
      </c>
      <c r="B1459" s="116">
        <v>271.95</v>
      </c>
      <c r="C1459" s="116">
        <v>268.05</v>
      </c>
      <c r="D1459" s="116">
        <v>259.55</v>
      </c>
      <c r="E1459" s="116">
        <v>259.55</v>
      </c>
      <c r="F1459" s="116">
        <v>268.05</v>
      </c>
      <c r="G1459">
        <v>377526</v>
      </c>
      <c r="H1459" s="116"/>
      <c r="I1459" s="116"/>
      <c r="L1459" s="170">
        <v>44152</v>
      </c>
      <c r="M1459" s="116">
        <v>268.05</v>
      </c>
      <c r="N1459" s="116">
        <v>272</v>
      </c>
      <c r="O1459" s="116">
        <v>260</v>
      </c>
      <c r="P1459" s="116">
        <v>261</v>
      </c>
      <c r="Q1459" s="116">
        <v>268.05</v>
      </c>
      <c r="R1459">
        <v>13207472</v>
      </c>
    </row>
    <row r="1460" spans="1:18" x14ac:dyDescent="0.25">
      <c r="A1460" s="170">
        <v>44153</v>
      </c>
      <c r="B1460" s="116">
        <v>267.8</v>
      </c>
      <c r="C1460" s="116">
        <v>261.89999999999998</v>
      </c>
      <c r="D1460" s="116">
        <v>260.7</v>
      </c>
      <c r="E1460" s="116">
        <v>267.35000000000002</v>
      </c>
      <c r="F1460" s="116">
        <v>261.89999999999998</v>
      </c>
      <c r="G1460">
        <v>229081</v>
      </c>
      <c r="H1460" s="116"/>
      <c r="I1460" s="116"/>
      <c r="L1460" s="170">
        <v>44153</v>
      </c>
      <c r="M1460" s="116">
        <v>262</v>
      </c>
      <c r="N1460" s="116">
        <v>267.7</v>
      </c>
      <c r="O1460" s="116">
        <v>260.64999999999998</v>
      </c>
      <c r="P1460" s="116">
        <v>267.2</v>
      </c>
      <c r="Q1460" s="116">
        <v>262</v>
      </c>
      <c r="R1460">
        <v>8891945</v>
      </c>
    </row>
    <row r="1461" spans="1:18" x14ac:dyDescent="0.25">
      <c r="A1461" s="170">
        <v>44154</v>
      </c>
      <c r="B1461" s="116">
        <v>265.5</v>
      </c>
      <c r="C1461" s="116">
        <v>258.60000000000002</v>
      </c>
      <c r="D1461" s="116">
        <v>256.60000000000002</v>
      </c>
      <c r="E1461" s="116">
        <v>261.7</v>
      </c>
      <c r="F1461" s="116">
        <v>258.60000000000002</v>
      </c>
      <c r="G1461">
        <v>215100</v>
      </c>
      <c r="H1461" s="116"/>
      <c r="I1461" s="116"/>
      <c r="L1461" s="170">
        <v>44154</v>
      </c>
      <c r="M1461" s="116">
        <v>258.7</v>
      </c>
      <c r="N1461" s="116">
        <v>265.85000000000002</v>
      </c>
      <c r="O1461" s="116">
        <v>256.45</v>
      </c>
      <c r="P1461" s="116">
        <v>259.85000000000002</v>
      </c>
      <c r="Q1461" s="116">
        <v>258.7</v>
      </c>
      <c r="R1461">
        <v>7297426</v>
      </c>
    </row>
    <row r="1462" spans="1:18" x14ac:dyDescent="0.25">
      <c r="A1462" s="170">
        <v>44155</v>
      </c>
      <c r="B1462" s="116">
        <v>261.64999999999998</v>
      </c>
      <c r="C1462" s="116">
        <v>257.2</v>
      </c>
      <c r="D1462" s="116">
        <v>253.75</v>
      </c>
      <c r="E1462" s="116">
        <v>260</v>
      </c>
      <c r="F1462" s="116">
        <v>257.2</v>
      </c>
      <c r="G1462">
        <v>125997</v>
      </c>
      <c r="H1462" s="116"/>
      <c r="I1462" s="116"/>
      <c r="L1462" s="170">
        <v>44155</v>
      </c>
      <c r="M1462" s="116">
        <v>257.10000000000002</v>
      </c>
      <c r="N1462" s="116">
        <v>261.89999999999998</v>
      </c>
      <c r="O1462" s="116">
        <v>253.75</v>
      </c>
      <c r="P1462" s="116">
        <v>259.10000000000002</v>
      </c>
      <c r="Q1462" s="116">
        <v>257.10000000000002</v>
      </c>
      <c r="R1462">
        <v>4879945</v>
      </c>
    </row>
    <row r="1463" spans="1:18" x14ac:dyDescent="0.25">
      <c r="A1463" s="170">
        <v>44158</v>
      </c>
      <c r="B1463" s="116">
        <v>262.5</v>
      </c>
      <c r="C1463" s="116">
        <v>258.14999999999998</v>
      </c>
      <c r="D1463" s="116">
        <v>257.5</v>
      </c>
      <c r="E1463" s="116">
        <v>258.35000000000002</v>
      </c>
      <c r="F1463" s="116">
        <v>258.14999999999998</v>
      </c>
      <c r="G1463">
        <v>148708</v>
      </c>
      <c r="H1463" s="116"/>
      <c r="I1463" s="116"/>
      <c r="L1463" s="170">
        <v>44158</v>
      </c>
      <c r="M1463" s="116">
        <v>258.14999999999998</v>
      </c>
      <c r="N1463" s="116">
        <v>262.5</v>
      </c>
      <c r="O1463" s="116">
        <v>257.5</v>
      </c>
      <c r="P1463" s="116">
        <v>259</v>
      </c>
      <c r="Q1463" s="116">
        <v>258.14999999999998</v>
      </c>
      <c r="R1463">
        <v>6727698</v>
      </c>
    </row>
    <row r="1464" spans="1:18" x14ac:dyDescent="0.25">
      <c r="A1464" s="170">
        <v>44159</v>
      </c>
      <c r="B1464" s="116">
        <v>260.39999999999998</v>
      </c>
      <c r="C1464" s="116">
        <v>255.15</v>
      </c>
      <c r="D1464" s="116">
        <v>254.7</v>
      </c>
      <c r="E1464" s="116">
        <v>259</v>
      </c>
      <c r="F1464" s="116">
        <v>255.15</v>
      </c>
      <c r="G1464">
        <v>115315</v>
      </c>
      <c r="H1464" s="116"/>
      <c r="I1464" s="116"/>
      <c r="L1464" s="170">
        <v>44159</v>
      </c>
      <c r="M1464" s="116">
        <v>255.15</v>
      </c>
      <c r="N1464" s="116">
        <v>260.45</v>
      </c>
      <c r="O1464" s="116">
        <v>254.55</v>
      </c>
      <c r="P1464" s="116">
        <v>258.2</v>
      </c>
      <c r="Q1464" s="116">
        <v>255.15</v>
      </c>
      <c r="R1464">
        <v>4054652</v>
      </c>
    </row>
    <row r="1465" spans="1:18" x14ac:dyDescent="0.25">
      <c r="A1465" s="170">
        <v>44160</v>
      </c>
      <c r="B1465" s="116">
        <v>259.10000000000002</v>
      </c>
      <c r="C1465" s="116">
        <v>256.14999999999998</v>
      </c>
      <c r="D1465" s="116">
        <v>255.25</v>
      </c>
      <c r="E1465" s="116">
        <v>255.4</v>
      </c>
      <c r="F1465" s="116">
        <v>256.14999999999998</v>
      </c>
      <c r="G1465">
        <v>334053</v>
      </c>
      <c r="H1465" s="116"/>
      <c r="I1465" s="116"/>
      <c r="L1465" s="170">
        <v>44160</v>
      </c>
      <c r="M1465" s="116">
        <v>256.2</v>
      </c>
      <c r="N1465" s="116">
        <v>259.2</v>
      </c>
      <c r="O1465" s="116">
        <v>255.2</v>
      </c>
      <c r="P1465" s="116">
        <v>255.95</v>
      </c>
      <c r="Q1465" s="116">
        <v>256.2</v>
      </c>
      <c r="R1465">
        <v>6671995</v>
      </c>
    </row>
    <row r="1466" spans="1:18" x14ac:dyDescent="0.25">
      <c r="A1466" s="170">
        <v>44161</v>
      </c>
      <c r="B1466" s="116">
        <v>262.45</v>
      </c>
      <c r="C1466" s="116">
        <v>260.60000000000002</v>
      </c>
      <c r="D1466" s="116">
        <v>253.75</v>
      </c>
      <c r="E1466" s="116">
        <v>257</v>
      </c>
      <c r="F1466" s="116">
        <v>260.60000000000002</v>
      </c>
      <c r="G1466">
        <v>86384</v>
      </c>
      <c r="H1466" s="116"/>
      <c r="I1466" s="116"/>
      <c r="L1466" s="170">
        <v>44161</v>
      </c>
      <c r="M1466" s="116">
        <v>260.75</v>
      </c>
      <c r="N1466" s="116">
        <v>262.60000000000002</v>
      </c>
      <c r="O1466" s="116">
        <v>253.55</v>
      </c>
      <c r="P1466" s="116">
        <v>257.7</v>
      </c>
      <c r="Q1466" s="116">
        <v>260.75</v>
      </c>
      <c r="R1466">
        <v>5364946</v>
      </c>
    </row>
    <row r="1467" spans="1:18" x14ac:dyDescent="0.25">
      <c r="A1467" s="170">
        <v>44162</v>
      </c>
      <c r="B1467" s="116">
        <v>263.10000000000002</v>
      </c>
      <c r="C1467" s="116">
        <v>261</v>
      </c>
      <c r="D1467" s="116">
        <v>257.55</v>
      </c>
      <c r="E1467" s="116">
        <v>262.45</v>
      </c>
      <c r="F1467" s="116">
        <v>261</v>
      </c>
      <c r="G1467">
        <v>227866</v>
      </c>
      <c r="H1467" s="116"/>
      <c r="I1467" s="116"/>
      <c r="L1467" s="170">
        <v>44162</v>
      </c>
      <c r="M1467" s="116">
        <v>261.05</v>
      </c>
      <c r="N1467" s="116">
        <v>263.2</v>
      </c>
      <c r="O1467" s="116">
        <v>257.5</v>
      </c>
      <c r="P1467" s="116">
        <v>261.39999999999998</v>
      </c>
      <c r="Q1467" s="116">
        <v>261.05</v>
      </c>
      <c r="R1467">
        <v>10177429</v>
      </c>
    </row>
    <row r="1468" spans="1:18" x14ac:dyDescent="0.25">
      <c r="A1468" s="170">
        <v>44166</v>
      </c>
      <c r="B1468" s="116">
        <v>269.25</v>
      </c>
      <c r="C1468" s="116">
        <v>261.95</v>
      </c>
      <c r="D1468" s="116">
        <v>261.05</v>
      </c>
      <c r="E1468" s="116">
        <v>263.95</v>
      </c>
      <c r="F1468" s="116">
        <v>261.95</v>
      </c>
      <c r="G1468">
        <v>147913</v>
      </c>
      <c r="H1468" s="116"/>
      <c r="I1468" s="116"/>
      <c r="L1468" s="170">
        <v>44166</v>
      </c>
      <c r="M1468" s="116">
        <v>262</v>
      </c>
      <c r="N1468" s="116">
        <v>269.55</v>
      </c>
      <c r="O1468" s="116">
        <v>260.89999999999998</v>
      </c>
      <c r="P1468" s="116">
        <v>262.2</v>
      </c>
      <c r="Q1468" s="116">
        <v>262</v>
      </c>
      <c r="R1468">
        <v>6262243</v>
      </c>
    </row>
    <row r="1469" spans="1:18" x14ac:dyDescent="0.25">
      <c r="A1469" s="170">
        <v>44167</v>
      </c>
      <c r="B1469" s="116">
        <v>264.10000000000002</v>
      </c>
      <c r="C1469" s="116">
        <v>262.55</v>
      </c>
      <c r="D1469" s="116">
        <v>259.14999999999998</v>
      </c>
      <c r="E1469" s="116">
        <v>263.39999999999998</v>
      </c>
      <c r="F1469" s="116">
        <v>262.55</v>
      </c>
      <c r="G1469">
        <v>129115</v>
      </c>
      <c r="H1469" s="116"/>
      <c r="I1469" s="116"/>
      <c r="L1469" s="170">
        <v>44167</v>
      </c>
      <c r="M1469" s="116">
        <v>262.5</v>
      </c>
      <c r="N1469" s="116">
        <v>264.2</v>
      </c>
      <c r="O1469" s="116">
        <v>259.2</v>
      </c>
      <c r="P1469" s="116">
        <v>262</v>
      </c>
      <c r="Q1469" s="116">
        <v>262.5</v>
      </c>
      <c r="R1469">
        <v>5076458</v>
      </c>
    </row>
    <row r="1470" spans="1:18" x14ac:dyDescent="0.25">
      <c r="A1470" s="170">
        <v>44168</v>
      </c>
      <c r="B1470" s="116">
        <v>264.5</v>
      </c>
      <c r="C1470" s="116">
        <v>261.14999999999998</v>
      </c>
      <c r="D1470" s="116">
        <v>259.35000000000002</v>
      </c>
      <c r="E1470" s="116">
        <v>264.5</v>
      </c>
      <c r="F1470" s="116">
        <v>261.14999999999998</v>
      </c>
      <c r="G1470">
        <v>1095339</v>
      </c>
      <c r="H1470" s="116"/>
      <c r="I1470" s="116"/>
      <c r="L1470" s="170">
        <v>44168</v>
      </c>
      <c r="M1470" s="116">
        <v>261.10000000000002</v>
      </c>
      <c r="N1470" s="116">
        <v>264.5</v>
      </c>
      <c r="O1470" s="116">
        <v>259.3</v>
      </c>
      <c r="P1470" s="116">
        <v>264.5</v>
      </c>
      <c r="Q1470" s="116">
        <v>261.10000000000002</v>
      </c>
      <c r="R1470">
        <v>5223075</v>
      </c>
    </row>
    <row r="1471" spans="1:18" x14ac:dyDescent="0.25">
      <c r="A1471" s="170">
        <v>44169</v>
      </c>
      <c r="B1471" s="116">
        <v>262.95</v>
      </c>
      <c r="C1471" s="116">
        <v>252.65</v>
      </c>
      <c r="D1471" s="116">
        <v>250.05</v>
      </c>
      <c r="E1471" s="116">
        <v>262.39999999999998</v>
      </c>
      <c r="F1471" s="116">
        <v>252.65</v>
      </c>
      <c r="G1471">
        <v>466179</v>
      </c>
      <c r="H1471" s="116"/>
      <c r="I1471" s="116"/>
      <c r="L1471" s="170">
        <v>44169</v>
      </c>
      <c r="M1471" s="116">
        <v>252.55</v>
      </c>
      <c r="N1471" s="116">
        <v>263</v>
      </c>
      <c r="O1471" s="116">
        <v>249.9</v>
      </c>
      <c r="P1471" s="116">
        <v>262</v>
      </c>
      <c r="Q1471" s="116">
        <v>252.55</v>
      </c>
      <c r="R1471">
        <v>11266087</v>
      </c>
    </row>
    <row r="1472" spans="1:18" x14ac:dyDescent="0.25">
      <c r="A1472" s="170">
        <v>44172</v>
      </c>
      <c r="B1472" s="116">
        <v>256</v>
      </c>
      <c r="C1472" s="116">
        <v>253.25</v>
      </c>
      <c r="D1472" s="116">
        <v>250.75</v>
      </c>
      <c r="E1472" s="116">
        <v>255.15</v>
      </c>
      <c r="F1472" s="116">
        <v>253.25</v>
      </c>
      <c r="G1472">
        <v>410205</v>
      </c>
      <c r="H1472" s="116"/>
      <c r="I1472" s="116"/>
      <c r="L1472" s="170">
        <v>44172</v>
      </c>
      <c r="M1472" s="116">
        <v>253.1</v>
      </c>
      <c r="N1472" s="116">
        <v>256.3</v>
      </c>
      <c r="O1472" s="116">
        <v>250.55</v>
      </c>
      <c r="P1472" s="116">
        <v>256.25</v>
      </c>
      <c r="Q1472" s="116">
        <v>253.1</v>
      </c>
      <c r="R1472">
        <v>9578732</v>
      </c>
    </row>
    <row r="1473" spans="1:18" x14ac:dyDescent="0.25">
      <c r="A1473" s="170">
        <v>44173</v>
      </c>
      <c r="B1473" s="116">
        <v>259.5</v>
      </c>
      <c r="C1473" s="116">
        <v>256.95</v>
      </c>
      <c r="D1473" s="116">
        <v>253.25</v>
      </c>
      <c r="E1473" s="116">
        <v>253.55</v>
      </c>
      <c r="F1473" s="116">
        <v>256.95</v>
      </c>
      <c r="G1473">
        <v>567837</v>
      </c>
      <c r="H1473" s="116"/>
      <c r="I1473" s="116"/>
      <c r="L1473" s="170">
        <v>44173</v>
      </c>
      <c r="M1473" s="116">
        <v>257.10000000000002</v>
      </c>
      <c r="N1473" s="116">
        <v>259.60000000000002</v>
      </c>
      <c r="O1473" s="116">
        <v>253</v>
      </c>
      <c r="P1473" s="116">
        <v>254.5</v>
      </c>
      <c r="Q1473" s="116">
        <v>257.10000000000002</v>
      </c>
      <c r="R1473">
        <v>9736539</v>
      </c>
    </row>
    <row r="1474" spans="1:18" x14ac:dyDescent="0.25">
      <c r="A1474" s="170">
        <v>44174</v>
      </c>
      <c r="B1474" s="116">
        <v>259.25</v>
      </c>
      <c r="C1474" s="116">
        <v>252.9</v>
      </c>
      <c r="D1474" s="116">
        <v>251.05</v>
      </c>
      <c r="E1474" s="116">
        <v>259</v>
      </c>
      <c r="F1474" s="116">
        <v>252.9</v>
      </c>
      <c r="G1474">
        <v>293983</v>
      </c>
      <c r="H1474" s="116"/>
      <c r="I1474" s="116"/>
      <c r="L1474" s="170">
        <v>44174</v>
      </c>
      <c r="M1474" s="116">
        <v>252.85</v>
      </c>
      <c r="N1474" s="116">
        <v>259.60000000000002</v>
      </c>
      <c r="O1474" s="116">
        <v>251</v>
      </c>
      <c r="P1474" s="116">
        <v>258.89999999999998</v>
      </c>
      <c r="Q1474" s="116">
        <v>252.85</v>
      </c>
      <c r="R1474">
        <v>13190004</v>
      </c>
    </row>
    <row r="1475" spans="1:18" x14ac:dyDescent="0.25">
      <c r="A1475" s="170">
        <v>44175</v>
      </c>
      <c r="B1475" s="116">
        <v>251</v>
      </c>
      <c r="C1475" s="116">
        <v>248.35</v>
      </c>
      <c r="D1475" s="116">
        <v>245.4</v>
      </c>
      <c r="E1475" s="116">
        <v>250</v>
      </c>
      <c r="F1475" s="116">
        <v>248.35</v>
      </c>
      <c r="G1475">
        <v>587301</v>
      </c>
      <c r="H1475" s="116"/>
      <c r="I1475" s="116"/>
      <c r="L1475" s="170">
        <v>44175</v>
      </c>
      <c r="M1475" s="116">
        <v>248.3</v>
      </c>
      <c r="N1475" s="116">
        <v>251</v>
      </c>
      <c r="O1475" s="116">
        <v>245.2</v>
      </c>
      <c r="P1475" s="116">
        <v>250.7</v>
      </c>
      <c r="Q1475" s="116">
        <v>248.3</v>
      </c>
      <c r="R1475">
        <v>11038230</v>
      </c>
    </row>
    <row r="1476" spans="1:18" x14ac:dyDescent="0.25">
      <c r="A1476" s="170">
        <v>44176</v>
      </c>
      <c r="B1476" s="116">
        <v>250.3</v>
      </c>
      <c r="C1476" s="116">
        <v>246.1</v>
      </c>
      <c r="D1476" s="116">
        <v>243.75</v>
      </c>
      <c r="E1476" s="116">
        <v>250</v>
      </c>
      <c r="F1476" s="116">
        <v>246.1</v>
      </c>
      <c r="G1476">
        <v>610794</v>
      </c>
      <c r="H1476" s="116"/>
      <c r="I1476" s="116"/>
      <c r="L1476" s="170">
        <v>44176</v>
      </c>
      <c r="M1476" s="116">
        <v>245.8</v>
      </c>
      <c r="N1476" s="116">
        <v>250.45</v>
      </c>
      <c r="O1476" s="116">
        <v>243.75</v>
      </c>
      <c r="P1476" s="116">
        <v>249.5</v>
      </c>
      <c r="Q1476" s="116">
        <v>245.8</v>
      </c>
      <c r="R1476">
        <v>7933577</v>
      </c>
    </row>
    <row r="1477" spans="1:18" x14ac:dyDescent="0.25">
      <c r="A1477" s="170">
        <v>44179</v>
      </c>
      <c r="B1477" s="116">
        <v>248.85</v>
      </c>
      <c r="C1477" s="116">
        <v>246.3</v>
      </c>
      <c r="D1477" s="116">
        <v>245</v>
      </c>
      <c r="E1477" s="116">
        <v>247</v>
      </c>
      <c r="F1477" s="116">
        <v>246.3</v>
      </c>
      <c r="G1477">
        <v>233886</v>
      </c>
      <c r="H1477" s="116"/>
      <c r="I1477" s="116"/>
      <c r="L1477" s="170">
        <v>44179</v>
      </c>
      <c r="M1477" s="116">
        <v>246.45</v>
      </c>
      <c r="N1477" s="116">
        <v>249</v>
      </c>
      <c r="O1477" s="116">
        <v>245.05</v>
      </c>
      <c r="P1477" s="116">
        <v>247</v>
      </c>
      <c r="Q1477" s="116">
        <v>246.45</v>
      </c>
      <c r="R1477">
        <v>4162472</v>
      </c>
    </row>
    <row r="1478" spans="1:18" x14ac:dyDescent="0.25">
      <c r="A1478" s="170">
        <v>44180</v>
      </c>
      <c r="B1478" s="116">
        <v>248.05</v>
      </c>
      <c r="C1478" s="116">
        <v>247.55</v>
      </c>
      <c r="D1478" s="116">
        <v>243.1</v>
      </c>
      <c r="E1478" s="116">
        <v>246.55</v>
      </c>
      <c r="F1478" s="116">
        <v>247.55</v>
      </c>
      <c r="G1478">
        <v>210719</v>
      </c>
      <c r="H1478" s="116"/>
      <c r="I1478" s="116"/>
      <c r="L1478" s="170">
        <v>44180</v>
      </c>
      <c r="M1478" s="116">
        <v>247.6</v>
      </c>
      <c r="N1478" s="116">
        <v>248.2</v>
      </c>
      <c r="O1478" s="116">
        <v>243.1</v>
      </c>
      <c r="P1478" s="116">
        <v>247.95</v>
      </c>
      <c r="Q1478" s="116">
        <v>247.6</v>
      </c>
      <c r="R1478">
        <v>7713444</v>
      </c>
    </row>
    <row r="1479" spans="1:18" x14ac:dyDescent="0.25">
      <c r="A1479" s="170">
        <v>44181</v>
      </c>
      <c r="B1479" s="116">
        <v>249.75</v>
      </c>
      <c r="C1479" s="116">
        <v>247.25</v>
      </c>
      <c r="D1479" s="116">
        <v>245.1</v>
      </c>
      <c r="E1479" s="116">
        <v>249.75</v>
      </c>
      <c r="F1479" s="116">
        <v>247.25</v>
      </c>
      <c r="G1479">
        <v>478356</v>
      </c>
      <c r="H1479" s="116"/>
      <c r="I1479" s="116"/>
      <c r="L1479" s="170">
        <v>44181</v>
      </c>
      <c r="M1479" s="116">
        <v>247.25</v>
      </c>
      <c r="N1479" s="116">
        <v>249.7</v>
      </c>
      <c r="O1479" s="116">
        <v>245.1</v>
      </c>
      <c r="P1479" s="116">
        <v>249.1</v>
      </c>
      <c r="Q1479" s="116">
        <v>247.25</v>
      </c>
      <c r="R1479">
        <v>7488289</v>
      </c>
    </row>
    <row r="1480" spans="1:18" x14ac:dyDescent="0.25">
      <c r="A1480" s="170">
        <v>44182</v>
      </c>
      <c r="B1480" s="116">
        <v>251.45</v>
      </c>
      <c r="C1480" s="116">
        <v>246.75</v>
      </c>
      <c r="D1480" s="116">
        <v>246.25</v>
      </c>
      <c r="E1480" s="116">
        <v>247.5</v>
      </c>
      <c r="F1480" s="116">
        <v>246.75</v>
      </c>
      <c r="G1480">
        <v>396986</v>
      </c>
      <c r="H1480" s="116"/>
      <c r="I1480" s="116"/>
      <c r="L1480" s="170">
        <v>44182</v>
      </c>
      <c r="M1480" s="116">
        <v>246.75</v>
      </c>
      <c r="N1480" s="116">
        <v>251.5</v>
      </c>
      <c r="O1480" s="116">
        <v>246.2</v>
      </c>
      <c r="P1480" s="116">
        <v>248.5</v>
      </c>
      <c r="Q1480" s="116">
        <v>246.75</v>
      </c>
      <c r="R1480">
        <v>8321438</v>
      </c>
    </row>
    <row r="1481" spans="1:18" x14ac:dyDescent="0.25">
      <c r="A1481" s="170">
        <v>44183</v>
      </c>
      <c r="B1481" s="116">
        <v>252.15</v>
      </c>
      <c r="C1481" s="116">
        <v>251</v>
      </c>
      <c r="D1481" s="116">
        <v>246.3</v>
      </c>
      <c r="E1481" s="116">
        <v>246.7</v>
      </c>
      <c r="F1481" s="116">
        <v>251</v>
      </c>
      <c r="G1481">
        <v>467882</v>
      </c>
      <c r="H1481" s="116"/>
      <c r="I1481" s="116"/>
      <c r="L1481" s="170">
        <v>44183</v>
      </c>
      <c r="M1481" s="116">
        <v>251.05</v>
      </c>
      <c r="N1481" s="116">
        <v>252.2</v>
      </c>
      <c r="O1481" s="116">
        <v>246.5</v>
      </c>
      <c r="P1481" s="116">
        <v>247.05</v>
      </c>
      <c r="Q1481" s="116">
        <v>251.05</v>
      </c>
      <c r="R1481">
        <v>7695230</v>
      </c>
    </row>
    <row r="1482" spans="1:18" x14ac:dyDescent="0.25">
      <c r="A1482" s="170">
        <v>44186</v>
      </c>
      <c r="B1482" s="116">
        <v>252.45</v>
      </c>
      <c r="C1482" s="116">
        <v>235.25</v>
      </c>
      <c r="D1482" s="116">
        <v>225.9</v>
      </c>
      <c r="E1482" s="116">
        <v>252.45</v>
      </c>
      <c r="F1482" s="116">
        <v>235.25</v>
      </c>
      <c r="G1482">
        <v>484415</v>
      </c>
      <c r="H1482" s="116"/>
      <c r="I1482" s="116"/>
      <c r="L1482" s="170">
        <v>44186</v>
      </c>
      <c r="M1482" s="116">
        <v>235.4</v>
      </c>
      <c r="N1482" s="116">
        <v>250.9</v>
      </c>
      <c r="O1482" s="116">
        <v>225.95</v>
      </c>
      <c r="P1482" s="116">
        <v>250.9</v>
      </c>
      <c r="Q1482" s="116">
        <v>235.4</v>
      </c>
      <c r="R1482">
        <v>12498745</v>
      </c>
    </row>
    <row r="1483" spans="1:18" x14ac:dyDescent="0.25">
      <c r="A1483" s="170">
        <v>44187</v>
      </c>
      <c r="B1483" s="116">
        <v>239.1</v>
      </c>
      <c r="C1483" s="116">
        <v>237.8</v>
      </c>
      <c r="D1483" s="116">
        <v>227.5</v>
      </c>
      <c r="E1483" s="116">
        <v>235.25</v>
      </c>
      <c r="F1483" s="116">
        <v>237.8</v>
      </c>
      <c r="G1483">
        <v>318388</v>
      </c>
      <c r="H1483" s="116"/>
      <c r="I1483" s="116"/>
      <c r="L1483" s="170">
        <v>44187</v>
      </c>
      <c r="M1483" s="116">
        <v>237.6</v>
      </c>
      <c r="N1483" s="116">
        <v>239.15</v>
      </c>
      <c r="O1483" s="116">
        <v>227.25</v>
      </c>
      <c r="P1483" s="116">
        <v>235.6</v>
      </c>
      <c r="Q1483" s="116">
        <v>237.6</v>
      </c>
      <c r="R1483">
        <v>10098570</v>
      </c>
    </row>
    <row r="1484" spans="1:18" x14ac:dyDescent="0.25">
      <c r="A1484" s="170">
        <v>44188</v>
      </c>
      <c r="B1484" s="116">
        <v>238.65</v>
      </c>
      <c r="C1484" s="116">
        <v>237.35</v>
      </c>
      <c r="D1484" s="116">
        <v>231.65</v>
      </c>
      <c r="E1484" s="116">
        <v>235.45</v>
      </c>
      <c r="F1484" s="116">
        <v>237.35</v>
      </c>
      <c r="G1484">
        <v>678984</v>
      </c>
      <c r="H1484" s="116"/>
      <c r="I1484" s="116"/>
      <c r="L1484" s="170">
        <v>44188</v>
      </c>
      <c r="M1484" s="116">
        <v>237.2</v>
      </c>
      <c r="N1484" s="116">
        <v>238.75</v>
      </c>
      <c r="O1484" s="116">
        <v>231.5</v>
      </c>
      <c r="P1484" s="116">
        <v>234.9</v>
      </c>
      <c r="Q1484" s="116">
        <v>237.2</v>
      </c>
      <c r="R1484">
        <v>8750579</v>
      </c>
    </row>
    <row r="1485" spans="1:18" x14ac:dyDescent="0.25">
      <c r="A1485" s="170">
        <v>44189</v>
      </c>
      <c r="B1485" s="116">
        <v>261</v>
      </c>
      <c r="C1485" s="116">
        <v>246.6</v>
      </c>
      <c r="D1485" s="116">
        <v>245</v>
      </c>
      <c r="E1485" s="116">
        <v>254</v>
      </c>
      <c r="F1485" s="116">
        <v>246.6</v>
      </c>
      <c r="G1485">
        <v>1364007</v>
      </c>
      <c r="H1485" s="116"/>
      <c r="I1485" s="116"/>
      <c r="L1485" s="170">
        <v>44189</v>
      </c>
      <c r="M1485" s="116">
        <v>246.7</v>
      </c>
      <c r="N1485" s="116">
        <v>260.89999999999998</v>
      </c>
      <c r="O1485" s="116">
        <v>245</v>
      </c>
      <c r="P1485" s="116">
        <v>255</v>
      </c>
      <c r="Q1485" s="116">
        <v>246.7</v>
      </c>
      <c r="R1485">
        <v>24151514</v>
      </c>
    </row>
    <row r="1486" spans="1:18" x14ac:dyDescent="0.25">
      <c r="A1486" s="170">
        <v>44193</v>
      </c>
      <c r="B1486" s="116">
        <v>247.95</v>
      </c>
      <c r="C1486" s="116">
        <v>247.15</v>
      </c>
      <c r="D1486" s="116">
        <v>244.75</v>
      </c>
      <c r="E1486" s="116">
        <v>246.65</v>
      </c>
      <c r="F1486" s="116">
        <v>247.15</v>
      </c>
      <c r="G1486">
        <v>155701</v>
      </c>
      <c r="H1486" s="116"/>
      <c r="I1486" s="116"/>
      <c r="L1486" s="170">
        <v>44193</v>
      </c>
      <c r="M1486" s="116">
        <v>247.2</v>
      </c>
      <c r="N1486" s="116">
        <v>247.85</v>
      </c>
      <c r="O1486" s="116">
        <v>244.7</v>
      </c>
      <c r="P1486" s="116">
        <v>247</v>
      </c>
      <c r="Q1486" s="116">
        <v>247.2</v>
      </c>
      <c r="R1486">
        <v>4547753</v>
      </c>
    </row>
    <row r="1487" spans="1:18" x14ac:dyDescent="0.25">
      <c r="A1487" s="170">
        <v>44194</v>
      </c>
      <c r="B1487" s="116">
        <v>248.4</v>
      </c>
      <c r="C1487" s="116">
        <v>244.3</v>
      </c>
      <c r="D1487" s="116">
        <v>242.6</v>
      </c>
      <c r="E1487" s="116">
        <v>247.6</v>
      </c>
      <c r="F1487" s="116">
        <v>244.3</v>
      </c>
      <c r="G1487">
        <v>117602</v>
      </c>
      <c r="H1487" s="116"/>
      <c r="I1487" s="116"/>
      <c r="L1487" s="170">
        <v>44194</v>
      </c>
      <c r="M1487" s="116">
        <v>244.4</v>
      </c>
      <c r="N1487" s="116">
        <v>248.25</v>
      </c>
      <c r="O1487" s="116">
        <v>242.5</v>
      </c>
      <c r="P1487" s="116">
        <v>247.55</v>
      </c>
      <c r="Q1487" s="116">
        <v>244.4</v>
      </c>
      <c r="R1487">
        <v>5978220</v>
      </c>
    </row>
    <row r="1488" spans="1:18" x14ac:dyDescent="0.25">
      <c r="A1488" s="170">
        <v>44195</v>
      </c>
      <c r="B1488" s="116">
        <v>253.1</v>
      </c>
      <c r="C1488" s="116">
        <v>252.35</v>
      </c>
      <c r="D1488" s="116">
        <v>241.8</v>
      </c>
      <c r="E1488" s="116">
        <v>245.2</v>
      </c>
      <c r="F1488" s="116">
        <v>252.35</v>
      </c>
      <c r="G1488">
        <v>319155</v>
      </c>
      <c r="H1488" s="116"/>
      <c r="I1488" s="116"/>
      <c r="L1488" s="170">
        <v>44195</v>
      </c>
      <c r="M1488" s="116">
        <v>252.4</v>
      </c>
      <c r="N1488" s="116">
        <v>253</v>
      </c>
      <c r="O1488" s="116">
        <v>241.7</v>
      </c>
      <c r="P1488" s="116">
        <v>245.5</v>
      </c>
      <c r="Q1488" s="116">
        <v>252.4</v>
      </c>
      <c r="R1488">
        <v>10481131</v>
      </c>
    </row>
    <row r="1489" spans="1:18" x14ac:dyDescent="0.25">
      <c r="A1489" s="170">
        <v>44196</v>
      </c>
      <c r="B1489" s="116">
        <v>252.9</v>
      </c>
      <c r="C1489" s="116">
        <v>248.85</v>
      </c>
      <c r="D1489" s="116">
        <v>246.8</v>
      </c>
      <c r="E1489" s="116">
        <v>252.9</v>
      </c>
      <c r="F1489" s="116">
        <v>248.85</v>
      </c>
      <c r="G1489">
        <v>184399</v>
      </c>
      <c r="H1489" s="116"/>
      <c r="I1489" s="116"/>
      <c r="L1489" s="170">
        <v>44196</v>
      </c>
      <c r="M1489" s="116">
        <v>248.85</v>
      </c>
      <c r="N1489" s="116">
        <v>252.7</v>
      </c>
      <c r="O1489" s="116">
        <v>246.9</v>
      </c>
      <c r="P1489" s="116">
        <v>252</v>
      </c>
      <c r="Q1489" s="116">
        <v>248.85</v>
      </c>
      <c r="R1489">
        <v>7969910</v>
      </c>
    </row>
    <row r="1490" spans="1:18" x14ac:dyDescent="0.25">
      <c r="A1490" s="170">
        <v>44197</v>
      </c>
      <c r="B1490" s="116">
        <v>252</v>
      </c>
      <c r="C1490" s="116">
        <v>250.75</v>
      </c>
      <c r="D1490" s="116">
        <v>248.15</v>
      </c>
      <c r="E1490" s="116">
        <v>249.8</v>
      </c>
      <c r="F1490" s="116">
        <v>250.75</v>
      </c>
      <c r="G1490">
        <v>438262</v>
      </c>
      <c r="H1490" s="116"/>
      <c r="I1490" s="116"/>
      <c r="L1490" s="170">
        <v>44197</v>
      </c>
      <c r="M1490" s="116">
        <v>250.85</v>
      </c>
      <c r="N1490" s="116">
        <v>251.7</v>
      </c>
      <c r="O1490" s="116">
        <v>248.15</v>
      </c>
      <c r="P1490" s="116">
        <v>249</v>
      </c>
      <c r="Q1490" s="116">
        <v>250.85</v>
      </c>
      <c r="R1490">
        <v>4011077</v>
      </c>
    </row>
    <row r="1491" spans="1:18" x14ac:dyDescent="0.25">
      <c r="A1491" s="170">
        <v>44200</v>
      </c>
      <c r="B1491" s="116">
        <v>253.8</v>
      </c>
      <c r="C1491" s="116">
        <v>252.75</v>
      </c>
      <c r="D1491" s="116">
        <v>250.1</v>
      </c>
      <c r="E1491" s="116">
        <v>252</v>
      </c>
      <c r="F1491" s="116">
        <v>252.75</v>
      </c>
      <c r="G1491">
        <v>191793</v>
      </c>
      <c r="H1491" s="116"/>
      <c r="I1491" s="116"/>
      <c r="L1491" s="170">
        <v>44200</v>
      </c>
      <c r="M1491" s="116">
        <v>252.9</v>
      </c>
      <c r="N1491" s="116">
        <v>253.8</v>
      </c>
      <c r="O1491" s="116">
        <v>250</v>
      </c>
      <c r="P1491" s="116">
        <v>252.9</v>
      </c>
      <c r="Q1491" s="116">
        <v>252.9</v>
      </c>
      <c r="R1491">
        <v>4860584</v>
      </c>
    </row>
    <row r="1492" spans="1:18" x14ac:dyDescent="0.25">
      <c r="A1492" s="170">
        <v>44201</v>
      </c>
      <c r="B1492" s="116">
        <v>256.64999999999998</v>
      </c>
      <c r="C1492" s="116">
        <v>254.15</v>
      </c>
      <c r="D1492" s="116">
        <v>250.6</v>
      </c>
      <c r="E1492" s="116">
        <v>252.7</v>
      </c>
      <c r="F1492" s="116">
        <v>254.15</v>
      </c>
      <c r="G1492">
        <v>810893</v>
      </c>
      <c r="H1492" s="116"/>
      <c r="I1492" s="116"/>
      <c r="L1492" s="170">
        <v>44201</v>
      </c>
      <c r="M1492" s="116">
        <v>254.2</v>
      </c>
      <c r="N1492" s="116">
        <v>256.64999999999998</v>
      </c>
      <c r="O1492" s="116">
        <v>250.45</v>
      </c>
      <c r="P1492" s="116">
        <v>252</v>
      </c>
      <c r="Q1492" s="116">
        <v>254.2</v>
      </c>
      <c r="R1492">
        <v>9383253</v>
      </c>
    </row>
    <row r="1493" spans="1:18" x14ac:dyDescent="0.25">
      <c r="A1493" s="170">
        <v>44202</v>
      </c>
      <c r="B1493" s="116">
        <v>262</v>
      </c>
      <c r="C1493" s="116">
        <v>261.10000000000002</v>
      </c>
      <c r="D1493" s="116">
        <v>253.5</v>
      </c>
      <c r="E1493" s="116">
        <v>255.5</v>
      </c>
      <c r="F1493" s="116">
        <v>261.10000000000002</v>
      </c>
      <c r="G1493">
        <v>374283</v>
      </c>
      <c r="H1493" s="116"/>
      <c r="I1493" s="116"/>
      <c r="L1493" s="170">
        <v>44202</v>
      </c>
      <c r="M1493" s="116">
        <v>261.10000000000002</v>
      </c>
      <c r="N1493" s="116">
        <v>262</v>
      </c>
      <c r="O1493" s="116">
        <v>253.25</v>
      </c>
      <c r="P1493" s="116">
        <v>255.4</v>
      </c>
      <c r="Q1493" s="116">
        <v>261.10000000000002</v>
      </c>
      <c r="R1493">
        <v>8653520</v>
      </c>
    </row>
    <row r="1494" spans="1:18" x14ac:dyDescent="0.25">
      <c r="A1494" s="170">
        <v>44203</v>
      </c>
      <c r="B1494" s="116">
        <v>267.05</v>
      </c>
      <c r="C1494" s="116">
        <v>262.8</v>
      </c>
      <c r="D1494" s="116">
        <v>261.2</v>
      </c>
      <c r="E1494" s="116">
        <v>265.25</v>
      </c>
      <c r="F1494" s="116">
        <v>262.8</v>
      </c>
      <c r="G1494">
        <v>685237</v>
      </c>
      <c r="H1494" s="116"/>
      <c r="I1494" s="116"/>
      <c r="L1494" s="170">
        <v>44203</v>
      </c>
      <c r="M1494" s="116">
        <v>263</v>
      </c>
      <c r="N1494" s="116">
        <v>267.10000000000002</v>
      </c>
      <c r="O1494" s="116">
        <v>261.2</v>
      </c>
      <c r="P1494" s="116">
        <v>265</v>
      </c>
      <c r="Q1494" s="116">
        <v>263</v>
      </c>
      <c r="R1494">
        <v>7685276</v>
      </c>
    </row>
    <row r="1495" spans="1:18" x14ac:dyDescent="0.25">
      <c r="A1495" s="170">
        <v>44204</v>
      </c>
      <c r="B1495" s="116">
        <v>271.25</v>
      </c>
      <c r="C1495" s="116">
        <v>269.85000000000002</v>
      </c>
      <c r="D1495" s="116">
        <v>264</v>
      </c>
      <c r="E1495" s="116">
        <v>264</v>
      </c>
      <c r="F1495" s="116">
        <v>269.85000000000002</v>
      </c>
      <c r="G1495">
        <v>375123</v>
      </c>
      <c r="H1495" s="116"/>
      <c r="I1495" s="116"/>
      <c r="L1495" s="170">
        <v>44204</v>
      </c>
      <c r="M1495" s="116">
        <v>269.95</v>
      </c>
      <c r="N1495" s="116">
        <v>271.39999999999998</v>
      </c>
      <c r="O1495" s="116">
        <v>264.3</v>
      </c>
      <c r="P1495" s="116">
        <v>265</v>
      </c>
      <c r="Q1495" s="116">
        <v>269.95</v>
      </c>
      <c r="R1495">
        <v>8135272</v>
      </c>
    </row>
    <row r="1496" spans="1:18" x14ac:dyDescent="0.25">
      <c r="A1496" s="170">
        <v>44207</v>
      </c>
      <c r="B1496" s="116">
        <v>271.8</v>
      </c>
      <c r="C1496" s="116">
        <v>270.14999999999998</v>
      </c>
      <c r="D1496" s="116">
        <v>266</v>
      </c>
      <c r="E1496" s="116">
        <v>269</v>
      </c>
      <c r="F1496" s="116">
        <v>270.14999999999998</v>
      </c>
      <c r="G1496">
        <v>258824</v>
      </c>
      <c r="H1496" s="116"/>
      <c r="I1496" s="116"/>
      <c r="L1496" s="170">
        <v>44207</v>
      </c>
      <c r="M1496" s="116">
        <v>270.35000000000002</v>
      </c>
      <c r="N1496" s="116">
        <v>271.8</v>
      </c>
      <c r="O1496" s="116">
        <v>266</v>
      </c>
      <c r="P1496" s="116">
        <v>268.8</v>
      </c>
      <c r="Q1496" s="116">
        <v>270.35000000000002</v>
      </c>
      <c r="R1496">
        <v>6276642</v>
      </c>
    </row>
    <row r="1497" spans="1:18" x14ac:dyDescent="0.25">
      <c r="A1497" s="170">
        <v>44208</v>
      </c>
      <c r="B1497" s="116">
        <v>274.39999999999998</v>
      </c>
      <c r="C1497" s="116">
        <v>268</v>
      </c>
      <c r="D1497" s="116">
        <v>267</v>
      </c>
      <c r="E1497" s="116">
        <v>270</v>
      </c>
      <c r="F1497" s="116">
        <v>268</v>
      </c>
      <c r="G1497">
        <v>252482</v>
      </c>
      <c r="H1497" s="116"/>
      <c r="I1497" s="116"/>
      <c r="L1497" s="170">
        <v>44208</v>
      </c>
      <c r="M1497" s="116">
        <v>268.10000000000002</v>
      </c>
      <c r="N1497" s="116">
        <v>274.60000000000002</v>
      </c>
      <c r="O1497" s="116">
        <v>266.7</v>
      </c>
      <c r="P1497" s="116">
        <v>270</v>
      </c>
      <c r="Q1497" s="116">
        <v>268.10000000000002</v>
      </c>
      <c r="R1497">
        <v>5997355</v>
      </c>
    </row>
    <row r="1498" spans="1:18" x14ac:dyDescent="0.25">
      <c r="A1498" s="170">
        <v>44209</v>
      </c>
      <c r="B1498" s="116">
        <v>269.45</v>
      </c>
      <c r="C1498" s="116">
        <v>264.95</v>
      </c>
      <c r="D1498" s="116">
        <v>261.35000000000002</v>
      </c>
      <c r="E1498" s="116">
        <v>268</v>
      </c>
      <c r="F1498" s="116">
        <v>264.95</v>
      </c>
      <c r="G1498">
        <v>337139</v>
      </c>
      <c r="H1498" s="116"/>
      <c r="I1498" s="116"/>
      <c r="L1498" s="170">
        <v>44209</v>
      </c>
      <c r="M1498" s="116">
        <v>264.89999999999998</v>
      </c>
      <c r="N1498" s="116">
        <v>269.39999999999998</v>
      </c>
      <c r="O1498" s="116">
        <v>261.10000000000002</v>
      </c>
      <c r="P1498" s="116">
        <v>268.10000000000002</v>
      </c>
      <c r="Q1498" s="116">
        <v>264.89999999999998</v>
      </c>
      <c r="R1498">
        <v>5267492</v>
      </c>
    </row>
    <row r="1499" spans="1:18" x14ac:dyDescent="0.25">
      <c r="A1499" s="170">
        <v>44210</v>
      </c>
      <c r="B1499" s="116">
        <v>270.3</v>
      </c>
      <c r="C1499" s="116">
        <v>266.85000000000002</v>
      </c>
      <c r="D1499" s="116">
        <v>263.3</v>
      </c>
      <c r="E1499" s="116">
        <v>265.5</v>
      </c>
      <c r="F1499" s="116">
        <v>266.85000000000002</v>
      </c>
      <c r="G1499">
        <v>260508</v>
      </c>
      <c r="H1499" s="116"/>
      <c r="I1499" s="116"/>
      <c r="L1499" s="170">
        <v>44210</v>
      </c>
      <c r="M1499" s="116">
        <v>267.05</v>
      </c>
      <c r="N1499" s="116">
        <v>270.5</v>
      </c>
      <c r="O1499" s="116">
        <v>263.14999999999998</v>
      </c>
      <c r="P1499" s="116">
        <v>265</v>
      </c>
      <c r="Q1499" s="116">
        <v>267.05</v>
      </c>
      <c r="R1499">
        <v>4747011</v>
      </c>
    </row>
    <row r="1500" spans="1:18" x14ac:dyDescent="0.25">
      <c r="A1500" s="170">
        <v>44211</v>
      </c>
      <c r="B1500" s="116">
        <v>268</v>
      </c>
      <c r="C1500" s="116">
        <v>264</v>
      </c>
      <c r="D1500" s="116">
        <v>259.60000000000002</v>
      </c>
      <c r="E1500" s="116">
        <v>268</v>
      </c>
      <c r="F1500" s="116">
        <v>264</v>
      </c>
      <c r="G1500">
        <v>227981</v>
      </c>
      <c r="H1500" s="116"/>
      <c r="I1500" s="116"/>
      <c r="L1500" s="170">
        <v>44211</v>
      </c>
      <c r="M1500" s="116">
        <v>264.10000000000002</v>
      </c>
      <c r="N1500" s="116">
        <v>267</v>
      </c>
      <c r="O1500" s="116">
        <v>259.60000000000002</v>
      </c>
      <c r="P1500" s="116">
        <v>266.39999999999998</v>
      </c>
      <c r="Q1500" s="116">
        <v>264.10000000000002</v>
      </c>
      <c r="R1500">
        <v>5926799</v>
      </c>
    </row>
    <row r="1501" spans="1:18" x14ac:dyDescent="0.25">
      <c r="A1501" s="170">
        <v>44214</v>
      </c>
      <c r="B1501" s="116">
        <v>264</v>
      </c>
      <c r="C1501" s="116">
        <v>255.95</v>
      </c>
      <c r="D1501" s="116">
        <v>248.05</v>
      </c>
      <c r="E1501" s="116">
        <v>264</v>
      </c>
      <c r="F1501" s="116">
        <v>255.95</v>
      </c>
      <c r="G1501">
        <v>146419</v>
      </c>
      <c r="H1501" s="116"/>
      <c r="I1501" s="116"/>
      <c r="L1501" s="170">
        <v>44214</v>
      </c>
      <c r="M1501" s="116">
        <v>256.05</v>
      </c>
      <c r="N1501" s="116">
        <v>264.55</v>
      </c>
      <c r="O1501" s="116">
        <v>248</v>
      </c>
      <c r="P1501" s="116">
        <v>264.10000000000002</v>
      </c>
      <c r="Q1501" s="116">
        <v>256.05</v>
      </c>
      <c r="R1501">
        <v>7230336</v>
      </c>
    </row>
    <row r="1502" spans="1:18" x14ac:dyDescent="0.25">
      <c r="A1502" s="170">
        <v>44215</v>
      </c>
      <c r="B1502" s="116">
        <v>262.45</v>
      </c>
      <c r="C1502" s="116">
        <v>261.8</v>
      </c>
      <c r="D1502" s="116">
        <v>255.25</v>
      </c>
      <c r="E1502" s="116">
        <v>255.25</v>
      </c>
      <c r="F1502" s="116">
        <v>261.8</v>
      </c>
      <c r="G1502">
        <v>118871</v>
      </c>
      <c r="H1502" s="116"/>
      <c r="I1502" s="116"/>
      <c r="L1502" s="170">
        <v>44215</v>
      </c>
      <c r="M1502" s="116">
        <v>261.95</v>
      </c>
      <c r="N1502" s="116">
        <v>262.8</v>
      </c>
      <c r="O1502" s="116">
        <v>256.3</v>
      </c>
      <c r="P1502" s="116">
        <v>256.95</v>
      </c>
      <c r="Q1502" s="116">
        <v>261.95</v>
      </c>
      <c r="R1502">
        <v>3685114</v>
      </c>
    </row>
    <row r="1503" spans="1:18" x14ac:dyDescent="0.25">
      <c r="A1503" s="170">
        <v>44216</v>
      </c>
      <c r="B1503" s="116">
        <v>263.64999999999998</v>
      </c>
      <c r="C1503" s="116">
        <v>261.75</v>
      </c>
      <c r="D1503" s="116">
        <v>257.8</v>
      </c>
      <c r="E1503" s="116">
        <v>260</v>
      </c>
      <c r="F1503" s="116">
        <v>261.75</v>
      </c>
      <c r="G1503">
        <v>456115</v>
      </c>
      <c r="H1503" s="116"/>
      <c r="I1503" s="116"/>
      <c r="L1503" s="170">
        <v>44216</v>
      </c>
      <c r="M1503" s="116">
        <v>262.10000000000002</v>
      </c>
      <c r="N1503" s="116">
        <v>263.85000000000002</v>
      </c>
      <c r="O1503" s="116">
        <v>257.64999999999998</v>
      </c>
      <c r="P1503" s="116">
        <v>261</v>
      </c>
      <c r="Q1503" s="116">
        <v>262.10000000000002</v>
      </c>
      <c r="R1503">
        <v>4999049</v>
      </c>
    </row>
    <row r="1504" spans="1:18" x14ac:dyDescent="0.25">
      <c r="A1504" s="170">
        <v>44217</v>
      </c>
      <c r="B1504" s="116">
        <v>265.3</v>
      </c>
      <c r="C1504" s="116">
        <v>252.25</v>
      </c>
      <c r="D1504" s="116">
        <v>249.4</v>
      </c>
      <c r="E1504" s="116">
        <v>264</v>
      </c>
      <c r="F1504" s="116">
        <v>252.25</v>
      </c>
      <c r="G1504">
        <v>1722732</v>
      </c>
      <c r="H1504" s="116"/>
      <c r="I1504" s="116"/>
      <c r="L1504" s="170">
        <v>44217</v>
      </c>
      <c r="M1504" s="116">
        <v>252.55</v>
      </c>
      <c r="N1504" s="116">
        <v>265.35000000000002</v>
      </c>
      <c r="O1504" s="116">
        <v>249.1</v>
      </c>
      <c r="P1504" s="116">
        <v>263.5</v>
      </c>
      <c r="Q1504" s="116">
        <v>252.55</v>
      </c>
      <c r="R1504">
        <v>8233030</v>
      </c>
    </row>
    <row r="1505" spans="1:18" x14ac:dyDescent="0.25">
      <c r="A1505" s="170">
        <v>44218</v>
      </c>
      <c r="B1505" s="116">
        <v>259.85000000000002</v>
      </c>
      <c r="C1505" s="116">
        <v>257.64999999999998</v>
      </c>
      <c r="D1505" s="116">
        <v>250.95</v>
      </c>
      <c r="E1505" s="116">
        <v>254.6</v>
      </c>
      <c r="F1505" s="116">
        <v>257.64999999999998</v>
      </c>
      <c r="G1505">
        <v>349890</v>
      </c>
      <c r="H1505" s="116"/>
      <c r="I1505" s="116"/>
      <c r="L1505" s="170">
        <v>44218</v>
      </c>
      <c r="M1505" s="116">
        <v>257.7</v>
      </c>
      <c r="N1505" s="116">
        <v>259.89999999999998</v>
      </c>
      <c r="O1505" s="116">
        <v>250.9</v>
      </c>
      <c r="P1505" s="116">
        <v>255</v>
      </c>
      <c r="Q1505" s="116">
        <v>257.7</v>
      </c>
      <c r="R1505">
        <v>6396348</v>
      </c>
    </row>
    <row r="1506" spans="1:18" x14ac:dyDescent="0.25">
      <c r="A1506" s="170">
        <v>44221</v>
      </c>
      <c r="B1506" s="116">
        <v>264.39999999999998</v>
      </c>
      <c r="C1506" s="116">
        <v>256.60000000000002</v>
      </c>
      <c r="D1506" s="116">
        <v>255</v>
      </c>
      <c r="E1506" s="116">
        <v>261</v>
      </c>
      <c r="F1506" s="116">
        <v>256.60000000000002</v>
      </c>
      <c r="G1506">
        <v>262062</v>
      </c>
      <c r="H1506" s="116"/>
      <c r="I1506" s="116"/>
      <c r="L1506" s="170">
        <v>44221</v>
      </c>
      <c r="M1506" s="116">
        <v>257</v>
      </c>
      <c r="N1506" s="116">
        <v>264.25</v>
      </c>
      <c r="O1506" s="116">
        <v>254.9</v>
      </c>
      <c r="P1506" s="116">
        <v>261.39999999999998</v>
      </c>
      <c r="Q1506" s="116">
        <v>257</v>
      </c>
      <c r="R1506">
        <v>9713572</v>
      </c>
    </row>
    <row r="1507" spans="1:18" x14ac:dyDescent="0.25">
      <c r="A1507" s="170">
        <v>44223</v>
      </c>
      <c r="B1507" s="116">
        <v>260.25</v>
      </c>
      <c r="C1507" s="116">
        <v>252.8</v>
      </c>
      <c r="D1507" s="116">
        <v>251.25</v>
      </c>
      <c r="E1507" s="116">
        <v>260</v>
      </c>
      <c r="F1507" s="116">
        <v>252.8</v>
      </c>
      <c r="G1507">
        <v>838771</v>
      </c>
      <c r="H1507" s="116"/>
      <c r="I1507" s="116"/>
      <c r="L1507" s="170">
        <v>44223</v>
      </c>
      <c r="M1507" s="116">
        <v>252.5</v>
      </c>
      <c r="N1507" s="116">
        <v>260.5</v>
      </c>
      <c r="O1507" s="116">
        <v>251.2</v>
      </c>
      <c r="P1507" s="116">
        <v>256.10000000000002</v>
      </c>
      <c r="Q1507" s="116">
        <v>252.5</v>
      </c>
      <c r="R1507">
        <v>9165809</v>
      </c>
    </row>
    <row r="1508" spans="1:18" x14ac:dyDescent="0.25">
      <c r="A1508" s="170">
        <v>44224</v>
      </c>
      <c r="B1508" s="116">
        <v>250.55</v>
      </c>
      <c r="C1508" s="116">
        <v>247.95</v>
      </c>
      <c r="D1508" s="116">
        <v>246</v>
      </c>
      <c r="E1508" s="116">
        <v>248.15</v>
      </c>
      <c r="F1508" s="116">
        <v>247.95</v>
      </c>
      <c r="G1508">
        <v>271056</v>
      </c>
      <c r="H1508" s="116"/>
      <c r="I1508" s="116"/>
      <c r="L1508" s="170">
        <v>44224</v>
      </c>
      <c r="M1508" s="116">
        <v>248</v>
      </c>
      <c r="N1508" s="116">
        <v>250.5</v>
      </c>
      <c r="O1508" s="116">
        <v>246</v>
      </c>
      <c r="P1508" s="116">
        <v>250</v>
      </c>
      <c r="Q1508" s="116">
        <v>248</v>
      </c>
      <c r="R1508">
        <v>9545181</v>
      </c>
    </row>
    <row r="1509" spans="1:18" x14ac:dyDescent="0.25">
      <c r="A1509" s="170">
        <v>44225</v>
      </c>
      <c r="B1509" s="116">
        <v>251.15</v>
      </c>
      <c r="C1509" s="116">
        <v>243.35</v>
      </c>
      <c r="D1509" s="116">
        <v>242</v>
      </c>
      <c r="E1509" s="116">
        <v>250</v>
      </c>
      <c r="F1509" s="116">
        <v>243.35</v>
      </c>
      <c r="G1509">
        <v>455286</v>
      </c>
      <c r="H1509" s="116"/>
      <c r="I1509" s="116"/>
      <c r="L1509" s="170">
        <v>44225</v>
      </c>
      <c r="M1509" s="116">
        <v>243.35</v>
      </c>
      <c r="N1509" s="116">
        <v>251.75</v>
      </c>
      <c r="O1509" s="116">
        <v>241.75</v>
      </c>
      <c r="P1509" s="116">
        <v>251.75</v>
      </c>
      <c r="Q1509" s="116">
        <v>243.35</v>
      </c>
      <c r="R1509">
        <v>9156862</v>
      </c>
    </row>
    <row r="1510" spans="1:18" x14ac:dyDescent="0.25">
      <c r="A1510" s="170">
        <v>44228</v>
      </c>
      <c r="B1510" s="116">
        <v>262</v>
      </c>
      <c r="C1510" s="116">
        <v>261.14999999999998</v>
      </c>
      <c r="D1510" s="116">
        <v>242.35</v>
      </c>
      <c r="E1510" s="116">
        <v>248.95</v>
      </c>
      <c r="F1510" s="116">
        <v>261.14999999999998</v>
      </c>
      <c r="G1510">
        <v>399199</v>
      </c>
      <c r="H1510" s="116"/>
      <c r="I1510" s="116"/>
      <c r="L1510" s="170">
        <v>44228</v>
      </c>
      <c r="M1510" s="116">
        <v>260.8</v>
      </c>
      <c r="N1510" s="116">
        <v>262</v>
      </c>
      <c r="O1510" s="116">
        <v>242.1</v>
      </c>
      <c r="P1510" s="116">
        <v>246.4</v>
      </c>
      <c r="Q1510" s="116">
        <v>260.8</v>
      </c>
      <c r="R1510">
        <v>8108261</v>
      </c>
    </row>
    <row r="1511" spans="1:18" x14ac:dyDescent="0.25">
      <c r="A1511" s="170">
        <v>44229</v>
      </c>
      <c r="B1511" s="116">
        <v>279.55</v>
      </c>
      <c r="C1511" s="116">
        <v>276.3</v>
      </c>
      <c r="D1511" s="116">
        <v>262.35000000000002</v>
      </c>
      <c r="E1511" s="116">
        <v>263.10000000000002</v>
      </c>
      <c r="F1511" s="116">
        <v>276.3</v>
      </c>
      <c r="G1511">
        <v>917154</v>
      </c>
      <c r="H1511" s="116"/>
      <c r="I1511" s="116"/>
      <c r="L1511" s="170">
        <v>44229</v>
      </c>
      <c r="M1511" s="116">
        <v>276.25</v>
      </c>
      <c r="N1511" s="116">
        <v>279.60000000000002</v>
      </c>
      <c r="O1511" s="116">
        <v>261.10000000000002</v>
      </c>
      <c r="P1511" s="116">
        <v>263.7</v>
      </c>
      <c r="Q1511" s="116">
        <v>276.25</v>
      </c>
      <c r="R1511">
        <v>12896237</v>
      </c>
    </row>
    <row r="1512" spans="1:18" x14ac:dyDescent="0.25">
      <c r="A1512" s="170">
        <v>44230</v>
      </c>
      <c r="B1512" s="116">
        <v>278.5</v>
      </c>
      <c r="C1512" s="116">
        <v>268.75</v>
      </c>
      <c r="D1512" s="116">
        <v>267.85000000000002</v>
      </c>
      <c r="E1512" s="116">
        <v>276.89999999999998</v>
      </c>
      <c r="F1512" s="116">
        <v>268.75</v>
      </c>
      <c r="G1512">
        <v>367847</v>
      </c>
      <c r="H1512" s="116"/>
      <c r="I1512" s="116"/>
      <c r="L1512" s="170">
        <v>44230</v>
      </c>
      <c r="M1512" s="116">
        <v>268.95</v>
      </c>
      <c r="N1512" s="116">
        <v>278.7</v>
      </c>
      <c r="O1512" s="116">
        <v>268</v>
      </c>
      <c r="P1512" s="116">
        <v>276.10000000000002</v>
      </c>
      <c r="Q1512" s="116">
        <v>268.95</v>
      </c>
      <c r="R1512">
        <v>8099652</v>
      </c>
    </row>
    <row r="1513" spans="1:18" x14ac:dyDescent="0.25">
      <c r="A1513" s="170">
        <v>44231</v>
      </c>
      <c r="B1513" s="116">
        <v>275</v>
      </c>
      <c r="C1513" s="116">
        <v>272.60000000000002</v>
      </c>
      <c r="D1513" s="116">
        <v>266.35000000000002</v>
      </c>
      <c r="E1513" s="116">
        <v>268.75</v>
      </c>
      <c r="F1513" s="116">
        <v>272.60000000000002</v>
      </c>
      <c r="G1513">
        <v>415938</v>
      </c>
      <c r="H1513" s="116"/>
      <c r="I1513" s="116"/>
      <c r="L1513" s="170">
        <v>44231</v>
      </c>
      <c r="M1513" s="116">
        <v>272.75</v>
      </c>
      <c r="N1513" s="116">
        <v>275</v>
      </c>
      <c r="O1513" s="116">
        <v>266.14999999999998</v>
      </c>
      <c r="P1513" s="116">
        <v>268</v>
      </c>
      <c r="Q1513" s="116">
        <v>272.75</v>
      </c>
      <c r="R1513">
        <v>7803083</v>
      </c>
    </row>
    <row r="1514" spans="1:18" x14ac:dyDescent="0.25">
      <c r="A1514" s="170">
        <v>44232</v>
      </c>
      <c r="B1514" s="116">
        <v>275.5</v>
      </c>
      <c r="C1514" s="116">
        <v>271.25</v>
      </c>
      <c r="D1514" s="116">
        <v>268.60000000000002</v>
      </c>
      <c r="E1514" s="116">
        <v>272.75</v>
      </c>
      <c r="F1514" s="116">
        <v>271.25</v>
      </c>
      <c r="G1514">
        <v>332403</v>
      </c>
      <c r="H1514" s="116"/>
      <c r="I1514" s="116"/>
      <c r="L1514" s="170">
        <v>44232</v>
      </c>
      <c r="M1514" s="116">
        <v>271.3</v>
      </c>
      <c r="N1514" s="116">
        <v>275.60000000000002</v>
      </c>
      <c r="O1514" s="116">
        <v>268.55</v>
      </c>
      <c r="P1514" s="116">
        <v>273</v>
      </c>
      <c r="Q1514" s="116">
        <v>271.3</v>
      </c>
      <c r="R1514">
        <v>5119967</v>
      </c>
    </row>
    <row r="1515" spans="1:18" x14ac:dyDescent="0.25">
      <c r="A1515" s="170">
        <v>44235</v>
      </c>
      <c r="B1515" s="116">
        <v>278.2</v>
      </c>
      <c r="C1515" s="116">
        <v>274.55</v>
      </c>
      <c r="D1515" s="116">
        <v>272.05</v>
      </c>
      <c r="E1515" s="116">
        <v>272.89999999999998</v>
      </c>
      <c r="F1515" s="116">
        <v>274.55</v>
      </c>
      <c r="G1515">
        <v>330542</v>
      </c>
      <c r="H1515" s="116"/>
      <c r="I1515" s="116"/>
      <c r="L1515" s="170">
        <v>44235</v>
      </c>
      <c r="M1515" s="116">
        <v>274.35000000000002</v>
      </c>
      <c r="N1515" s="116">
        <v>278.2</v>
      </c>
      <c r="O1515" s="116">
        <v>272</v>
      </c>
      <c r="P1515" s="116">
        <v>272.5</v>
      </c>
      <c r="Q1515" s="116">
        <v>274.35000000000002</v>
      </c>
      <c r="R1515">
        <v>5445773</v>
      </c>
    </row>
    <row r="1516" spans="1:18" x14ac:dyDescent="0.25">
      <c r="A1516" s="170">
        <v>44236</v>
      </c>
      <c r="B1516" s="116">
        <v>279.45</v>
      </c>
      <c r="C1516" s="116">
        <v>270.5</v>
      </c>
      <c r="D1516" s="116">
        <v>269.8</v>
      </c>
      <c r="E1516" s="116">
        <v>276.14999999999998</v>
      </c>
      <c r="F1516" s="116">
        <v>270.5</v>
      </c>
      <c r="G1516">
        <v>375187</v>
      </c>
      <c r="H1516" s="116"/>
      <c r="I1516" s="116"/>
      <c r="L1516" s="170">
        <v>44236</v>
      </c>
      <c r="M1516" s="116">
        <v>270.55</v>
      </c>
      <c r="N1516" s="116">
        <v>279.45</v>
      </c>
      <c r="O1516" s="116">
        <v>269.85000000000002</v>
      </c>
      <c r="P1516" s="116">
        <v>276.85000000000002</v>
      </c>
      <c r="Q1516" s="116">
        <v>270.55</v>
      </c>
      <c r="R1516">
        <v>4725675</v>
      </c>
    </row>
    <row r="1517" spans="1:18" x14ac:dyDescent="0.25">
      <c r="A1517" s="170">
        <v>44237</v>
      </c>
      <c r="B1517" s="116">
        <v>277.8</v>
      </c>
      <c r="C1517" s="116">
        <v>271.7</v>
      </c>
      <c r="D1517" s="116">
        <v>270.5</v>
      </c>
      <c r="E1517" s="116">
        <v>270.7</v>
      </c>
      <c r="F1517" s="116">
        <v>271.7</v>
      </c>
      <c r="G1517">
        <v>723865</v>
      </c>
      <c r="H1517" s="116"/>
      <c r="I1517" s="116"/>
      <c r="L1517" s="170">
        <v>44237</v>
      </c>
      <c r="M1517" s="116">
        <v>271.89999999999998</v>
      </c>
      <c r="N1517" s="116">
        <v>277.8</v>
      </c>
      <c r="O1517" s="116">
        <v>271</v>
      </c>
      <c r="P1517" s="116">
        <v>271.35000000000002</v>
      </c>
      <c r="Q1517" s="116">
        <v>271.89999999999998</v>
      </c>
      <c r="R1517">
        <v>6276033</v>
      </c>
    </row>
    <row r="1518" spans="1:18" x14ac:dyDescent="0.25">
      <c r="A1518" s="170">
        <v>44238</v>
      </c>
      <c r="B1518" s="116">
        <v>277.75</v>
      </c>
      <c r="C1518" s="116">
        <v>277</v>
      </c>
      <c r="D1518" s="116">
        <v>271.8</v>
      </c>
      <c r="E1518" s="116">
        <v>274</v>
      </c>
      <c r="F1518" s="116">
        <v>277</v>
      </c>
      <c r="G1518">
        <v>236569</v>
      </c>
      <c r="H1518" s="116"/>
      <c r="I1518" s="116"/>
      <c r="L1518" s="170">
        <v>44238</v>
      </c>
      <c r="M1518" s="116">
        <v>276.89999999999998</v>
      </c>
      <c r="N1518" s="116">
        <v>277.8</v>
      </c>
      <c r="O1518" s="116">
        <v>271.5</v>
      </c>
      <c r="P1518" s="116">
        <v>272.2</v>
      </c>
      <c r="Q1518" s="116">
        <v>276.89999999999998</v>
      </c>
      <c r="R1518">
        <v>5475278</v>
      </c>
    </row>
    <row r="1519" spans="1:18" x14ac:dyDescent="0.25">
      <c r="A1519" s="170">
        <v>44239</v>
      </c>
      <c r="B1519" s="116">
        <v>284.95</v>
      </c>
      <c r="C1519" s="116">
        <v>277.39999999999998</v>
      </c>
      <c r="D1519" s="116">
        <v>274.3</v>
      </c>
      <c r="E1519" s="116">
        <v>276.05</v>
      </c>
      <c r="F1519" s="116">
        <v>277.39999999999998</v>
      </c>
      <c r="G1519">
        <v>686540</v>
      </c>
      <c r="H1519" s="116"/>
      <c r="I1519" s="116"/>
      <c r="L1519" s="170">
        <v>44239</v>
      </c>
      <c r="M1519" s="116">
        <v>277.45</v>
      </c>
      <c r="N1519" s="116">
        <v>284.89999999999998</v>
      </c>
      <c r="O1519" s="116">
        <v>274.25</v>
      </c>
      <c r="P1519" s="116">
        <v>275</v>
      </c>
      <c r="Q1519" s="116">
        <v>277.45</v>
      </c>
      <c r="R1519">
        <v>9937677</v>
      </c>
    </row>
    <row r="1520" spans="1:18" x14ac:dyDescent="0.25">
      <c r="A1520" s="170">
        <v>44242</v>
      </c>
      <c r="B1520" s="116">
        <v>285.89999999999998</v>
      </c>
      <c r="C1520" s="116">
        <v>283.39999999999998</v>
      </c>
      <c r="D1520" s="116">
        <v>279</v>
      </c>
      <c r="E1520" s="116">
        <v>282.35000000000002</v>
      </c>
      <c r="F1520" s="116">
        <v>283.39999999999998</v>
      </c>
      <c r="G1520">
        <v>450191</v>
      </c>
      <c r="H1520" s="116"/>
      <c r="I1520" s="116"/>
      <c r="L1520" s="170">
        <v>44242</v>
      </c>
      <c r="M1520" s="116">
        <v>283.39999999999998</v>
      </c>
      <c r="N1520" s="116">
        <v>285.89999999999998</v>
      </c>
      <c r="O1520" s="116">
        <v>279</v>
      </c>
      <c r="P1520" s="116">
        <v>281</v>
      </c>
      <c r="Q1520" s="116">
        <v>283.39999999999998</v>
      </c>
      <c r="R1520">
        <v>7339663</v>
      </c>
    </row>
    <row r="1521" spans="1:18" x14ac:dyDescent="0.25">
      <c r="A1521" s="170">
        <v>44243</v>
      </c>
      <c r="B1521" s="116">
        <v>287.10000000000002</v>
      </c>
      <c r="C1521" s="116">
        <v>283.75</v>
      </c>
      <c r="D1521" s="116">
        <v>280.3</v>
      </c>
      <c r="E1521" s="116">
        <v>286</v>
      </c>
      <c r="F1521" s="116">
        <v>283.75</v>
      </c>
      <c r="G1521">
        <v>226837</v>
      </c>
      <c r="H1521" s="116"/>
      <c r="I1521" s="116"/>
      <c r="L1521" s="170">
        <v>44243</v>
      </c>
      <c r="M1521" s="116">
        <v>284.05</v>
      </c>
      <c r="N1521" s="116">
        <v>287.3</v>
      </c>
      <c r="O1521" s="116">
        <v>280.2</v>
      </c>
      <c r="P1521" s="116">
        <v>285.89999999999998</v>
      </c>
      <c r="Q1521" s="116">
        <v>284.05</v>
      </c>
      <c r="R1521">
        <v>6116048</v>
      </c>
    </row>
    <row r="1522" spans="1:18" x14ac:dyDescent="0.25">
      <c r="A1522" s="170">
        <v>44244</v>
      </c>
      <c r="B1522" s="116">
        <v>290.35000000000002</v>
      </c>
      <c r="C1522" s="116">
        <v>286.75</v>
      </c>
      <c r="D1522" s="116">
        <v>284.45</v>
      </c>
      <c r="E1522" s="116">
        <v>286.39999999999998</v>
      </c>
      <c r="F1522" s="116">
        <v>286.75</v>
      </c>
      <c r="G1522">
        <v>395964</v>
      </c>
      <c r="H1522" s="116"/>
      <c r="I1522" s="116"/>
      <c r="L1522" s="170">
        <v>44244</v>
      </c>
      <c r="M1522" s="116">
        <v>286.64999999999998</v>
      </c>
      <c r="N1522" s="116">
        <v>290.39999999999998</v>
      </c>
      <c r="O1522" s="116">
        <v>284.2</v>
      </c>
      <c r="P1522" s="116">
        <v>285.75</v>
      </c>
      <c r="Q1522" s="116">
        <v>286.64999999999998</v>
      </c>
      <c r="R1522">
        <v>10058896</v>
      </c>
    </row>
    <row r="1523" spans="1:18" x14ac:dyDescent="0.25">
      <c r="A1523" s="170">
        <v>44245</v>
      </c>
      <c r="B1523" s="116">
        <v>290.7</v>
      </c>
      <c r="C1523" s="116">
        <v>282.85000000000002</v>
      </c>
      <c r="D1523" s="116">
        <v>280.8</v>
      </c>
      <c r="E1523" s="116">
        <v>290</v>
      </c>
      <c r="F1523" s="116">
        <v>282.85000000000002</v>
      </c>
      <c r="G1523">
        <v>417895</v>
      </c>
      <c r="H1523" s="116"/>
      <c r="I1523" s="116"/>
      <c r="L1523" s="170">
        <v>44245</v>
      </c>
      <c r="M1523" s="116">
        <v>282.8</v>
      </c>
      <c r="N1523" s="116">
        <v>290.5</v>
      </c>
      <c r="O1523" s="116">
        <v>280.8</v>
      </c>
      <c r="P1523" s="116">
        <v>290</v>
      </c>
      <c r="Q1523" s="116">
        <v>282.8</v>
      </c>
      <c r="R1523">
        <v>7081013</v>
      </c>
    </row>
    <row r="1524" spans="1:18" x14ac:dyDescent="0.25">
      <c r="A1524" s="170">
        <v>44246</v>
      </c>
      <c r="B1524" s="116">
        <v>288.39999999999998</v>
      </c>
      <c r="C1524" s="116">
        <v>275.25</v>
      </c>
      <c r="D1524" s="116">
        <v>273.2</v>
      </c>
      <c r="E1524" s="116">
        <v>288.39999999999998</v>
      </c>
      <c r="F1524" s="116">
        <v>275.25</v>
      </c>
      <c r="G1524">
        <v>703108</v>
      </c>
      <c r="H1524" s="116"/>
      <c r="I1524" s="116"/>
      <c r="L1524" s="170">
        <v>44246</v>
      </c>
      <c r="M1524" s="116">
        <v>275.3</v>
      </c>
      <c r="N1524" s="116">
        <v>288.5</v>
      </c>
      <c r="O1524" s="116">
        <v>273.05</v>
      </c>
      <c r="P1524" s="116">
        <v>288.5</v>
      </c>
      <c r="Q1524" s="116">
        <v>275.3</v>
      </c>
      <c r="R1524">
        <v>18015854</v>
      </c>
    </row>
    <row r="1525" spans="1:18" x14ac:dyDescent="0.25">
      <c r="A1525" s="170">
        <v>44249</v>
      </c>
      <c r="B1525" s="116">
        <v>277</v>
      </c>
      <c r="C1525" s="116">
        <v>266.64999999999998</v>
      </c>
      <c r="D1525" s="116">
        <v>265.35000000000002</v>
      </c>
      <c r="E1525" s="116">
        <v>277</v>
      </c>
      <c r="F1525" s="116">
        <v>266.64999999999998</v>
      </c>
      <c r="G1525">
        <v>219492</v>
      </c>
      <c r="H1525" s="116"/>
      <c r="I1525" s="116"/>
      <c r="L1525" s="170">
        <v>44249</v>
      </c>
      <c r="M1525" s="116">
        <v>266.95</v>
      </c>
      <c r="N1525" s="116">
        <v>276.89999999999998</v>
      </c>
      <c r="O1525" s="116">
        <v>265.64999999999998</v>
      </c>
      <c r="P1525" s="116">
        <v>275.5</v>
      </c>
      <c r="Q1525" s="116">
        <v>266.95</v>
      </c>
      <c r="R1525">
        <v>7287185</v>
      </c>
    </row>
    <row r="1526" spans="1:18" x14ac:dyDescent="0.25">
      <c r="A1526" s="170">
        <v>44250</v>
      </c>
      <c r="B1526" s="116">
        <v>270.75</v>
      </c>
      <c r="C1526" s="116">
        <v>264.7</v>
      </c>
      <c r="D1526" s="116">
        <v>263.35000000000002</v>
      </c>
      <c r="E1526" s="116">
        <v>269</v>
      </c>
      <c r="F1526" s="116">
        <v>264.7</v>
      </c>
      <c r="G1526">
        <v>191300</v>
      </c>
      <c r="H1526" s="116"/>
      <c r="I1526" s="116"/>
      <c r="L1526" s="170">
        <v>44250</v>
      </c>
      <c r="M1526" s="116">
        <v>264.7</v>
      </c>
      <c r="N1526" s="116">
        <v>270.85000000000002</v>
      </c>
      <c r="O1526" s="116">
        <v>263.14999999999998</v>
      </c>
      <c r="P1526" s="116">
        <v>269</v>
      </c>
      <c r="Q1526" s="116">
        <v>264.7</v>
      </c>
      <c r="R1526">
        <v>7106597</v>
      </c>
    </row>
    <row r="1527" spans="1:18" x14ac:dyDescent="0.25">
      <c r="A1527" s="170">
        <v>44251</v>
      </c>
      <c r="B1527" s="116">
        <v>275</v>
      </c>
      <c r="C1527" s="116">
        <v>268.95</v>
      </c>
      <c r="D1527" s="116">
        <v>261.10000000000002</v>
      </c>
      <c r="E1527" s="116">
        <v>269</v>
      </c>
      <c r="F1527" s="116">
        <v>268.95</v>
      </c>
      <c r="G1527">
        <v>582688</v>
      </c>
      <c r="H1527" s="116"/>
      <c r="I1527" s="116"/>
      <c r="L1527" s="170">
        <v>44251</v>
      </c>
      <c r="M1527" s="116">
        <v>268.39999999999998</v>
      </c>
      <c r="N1527" s="116">
        <v>270.3</v>
      </c>
      <c r="O1527" s="116">
        <v>265.05</v>
      </c>
      <c r="P1527" s="116">
        <v>266</v>
      </c>
      <c r="Q1527" s="116">
        <v>268.39999999999998</v>
      </c>
      <c r="R1527">
        <v>3316417</v>
      </c>
    </row>
    <row r="1528" spans="1:18" x14ac:dyDescent="0.25">
      <c r="A1528" s="170">
        <v>44252</v>
      </c>
      <c r="B1528" s="116">
        <v>281.7</v>
      </c>
      <c r="C1528" s="116">
        <v>279.60000000000002</v>
      </c>
      <c r="D1528" s="116">
        <v>271.3</v>
      </c>
      <c r="E1528" s="116">
        <v>271.5</v>
      </c>
      <c r="F1528" s="116">
        <v>279.60000000000002</v>
      </c>
      <c r="G1528">
        <v>654634</v>
      </c>
      <c r="H1528" s="116"/>
      <c r="I1528" s="116"/>
      <c r="L1528" s="170">
        <v>44252</v>
      </c>
      <c r="M1528" s="116">
        <v>279.7</v>
      </c>
      <c r="N1528" s="116">
        <v>281.60000000000002</v>
      </c>
      <c r="O1528" s="116">
        <v>271.14999999999998</v>
      </c>
      <c r="P1528" s="116">
        <v>271.2</v>
      </c>
      <c r="Q1528" s="116">
        <v>279.7</v>
      </c>
      <c r="R1528">
        <v>9436339</v>
      </c>
    </row>
    <row r="1529" spans="1:18" x14ac:dyDescent="0.25">
      <c r="A1529" s="170">
        <v>44253</v>
      </c>
      <c r="B1529" s="116">
        <v>288.39999999999998</v>
      </c>
      <c r="C1529" s="116">
        <v>273.64999999999998</v>
      </c>
      <c r="D1529" s="116">
        <v>271.64999999999998</v>
      </c>
      <c r="E1529" s="116">
        <v>277.8</v>
      </c>
      <c r="F1529" s="116">
        <v>273.64999999999998</v>
      </c>
      <c r="G1529">
        <v>1520294</v>
      </c>
      <c r="H1529" s="116"/>
      <c r="I1529" s="116"/>
      <c r="L1529" s="170">
        <v>44253</v>
      </c>
      <c r="M1529" s="116">
        <v>273.5</v>
      </c>
      <c r="N1529" s="116">
        <v>288.5</v>
      </c>
      <c r="O1529" s="116">
        <v>271.5</v>
      </c>
      <c r="P1529" s="116">
        <v>277</v>
      </c>
      <c r="Q1529" s="116">
        <v>273.5</v>
      </c>
      <c r="R1529">
        <v>21250569</v>
      </c>
    </row>
    <row r="1530" spans="1:18" x14ac:dyDescent="0.25">
      <c r="A1530" s="170">
        <v>44256</v>
      </c>
      <c r="B1530" s="116">
        <v>279.55</v>
      </c>
      <c r="C1530" s="116">
        <v>277.85000000000002</v>
      </c>
      <c r="D1530" s="116">
        <v>273.5</v>
      </c>
      <c r="E1530" s="116">
        <v>279</v>
      </c>
      <c r="F1530" s="116">
        <v>277.85000000000002</v>
      </c>
      <c r="G1530">
        <v>265972</v>
      </c>
      <c r="H1530" s="116"/>
      <c r="I1530" s="116"/>
      <c r="L1530" s="170">
        <v>44256</v>
      </c>
      <c r="M1530" s="116">
        <v>277.89999999999998</v>
      </c>
      <c r="N1530" s="116">
        <v>279.64999999999998</v>
      </c>
      <c r="O1530" s="116">
        <v>273.5</v>
      </c>
      <c r="P1530" s="116">
        <v>275.55</v>
      </c>
      <c r="Q1530" s="116">
        <v>277.89999999999998</v>
      </c>
      <c r="R1530">
        <v>4095441</v>
      </c>
    </row>
    <row r="1531" spans="1:18" x14ac:dyDescent="0.25">
      <c r="A1531" s="170">
        <v>44257</v>
      </c>
      <c r="B1531" s="116">
        <v>283.35000000000002</v>
      </c>
      <c r="C1531" s="116">
        <v>278.89999999999998</v>
      </c>
      <c r="D1531" s="116">
        <v>277.14999999999998</v>
      </c>
      <c r="E1531" s="116">
        <v>278.45</v>
      </c>
      <c r="F1531" s="116">
        <v>278.89999999999998</v>
      </c>
      <c r="G1531">
        <v>192283</v>
      </c>
      <c r="H1531" s="116"/>
      <c r="I1531" s="116"/>
      <c r="L1531" s="170">
        <v>44257</v>
      </c>
      <c r="M1531" s="116">
        <v>278.8</v>
      </c>
      <c r="N1531" s="116">
        <v>283.39999999999998</v>
      </c>
      <c r="O1531" s="116">
        <v>277.10000000000002</v>
      </c>
      <c r="P1531" s="116">
        <v>278.89999999999998</v>
      </c>
      <c r="Q1531" s="116">
        <v>278.8</v>
      </c>
      <c r="R1531">
        <v>4657410</v>
      </c>
    </row>
    <row r="1532" spans="1:18" x14ac:dyDescent="0.25">
      <c r="A1532" s="170">
        <v>44258</v>
      </c>
      <c r="B1532" s="116">
        <v>285.7</v>
      </c>
      <c r="C1532" s="116">
        <v>282.05</v>
      </c>
      <c r="D1532" s="116">
        <v>279.45</v>
      </c>
      <c r="E1532" s="116">
        <v>280</v>
      </c>
      <c r="F1532" s="116">
        <v>282.05</v>
      </c>
      <c r="G1532">
        <v>306289</v>
      </c>
      <c r="H1532" s="116"/>
      <c r="I1532" s="116"/>
      <c r="L1532" s="170">
        <v>44258</v>
      </c>
      <c r="M1532" s="116">
        <v>282.10000000000002</v>
      </c>
      <c r="N1532" s="116">
        <v>285.89999999999998</v>
      </c>
      <c r="O1532" s="116">
        <v>279.55</v>
      </c>
      <c r="P1532" s="116">
        <v>280.7</v>
      </c>
      <c r="Q1532" s="116">
        <v>282.10000000000002</v>
      </c>
      <c r="R1532">
        <v>5079575</v>
      </c>
    </row>
    <row r="1533" spans="1:18" x14ac:dyDescent="0.25">
      <c r="A1533" s="170">
        <v>44259</v>
      </c>
      <c r="B1533" s="116">
        <v>294.25</v>
      </c>
      <c r="C1533" s="116">
        <v>292.14999999999998</v>
      </c>
      <c r="D1533" s="116">
        <v>278.85000000000002</v>
      </c>
      <c r="E1533" s="116">
        <v>280.5</v>
      </c>
      <c r="F1533" s="116">
        <v>292.14999999999998</v>
      </c>
      <c r="G1533">
        <v>519556</v>
      </c>
      <c r="H1533" s="116"/>
      <c r="I1533" s="116"/>
      <c r="L1533" s="170">
        <v>44259</v>
      </c>
      <c r="M1533" s="116">
        <v>292</v>
      </c>
      <c r="N1533" s="116">
        <v>294.3</v>
      </c>
      <c r="O1533" s="116">
        <v>278.75</v>
      </c>
      <c r="P1533" s="116">
        <v>281.5</v>
      </c>
      <c r="Q1533" s="116">
        <v>292</v>
      </c>
      <c r="R1533">
        <v>10478749</v>
      </c>
    </row>
    <row r="1534" spans="1:18" x14ac:dyDescent="0.25">
      <c r="A1534" s="170">
        <v>44260</v>
      </c>
      <c r="B1534" s="116">
        <v>298.25</v>
      </c>
      <c r="C1534" s="116">
        <v>284.7</v>
      </c>
      <c r="D1534" s="116">
        <v>283.3</v>
      </c>
      <c r="E1534" s="116">
        <v>292</v>
      </c>
      <c r="F1534" s="116">
        <v>284.7</v>
      </c>
      <c r="G1534">
        <v>918969</v>
      </c>
      <c r="H1534" s="116"/>
      <c r="I1534" s="116"/>
      <c r="L1534" s="170">
        <v>44260</v>
      </c>
      <c r="M1534" s="116">
        <v>284.8</v>
      </c>
      <c r="N1534" s="116">
        <v>298.3</v>
      </c>
      <c r="O1534" s="116">
        <v>283.14999999999998</v>
      </c>
      <c r="P1534" s="116">
        <v>291.95</v>
      </c>
      <c r="Q1534" s="116">
        <v>284.8</v>
      </c>
      <c r="R1534">
        <v>14706128</v>
      </c>
    </row>
    <row r="1535" spans="1:18" x14ac:dyDescent="0.25">
      <c r="A1535" s="170">
        <v>44263</v>
      </c>
      <c r="B1535" s="116">
        <v>290.89999999999998</v>
      </c>
      <c r="C1535" s="116">
        <v>285.25</v>
      </c>
      <c r="D1535" s="116">
        <v>284.3</v>
      </c>
      <c r="E1535" s="116">
        <v>286.05</v>
      </c>
      <c r="F1535" s="116">
        <v>285.25</v>
      </c>
      <c r="G1535">
        <v>247794</v>
      </c>
      <c r="H1535" s="116"/>
      <c r="I1535" s="116"/>
      <c r="L1535" s="170">
        <v>44263</v>
      </c>
      <c r="M1535" s="116">
        <v>285.75</v>
      </c>
      <c r="N1535" s="116">
        <v>291</v>
      </c>
      <c r="O1535" s="116">
        <v>284.2</v>
      </c>
      <c r="P1535" s="116">
        <v>287</v>
      </c>
      <c r="Q1535" s="116">
        <v>285.75</v>
      </c>
      <c r="R1535">
        <v>4470385</v>
      </c>
    </row>
    <row r="1536" spans="1:18" x14ac:dyDescent="0.25">
      <c r="A1536" s="170">
        <v>44264</v>
      </c>
      <c r="B1536" s="116">
        <v>293.2</v>
      </c>
      <c r="C1536" s="116">
        <v>291.14999999999998</v>
      </c>
      <c r="D1536" s="116">
        <v>285.3</v>
      </c>
      <c r="E1536" s="116">
        <v>288.10000000000002</v>
      </c>
      <c r="F1536" s="116">
        <v>291.14999999999998</v>
      </c>
      <c r="G1536">
        <v>179029</v>
      </c>
      <c r="H1536" s="116"/>
      <c r="I1536" s="116"/>
      <c r="L1536" s="170">
        <v>44264</v>
      </c>
      <c r="M1536" s="116">
        <v>291.05</v>
      </c>
      <c r="N1536" s="116">
        <v>293.3</v>
      </c>
      <c r="O1536" s="116">
        <v>285.2</v>
      </c>
      <c r="P1536" s="116">
        <v>287.8</v>
      </c>
      <c r="Q1536" s="116">
        <v>291.05</v>
      </c>
      <c r="R1536">
        <v>6082622</v>
      </c>
    </row>
    <row r="1537" spans="1:18" x14ac:dyDescent="0.25">
      <c r="A1537" s="170">
        <v>44265</v>
      </c>
      <c r="B1537" s="116">
        <v>293.85000000000002</v>
      </c>
      <c r="C1537" s="116">
        <v>291.85000000000002</v>
      </c>
      <c r="D1537" s="116">
        <v>288.85000000000002</v>
      </c>
      <c r="E1537" s="116">
        <v>292.05</v>
      </c>
      <c r="F1537" s="116">
        <v>291.85000000000002</v>
      </c>
      <c r="G1537">
        <v>244904</v>
      </c>
      <c r="H1537" s="116"/>
      <c r="I1537" s="116"/>
      <c r="L1537" s="170">
        <v>44265</v>
      </c>
      <c r="M1537" s="116">
        <v>292</v>
      </c>
      <c r="N1537" s="116">
        <v>293.8</v>
      </c>
      <c r="O1537" s="116">
        <v>289</v>
      </c>
      <c r="P1537" s="116">
        <v>292.55</v>
      </c>
      <c r="Q1537" s="116">
        <v>292</v>
      </c>
      <c r="R1537">
        <v>3837384</v>
      </c>
    </row>
    <row r="1538" spans="1:18" x14ac:dyDescent="0.25">
      <c r="A1538" s="170">
        <v>44267</v>
      </c>
      <c r="B1538" s="116">
        <v>293.85000000000002</v>
      </c>
      <c r="C1538" s="116">
        <v>289.55</v>
      </c>
      <c r="D1538" s="116">
        <v>287.5</v>
      </c>
      <c r="E1538" s="116">
        <v>292.25</v>
      </c>
      <c r="F1538" s="116">
        <v>289.55</v>
      </c>
      <c r="G1538">
        <v>182692</v>
      </c>
      <c r="H1538" s="116"/>
      <c r="I1538" s="116"/>
      <c r="L1538" s="170">
        <v>44267</v>
      </c>
      <c r="M1538" s="116">
        <v>289.5</v>
      </c>
      <c r="N1538" s="116">
        <v>293.89999999999998</v>
      </c>
      <c r="O1538" s="116">
        <v>287.5</v>
      </c>
      <c r="P1538" s="116">
        <v>293</v>
      </c>
      <c r="Q1538" s="116">
        <v>289.5</v>
      </c>
      <c r="R1538">
        <v>5744777</v>
      </c>
    </row>
    <row r="1539" spans="1:18" x14ac:dyDescent="0.25">
      <c r="A1539" s="170">
        <v>44270</v>
      </c>
      <c r="B1539" s="116">
        <v>290.5</v>
      </c>
      <c r="C1539" s="116">
        <v>283.45</v>
      </c>
      <c r="D1539" s="116">
        <v>279</v>
      </c>
      <c r="E1539" s="116">
        <v>289.64999999999998</v>
      </c>
      <c r="F1539" s="116">
        <v>283.45</v>
      </c>
      <c r="G1539">
        <v>236277</v>
      </c>
      <c r="H1539" s="116"/>
      <c r="I1539" s="116"/>
      <c r="L1539" s="170">
        <v>44270</v>
      </c>
      <c r="M1539" s="116">
        <v>283.64999999999998</v>
      </c>
      <c r="N1539" s="116">
        <v>290.89999999999998</v>
      </c>
      <c r="O1539" s="116">
        <v>279</v>
      </c>
      <c r="P1539" s="116">
        <v>290.89999999999998</v>
      </c>
      <c r="Q1539" s="116">
        <v>283.64999999999998</v>
      </c>
      <c r="R1539">
        <v>4879115</v>
      </c>
    </row>
    <row r="1540" spans="1:18" x14ac:dyDescent="0.25">
      <c r="A1540" s="170">
        <v>44271</v>
      </c>
      <c r="B1540" s="116">
        <v>289.95</v>
      </c>
      <c r="C1540" s="116">
        <v>285.39999999999998</v>
      </c>
      <c r="D1540" s="116">
        <v>284.10000000000002</v>
      </c>
      <c r="E1540" s="116">
        <v>284.10000000000002</v>
      </c>
      <c r="F1540" s="116">
        <v>285.39999999999998</v>
      </c>
      <c r="G1540">
        <v>175962</v>
      </c>
      <c r="H1540" s="116"/>
      <c r="I1540" s="116"/>
      <c r="L1540" s="170">
        <v>44271</v>
      </c>
      <c r="M1540" s="116">
        <v>285.55</v>
      </c>
      <c r="N1540" s="116">
        <v>290</v>
      </c>
      <c r="O1540" s="116">
        <v>284.25</v>
      </c>
      <c r="P1540" s="116">
        <v>284.89999999999998</v>
      </c>
      <c r="Q1540" s="116">
        <v>285.55</v>
      </c>
      <c r="R1540">
        <v>7122222</v>
      </c>
    </row>
    <row r="1541" spans="1:18" x14ac:dyDescent="0.25">
      <c r="A1541" s="170">
        <v>44272</v>
      </c>
      <c r="B1541" s="116">
        <v>287.5</v>
      </c>
      <c r="C1541" s="116">
        <v>280.8</v>
      </c>
      <c r="D1541" s="116">
        <v>280.05</v>
      </c>
      <c r="E1541" s="116">
        <v>285.89999999999998</v>
      </c>
      <c r="F1541" s="116">
        <v>280.8</v>
      </c>
      <c r="G1541">
        <v>96365</v>
      </c>
      <c r="H1541" s="116"/>
      <c r="I1541" s="116"/>
      <c r="L1541" s="170">
        <v>44272</v>
      </c>
      <c r="M1541" s="116">
        <v>280.85000000000002</v>
      </c>
      <c r="N1541" s="116">
        <v>287.35000000000002</v>
      </c>
      <c r="O1541" s="116">
        <v>280</v>
      </c>
      <c r="P1541" s="116">
        <v>285.89999999999998</v>
      </c>
      <c r="Q1541" s="116">
        <v>280.85000000000002</v>
      </c>
      <c r="R1541">
        <v>5016639</v>
      </c>
    </row>
    <row r="1542" spans="1:18" x14ac:dyDescent="0.25">
      <c r="A1542" s="170">
        <v>44273</v>
      </c>
      <c r="B1542" s="116">
        <v>285.7</v>
      </c>
      <c r="C1542" s="116">
        <v>281.05</v>
      </c>
      <c r="D1542" s="116">
        <v>277.7</v>
      </c>
      <c r="E1542" s="116">
        <v>281.75</v>
      </c>
      <c r="F1542" s="116">
        <v>281.05</v>
      </c>
      <c r="G1542">
        <v>107559</v>
      </c>
      <c r="H1542" s="116"/>
      <c r="I1542" s="116"/>
      <c r="L1542" s="170">
        <v>44273</v>
      </c>
      <c r="M1542" s="116">
        <v>281.05</v>
      </c>
      <c r="N1542" s="116">
        <v>285.95</v>
      </c>
      <c r="O1542" s="116">
        <v>277.45</v>
      </c>
      <c r="P1542" s="116">
        <v>283</v>
      </c>
      <c r="Q1542" s="116">
        <v>281.05</v>
      </c>
      <c r="R1542">
        <v>4353319</v>
      </c>
    </row>
    <row r="1543" spans="1:18" x14ac:dyDescent="0.25">
      <c r="A1543" s="170">
        <v>44274</v>
      </c>
      <c r="B1543" s="116">
        <v>284.7</v>
      </c>
      <c r="C1543" s="116">
        <v>283.39999999999998</v>
      </c>
      <c r="D1543" s="116">
        <v>273.95</v>
      </c>
      <c r="E1543" s="116">
        <v>278.39999999999998</v>
      </c>
      <c r="F1543" s="116">
        <v>283.39999999999998</v>
      </c>
      <c r="G1543">
        <v>1089864</v>
      </c>
      <c r="H1543" s="116"/>
      <c r="I1543" s="116"/>
      <c r="L1543" s="170">
        <v>44274</v>
      </c>
      <c r="M1543" s="116">
        <v>283.45</v>
      </c>
      <c r="N1543" s="116">
        <v>284.60000000000002</v>
      </c>
      <c r="O1543" s="116">
        <v>274.05</v>
      </c>
      <c r="P1543" s="116">
        <v>278</v>
      </c>
      <c r="Q1543" s="116">
        <v>283.45</v>
      </c>
      <c r="R1543">
        <v>6753108</v>
      </c>
    </row>
    <row r="1544" spans="1:18" x14ac:dyDescent="0.25">
      <c r="A1544" s="170">
        <v>44277</v>
      </c>
      <c r="B1544" s="116">
        <v>298.14999999999998</v>
      </c>
      <c r="C1544" s="116">
        <v>296.2</v>
      </c>
      <c r="D1544" s="116">
        <v>280.2</v>
      </c>
      <c r="E1544" s="116">
        <v>284.39999999999998</v>
      </c>
      <c r="F1544" s="116">
        <v>296.2</v>
      </c>
      <c r="G1544">
        <v>468516</v>
      </c>
      <c r="H1544" s="116"/>
      <c r="I1544" s="116"/>
      <c r="L1544" s="170">
        <v>44277</v>
      </c>
      <c r="M1544" s="116">
        <v>295.60000000000002</v>
      </c>
      <c r="N1544" s="116">
        <v>297.8</v>
      </c>
      <c r="O1544" s="116">
        <v>278</v>
      </c>
      <c r="P1544" s="116">
        <v>284.45</v>
      </c>
      <c r="Q1544" s="116">
        <v>295.60000000000002</v>
      </c>
      <c r="R1544">
        <v>11182565</v>
      </c>
    </row>
    <row r="1545" spans="1:18" x14ac:dyDescent="0.25">
      <c r="A1545" s="170">
        <v>44278</v>
      </c>
      <c r="B1545" s="116">
        <v>306.25</v>
      </c>
      <c r="C1545" s="116">
        <v>304.35000000000002</v>
      </c>
      <c r="D1545" s="116">
        <v>293.5</v>
      </c>
      <c r="E1545" s="116">
        <v>297</v>
      </c>
      <c r="F1545" s="116">
        <v>304.35000000000002</v>
      </c>
      <c r="G1545">
        <v>755872</v>
      </c>
      <c r="H1545" s="116"/>
      <c r="I1545" s="116"/>
      <c r="L1545" s="170">
        <v>44278</v>
      </c>
      <c r="M1545" s="116">
        <v>304.45</v>
      </c>
      <c r="N1545" s="116">
        <v>306.39999999999998</v>
      </c>
      <c r="O1545" s="116">
        <v>293.55</v>
      </c>
      <c r="P1545" s="116">
        <v>297.2</v>
      </c>
      <c r="Q1545" s="116">
        <v>304.45</v>
      </c>
      <c r="R1545">
        <v>11750637</v>
      </c>
    </row>
    <row r="1546" spans="1:18" x14ac:dyDescent="0.25">
      <c r="A1546" s="170">
        <v>44279</v>
      </c>
      <c r="B1546" s="116">
        <v>307.35000000000002</v>
      </c>
      <c r="C1546" s="116">
        <v>303.75</v>
      </c>
      <c r="D1546" s="116">
        <v>300.75</v>
      </c>
      <c r="E1546" s="116">
        <v>303.60000000000002</v>
      </c>
      <c r="F1546" s="116">
        <v>303.75</v>
      </c>
      <c r="G1546">
        <v>328603</v>
      </c>
      <c r="H1546" s="116"/>
      <c r="I1546" s="116"/>
      <c r="L1546" s="170">
        <v>44279</v>
      </c>
      <c r="M1546" s="116">
        <v>303.8</v>
      </c>
      <c r="N1546" s="116">
        <v>307.5</v>
      </c>
      <c r="O1546" s="116">
        <v>300.89999999999998</v>
      </c>
      <c r="P1546" s="116">
        <v>302.85000000000002</v>
      </c>
      <c r="Q1546" s="116">
        <v>303.8</v>
      </c>
      <c r="R1546">
        <v>9936778</v>
      </c>
    </row>
    <row r="1547" spans="1:18" x14ac:dyDescent="0.25">
      <c r="A1547" s="170">
        <v>44280</v>
      </c>
      <c r="B1547" s="116">
        <v>308</v>
      </c>
      <c r="C1547" s="116">
        <v>294.14999999999998</v>
      </c>
      <c r="D1547" s="116">
        <v>293.10000000000002</v>
      </c>
      <c r="E1547" s="116">
        <v>308</v>
      </c>
      <c r="F1547" s="116">
        <v>294.14999999999998</v>
      </c>
      <c r="G1547">
        <v>337484</v>
      </c>
      <c r="H1547" s="116"/>
      <c r="I1547" s="116"/>
      <c r="L1547" s="170">
        <v>44280</v>
      </c>
      <c r="M1547" s="116">
        <v>294.10000000000002</v>
      </c>
      <c r="N1547" s="116">
        <v>307.2</v>
      </c>
      <c r="O1547" s="116">
        <v>293</v>
      </c>
      <c r="P1547" s="116">
        <v>307</v>
      </c>
      <c r="Q1547" s="116">
        <v>294.10000000000002</v>
      </c>
      <c r="R1547">
        <v>6506272</v>
      </c>
    </row>
    <row r="1548" spans="1:18" x14ac:dyDescent="0.25">
      <c r="A1548" s="170">
        <v>44281</v>
      </c>
      <c r="B1548" s="116">
        <v>301.35000000000002</v>
      </c>
      <c r="C1548" s="116">
        <v>295</v>
      </c>
      <c r="D1548" s="116">
        <v>293.64999999999998</v>
      </c>
      <c r="E1548" s="116">
        <v>299</v>
      </c>
      <c r="F1548" s="116">
        <v>295</v>
      </c>
      <c r="G1548">
        <v>353984</v>
      </c>
      <c r="H1548" s="116"/>
      <c r="I1548" s="116"/>
      <c r="L1548" s="170">
        <v>44281</v>
      </c>
      <c r="M1548" s="116">
        <v>294.89999999999998</v>
      </c>
      <c r="N1548" s="116">
        <v>301.60000000000002</v>
      </c>
      <c r="O1548" s="116">
        <v>293.55</v>
      </c>
      <c r="P1548" s="116">
        <v>297.64999999999998</v>
      </c>
      <c r="Q1548" s="116">
        <v>294.89999999999998</v>
      </c>
      <c r="R1548">
        <v>7195972</v>
      </c>
    </row>
    <row r="1549" spans="1:18" x14ac:dyDescent="0.25">
      <c r="A1549" s="170">
        <v>44285</v>
      </c>
      <c r="B1549" s="116">
        <v>303.5</v>
      </c>
      <c r="C1549" s="116">
        <v>300.3</v>
      </c>
      <c r="D1549" s="116">
        <v>295.5</v>
      </c>
      <c r="E1549" s="116">
        <v>295.5</v>
      </c>
      <c r="F1549" s="116">
        <v>300.3</v>
      </c>
      <c r="G1549">
        <v>271511</v>
      </c>
      <c r="H1549" s="116"/>
      <c r="I1549" s="116"/>
      <c r="L1549" s="170">
        <v>44285</v>
      </c>
      <c r="M1549" s="116">
        <v>299.85000000000002</v>
      </c>
      <c r="N1549" s="116">
        <v>303.5</v>
      </c>
      <c r="O1549" s="116">
        <v>295.35000000000002</v>
      </c>
      <c r="P1549" s="116">
        <v>296.8</v>
      </c>
      <c r="Q1549" s="116">
        <v>299.85000000000002</v>
      </c>
      <c r="R1549">
        <v>6089054</v>
      </c>
    </row>
    <row r="1550" spans="1:18" x14ac:dyDescent="0.25">
      <c r="A1550" s="170">
        <v>44286</v>
      </c>
      <c r="B1550" s="116">
        <v>310.8</v>
      </c>
      <c r="C1550" s="116">
        <v>308.75</v>
      </c>
      <c r="D1550" s="116">
        <v>299.2</v>
      </c>
      <c r="E1550" s="116">
        <v>300</v>
      </c>
      <c r="F1550" s="116">
        <v>308.75</v>
      </c>
      <c r="G1550">
        <v>330552</v>
      </c>
      <c r="H1550" s="116"/>
      <c r="I1550" s="116"/>
      <c r="L1550" s="170">
        <v>44286</v>
      </c>
      <c r="M1550" s="116">
        <v>308.85000000000002</v>
      </c>
      <c r="N1550" s="116">
        <v>310.95</v>
      </c>
      <c r="O1550" s="116">
        <v>299</v>
      </c>
      <c r="P1550" s="116">
        <v>299.25</v>
      </c>
      <c r="Q1550" s="116">
        <v>308.85000000000002</v>
      </c>
      <c r="R1550">
        <v>7721201</v>
      </c>
    </row>
    <row r="1551" spans="1:18" x14ac:dyDescent="0.25">
      <c r="A1551" s="170">
        <v>44287</v>
      </c>
      <c r="B1551" s="116">
        <v>313.85000000000002</v>
      </c>
      <c r="C1551" s="116">
        <v>309.8</v>
      </c>
      <c r="D1551" s="116">
        <v>303.55</v>
      </c>
      <c r="E1551" s="116">
        <v>312.25</v>
      </c>
      <c r="F1551" s="116">
        <v>309.8</v>
      </c>
      <c r="G1551">
        <v>192715</v>
      </c>
      <c r="H1551" s="116"/>
      <c r="I1551" s="116"/>
      <c r="L1551" s="170">
        <v>44287</v>
      </c>
      <c r="M1551" s="116">
        <v>311</v>
      </c>
      <c r="N1551" s="116">
        <v>313.45</v>
      </c>
      <c r="O1551" s="116">
        <v>307.25</v>
      </c>
      <c r="P1551" s="116">
        <v>311.85000000000002</v>
      </c>
      <c r="Q1551" s="116">
        <v>311</v>
      </c>
      <c r="R1551">
        <v>4689185</v>
      </c>
    </row>
    <row r="1552" spans="1:18" x14ac:dyDescent="0.25">
      <c r="A1552" s="170">
        <v>44291</v>
      </c>
      <c r="B1552" s="116">
        <v>314.8</v>
      </c>
      <c r="C1552" s="116">
        <v>305.95</v>
      </c>
      <c r="D1552" s="116">
        <v>301.8</v>
      </c>
      <c r="E1552" s="116">
        <v>312</v>
      </c>
      <c r="F1552" s="116">
        <v>305.95</v>
      </c>
      <c r="G1552">
        <v>209882</v>
      </c>
      <c r="H1552" s="116"/>
      <c r="I1552" s="116"/>
      <c r="L1552" s="170">
        <v>44291</v>
      </c>
      <c r="M1552" s="116">
        <v>306.05</v>
      </c>
      <c r="N1552" s="116">
        <v>314.89999999999998</v>
      </c>
      <c r="O1552" s="116">
        <v>301.55</v>
      </c>
      <c r="P1552" s="116">
        <v>310.39999999999998</v>
      </c>
      <c r="Q1552" s="116">
        <v>306.05</v>
      </c>
      <c r="R1552">
        <v>7064466</v>
      </c>
    </row>
    <row r="1553" spans="1:18" x14ac:dyDescent="0.25">
      <c r="A1553" s="170">
        <v>44292</v>
      </c>
      <c r="B1553" s="116">
        <v>309.45</v>
      </c>
      <c r="C1553" s="116">
        <v>305.45</v>
      </c>
      <c r="D1553" s="116">
        <v>303.39999999999998</v>
      </c>
      <c r="E1553" s="116">
        <v>306.39999999999998</v>
      </c>
      <c r="F1553" s="116">
        <v>305.45</v>
      </c>
      <c r="G1553">
        <v>95015</v>
      </c>
      <c r="H1553" s="116"/>
      <c r="I1553" s="116"/>
      <c r="L1553" s="170">
        <v>44292</v>
      </c>
      <c r="M1553" s="116">
        <v>305.5</v>
      </c>
      <c r="N1553" s="116">
        <v>309.60000000000002</v>
      </c>
      <c r="O1553" s="116">
        <v>303.3</v>
      </c>
      <c r="P1553" s="116">
        <v>307</v>
      </c>
      <c r="Q1553" s="116">
        <v>305.5</v>
      </c>
      <c r="R1553">
        <v>4010075</v>
      </c>
    </row>
    <row r="1554" spans="1:18" x14ac:dyDescent="0.25">
      <c r="A1554" s="170">
        <v>44293</v>
      </c>
      <c r="B1554" s="116">
        <v>311.3</v>
      </c>
      <c r="C1554" s="116">
        <v>308.60000000000002</v>
      </c>
      <c r="D1554" s="116">
        <v>305.05</v>
      </c>
      <c r="E1554" s="116">
        <v>305.45</v>
      </c>
      <c r="F1554" s="116">
        <v>308.60000000000002</v>
      </c>
      <c r="G1554">
        <v>94591</v>
      </c>
      <c r="H1554" s="116"/>
      <c r="I1554" s="116"/>
      <c r="L1554" s="170">
        <v>44293</v>
      </c>
      <c r="M1554" s="116">
        <v>308.64999999999998</v>
      </c>
      <c r="N1554" s="116">
        <v>311.3</v>
      </c>
      <c r="O1554" s="116">
        <v>305.5</v>
      </c>
      <c r="P1554" s="116">
        <v>305.7</v>
      </c>
      <c r="Q1554" s="116">
        <v>308.64999999999998</v>
      </c>
      <c r="R1554">
        <v>2808495</v>
      </c>
    </row>
    <row r="1555" spans="1:18" x14ac:dyDescent="0.25">
      <c r="A1555" s="170">
        <v>44294</v>
      </c>
      <c r="B1555" s="116">
        <v>327</v>
      </c>
      <c r="C1555" s="116">
        <v>321.45</v>
      </c>
      <c r="D1555" s="116">
        <v>309.60000000000002</v>
      </c>
      <c r="E1555" s="116">
        <v>310</v>
      </c>
      <c r="F1555" s="116">
        <v>321.45</v>
      </c>
      <c r="G1555">
        <v>174729</v>
      </c>
      <c r="H1555" s="116"/>
      <c r="I1555" s="116"/>
      <c r="L1555" s="170">
        <v>44294</v>
      </c>
      <c r="M1555" s="116">
        <v>320.8</v>
      </c>
      <c r="N1555" s="116">
        <v>326.89999999999998</v>
      </c>
      <c r="O1555" s="116">
        <v>309.3</v>
      </c>
      <c r="P1555" s="116">
        <v>310</v>
      </c>
      <c r="Q1555" s="116">
        <v>320.8</v>
      </c>
      <c r="R1555">
        <v>7223424</v>
      </c>
    </row>
    <row r="1556" spans="1:18" x14ac:dyDescent="0.25">
      <c r="A1556" s="170">
        <v>44295</v>
      </c>
      <c r="B1556" s="116">
        <v>329.9</v>
      </c>
      <c r="C1556" s="116">
        <v>316.2</v>
      </c>
      <c r="D1556" s="116">
        <v>314.39999999999998</v>
      </c>
      <c r="E1556" s="116">
        <v>325.10000000000002</v>
      </c>
      <c r="F1556" s="116">
        <v>316.2</v>
      </c>
      <c r="G1556">
        <v>522683</v>
      </c>
      <c r="H1556" s="116"/>
      <c r="I1556" s="116"/>
      <c r="L1556" s="170">
        <v>44295</v>
      </c>
      <c r="M1556" s="116">
        <v>316.35000000000002</v>
      </c>
      <c r="N1556" s="116">
        <v>329.9</v>
      </c>
      <c r="O1556" s="116">
        <v>314.3</v>
      </c>
      <c r="P1556" s="116">
        <v>326</v>
      </c>
      <c r="Q1556" s="116">
        <v>316.35000000000002</v>
      </c>
      <c r="R1556">
        <v>13515479</v>
      </c>
    </row>
    <row r="1557" spans="1:18" x14ac:dyDescent="0.25">
      <c r="A1557" s="170">
        <v>44298</v>
      </c>
      <c r="B1557" s="116">
        <v>314</v>
      </c>
      <c r="C1557" s="116">
        <v>305</v>
      </c>
      <c r="D1557" s="116">
        <v>299.60000000000002</v>
      </c>
      <c r="E1557" s="116">
        <v>314</v>
      </c>
      <c r="F1557" s="116">
        <v>305</v>
      </c>
      <c r="G1557">
        <v>509277</v>
      </c>
      <c r="H1557" s="116"/>
      <c r="I1557" s="116"/>
      <c r="L1557" s="170">
        <v>44298</v>
      </c>
      <c r="M1557" s="116">
        <v>304.3</v>
      </c>
      <c r="N1557" s="116">
        <v>312.2</v>
      </c>
      <c r="O1557" s="116">
        <v>299.55</v>
      </c>
      <c r="P1557" s="116">
        <v>310.89999999999998</v>
      </c>
      <c r="Q1557" s="116">
        <v>304.3</v>
      </c>
      <c r="R1557">
        <v>10520709</v>
      </c>
    </row>
    <row r="1558" spans="1:18" x14ac:dyDescent="0.25">
      <c r="A1558" s="170">
        <v>44299</v>
      </c>
      <c r="B1558" s="116">
        <v>308.8</v>
      </c>
      <c r="C1558" s="116">
        <v>302.2</v>
      </c>
      <c r="D1558" s="116">
        <v>298.5</v>
      </c>
      <c r="E1558" s="116">
        <v>301.5</v>
      </c>
      <c r="F1558" s="116">
        <v>302.2</v>
      </c>
      <c r="G1558">
        <v>166536</v>
      </c>
      <c r="H1558" s="116"/>
      <c r="I1558" s="116"/>
      <c r="L1558" s="170">
        <v>44299</v>
      </c>
      <c r="M1558" s="116">
        <v>302.3</v>
      </c>
      <c r="N1558" s="116">
        <v>309.05</v>
      </c>
      <c r="O1558" s="116">
        <v>298.5</v>
      </c>
      <c r="P1558" s="116">
        <v>305</v>
      </c>
      <c r="Q1558" s="116">
        <v>302.3</v>
      </c>
      <c r="R1558">
        <v>5975419</v>
      </c>
    </row>
    <row r="1559" spans="1:18" x14ac:dyDescent="0.25">
      <c r="A1559" s="170">
        <v>44301</v>
      </c>
      <c r="B1559" s="116">
        <v>306.45</v>
      </c>
      <c r="C1559" s="116">
        <v>295.2</v>
      </c>
      <c r="D1559" s="116">
        <v>293.05</v>
      </c>
      <c r="E1559" s="116">
        <v>305.14999999999998</v>
      </c>
      <c r="F1559" s="116">
        <v>295.2</v>
      </c>
      <c r="G1559">
        <v>164380</v>
      </c>
      <c r="H1559" s="116"/>
      <c r="I1559" s="116"/>
      <c r="L1559" s="170">
        <v>44301</v>
      </c>
      <c r="M1559" s="116">
        <v>295.2</v>
      </c>
      <c r="N1559" s="116">
        <v>306.5</v>
      </c>
      <c r="O1559" s="116">
        <v>293</v>
      </c>
      <c r="P1559" s="116">
        <v>303</v>
      </c>
      <c r="Q1559" s="116">
        <v>295.2</v>
      </c>
      <c r="R1559">
        <v>9069002</v>
      </c>
    </row>
    <row r="1560" spans="1:18" x14ac:dyDescent="0.25">
      <c r="A1560" s="170">
        <v>44302</v>
      </c>
      <c r="B1560" s="116">
        <v>305.5</v>
      </c>
      <c r="C1560" s="116">
        <v>300.95</v>
      </c>
      <c r="D1560" s="116">
        <v>296.5</v>
      </c>
      <c r="E1560" s="116">
        <v>297.95</v>
      </c>
      <c r="F1560" s="116">
        <v>300.95</v>
      </c>
      <c r="G1560">
        <v>132990</v>
      </c>
      <c r="H1560" s="116"/>
      <c r="I1560" s="116"/>
      <c r="L1560" s="170">
        <v>44302</v>
      </c>
      <c r="M1560" s="116">
        <v>300.7</v>
      </c>
      <c r="N1560" s="116">
        <v>305.45</v>
      </c>
      <c r="O1560" s="116">
        <v>295.39999999999998</v>
      </c>
      <c r="P1560" s="116">
        <v>296.95</v>
      </c>
      <c r="Q1560" s="116">
        <v>300.7</v>
      </c>
      <c r="R1560">
        <v>5575878</v>
      </c>
    </row>
    <row r="1561" spans="1:18" x14ac:dyDescent="0.25">
      <c r="A1561" s="170">
        <v>44305</v>
      </c>
      <c r="B1561" s="116">
        <v>312.14999999999998</v>
      </c>
      <c r="C1561" s="116">
        <v>304.45</v>
      </c>
      <c r="D1561" s="116">
        <v>292.3</v>
      </c>
      <c r="E1561" s="116">
        <v>296</v>
      </c>
      <c r="F1561" s="116">
        <v>304.45</v>
      </c>
      <c r="G1561">
        <v>310174</v>
      </c>
      <c r="H1561" s="116"/>
      <c r="I1561" s="116"/>
      <c r="L1561" s="170">
        <v>44305</v>
      </c>
      <c r="M1561" s="116">
        <v>300.95</v>
      </c>
      <c r="N1561" s="116">
        <v>302.25</v>
      </c>
      <c r="O1561" s="116">
        <v>292.39999999999998</v>
      </c>
      <c r="P1561" s="116">
        <v>295</v>
      </c>
      <c r="Q1561" s="116">
        <v>300.95</v>
      </c>
      <c r="R1561">
        <v>7452061</v>
      </c>
    </row>
    <row r="1562" spans="1:18" x14ac:dyDescent="0.25">
      <c r="A1562" s="170">
        <v>44306</v>
      </c>
      <c r="B1562" s="116">
        <v>327</v>
      </c>
      <c r="C1562" s="116">
        <v>295.8</v>
      </c>
      <c r="D1562" s="116">
        <v>292.25</v>
      </c>
      <c r="E1562" s="116">
        <v>327</v>
      </c>
      <c r="F1562" s="116">
        <v>295.8</v>
      </c>
      <c r="G1562">
        <v>542216</v>
      </c>
      <c r="H1562" s="116"/>
      <c r="I1562" s="116"/>
      <c r="L1562" s="170">
        <v>44306</v>
      </c>
      <c r="M1562" s="116">
        <v>295.7</v>
      </c>
      <c r="N1562" s="116">
        <v>313.85000000000002</v>
      </c>
      <c r="O1562" s="116">
        <v>292.45</v>
      </c>
      <c r="P1562" s="116">
        <v>309.2</v>
      </c>
      <c r="Q1562" s="116">
        <v>295.7</v>
      </c>
      <c r="R1562">
        <v>12222234</v>
      </c>
    </row>
    <row r="1563" spans="1:18" x14ac:dyDescent="0.25">
      <c r="A1563" s="170">
        <v>44308</v>
      </c>
      <c r="B1563" s="116">
        <v>297.05</v>
      </c>
      <c r="C1563" s="116">
        <v>295.39999999999998</v>
      </c>
      <c r="D1563" s="116">
        <v>285.3</v>
      </c>
      <c r="E1563" s="116">
        <v>293.55</v>
      </c>
      <c r="F1563" s="116">
        <v>295.39999999999998</v>
      </c>
      <c r="G1563">
        <v>432633</v>
      </c>
      <c r="H1563" s="116"/>
      <c r="I1563" s="116"/>
      <c r="L1563" s="170">
        <v>44308</v>
      </c>
      <c r="M1563" s="116">
        <v>295.60000000000002</v>
      </c>
      <c r="N1563" s="116">
        <v>297.3</v>
      </c>
      <c r="O1563" s="116">
        <v>285.3</v>
      </c>
      <c r="P1563" s="116">
        <v>294.89999999999998</v>
      </c>
      <c r="Q1563" s="116">
        <v>295.60000000000002</v>
      </c>
      <c r="R1563">
        <v>7474006</v>
      </c>
    </row>
    <row r="1564" spans="1:18" x14ac:dyDescent="0.25">
      <c r="A1564" s="170">
        <v>44309</v>
      </c>
      <c r="B1564" s="116">
        <v>298.75</v>
      </c>
      <c r="C1564" s="116">
        <v>295.2</v>
      </c>
      <c r="D1564" s="116">
        <v>292.39999999999998</v>
      </c>
      <c r="E1564" s="116">
        <v>294.2</v>
      </c>
      <c r="F1564" s="116">
        <v>295.2</v>
      </c>
      <c r="G1564">
        <v>403737</v>
      </c>
      <c r="H1564" s="116"/>
      <c r="I1564" s="116"/>
      <c r="L1564" s="170">
        <v>44309</v>
      </c>
      <c r="M1564" s="116">
        <v>295.2</v>
      </c>
      <c r="N1564" s="116">
        <v>298.8</v>
      </c>
      <c r="O1564" s="116">
        <v>292.2</v>
      </c>
      <c r="P1564" s="116">
        <v>293.2</v>
      </c>
      <c r="Q1564" s="116">
        <v>295.2</v>
      </c>
      <c r="R1564">
        <v>6813166</v>
      </c>
    </row>
    <row r="1565" spans="1:18" x14ac:dyDescent="0.25">
      <c r="A1565" s="170">
        <v>44312</v>
      </c>
      <c r="B1565" s="116">
        <v>304.5</v>
      </c>
      <c r="C1565" s="116">
        <v>303.5</v>
      </c>
      <c r="D1565" s="116">
        <v>295.5</v>
      </c>
      <c r="E1565" s="116">
        <v>295.64999999999998</v>
      </c>
      <c r="F1565" s="116">
        <v>303.5</v>
      </c>
      <c r="G1565">
        <v>338237</v>
      </c>
      <c r="H1565" s="116"/>
      <c r="I1565" s="116"/>
      <c r="L1565" s="170">
        <v>44312</v>
      </c>
      <c r="M1565" s="116">
        <v>303.35000000000002</v>
      </c>
      <c r="N1565" s="116">
        <v>304.5</v>
      </c>
      <c r="O1565" s="116">
        <v>295.25</v>
      </c>
      <c r="P1565" s="116">
        <v>297</v>
      </c>
      <c r="Q1565" s="116">
        <v>303.35000000000002</v>
      </c>
      <c r="R1565">
        <v>5179998</v>
      </c>
    </row>
    <row r="1566" spans="1:18" x14ac:dyDescent="0.25">
      <c r="A1566" s="170">
        <v>44313</v>
      </c>
      <c r="B1566" s="116">
        <v>307.39999999999998</v>
      </c>
      <c r="C1566" s="116">
        <v>306.39999999999998</v>
      </c>
      <c r="D1566" s="116">
        <v>302.05</v>
      </c>
      <c r="E1566" s="116">
        <v>304.8</v>
      </c>
      <c r="F1566" s="116">
        <v>306.39999999999998</v>
      </c>
      <c r="G1566">
        <v>165450</v>
      </c>
      <c r="H1566" s="116"/>
      <c r="I1566" s="116"/>
      <c r="L1566" s="170">
        <v>44313</v>
      </c>
      <c r="M1566" s="116">
        <v>306.55</v>
      </c>
      <c r="N1566" s="116">
        <v>307.5</v>
      </c>
      <c r="O1566" s="116">
        <v>302.05</v>
      </c>
      <c r="P1566" s="116">
        <v>303.95</v>
      </c>
      <c r="Q1566" s="116">
        <v>306.55</v>
      </c>
      <c r="R1566">
        <v>3740765</v>
      </c>
    </row>
    <row r="1567" spans="1:18" x14ac:dyDescent="0.25">
      <c r="A1567" s="170">
        <v>44314</v>
      </c>
      <c r="B1567" s="116">
        <v>311.14999999999998</v>
      </c>
      <c r="C1567" s="116">
        <v>308.85000000000002</v>
      </c>
      <c r="D1567" s="116">
        <v>304.45</v>
      </c>
      <c r="E1567" s="116">
        <v>309</v>
      </c>
      <c r="F1567" s="116">
        <v>308.85000000000002</v>
      </c>
      <c r="G1567">
        <v>255432</v>
      </c>
      <c r="H1567" s="116"/>
      <c r="I1567" s="116"/>
      <c r="L1567" s="170">
        <v>44314</v>
      </c>
      <c r="M1567" s="116">
        <v>308.85000000000002</v>
      </c>
      <c r="N1567" s="116">
        <v>311.25</v>
      </c>
      <c r="O1567" s="116">
        <v>304.5</v>
      </c>
      <c r="P1567" s="116">
        <v>308.39999999999998</v>
      </c>
      <c r="Q1567" s="116">
        <v>308.85000000000002</v>
      </c>
      <c r="R1567">
        <v>4312684</v>
      </c>
    </row>
    <row r="1568" spans="1:18" x14ac:dyDescent="0.25">
      <c r="A1568" s="170">
        <v>44315</v>
      </c>
      <c r="B1568" s="116">
        <v>314.89999999999998</v>
      </c>
      <c r="C1568" s="116">
        <v>314</v>
      </c>
      <c r="D1568" s="116">
        <v>307.45</v>
      </c>
      <c r="E1568" s="116">
        <v>311.64999999999998</v>
      </c>
      <c r="F1568" s="116">
        <v>314</v>
      </c>
      <c r="G1568">
        <v>309513</v>
      </c>
      <c r="H1568" s="116"/>
      <c r="I1568" s="116"/>
      <c r="L1568" s="170">
        <v>44315</v>
      </c>
      <c r="M1568" s="116">
        <v>314.05</v>
      </c>
      <c r="N1568" s="116">
        <v>315</v>
      </c>
      <c r="O1568" s="116">
        <v>307.25</v>
      </c>
      <c r="P1568" s="116">
        <v>311</v>
      </c>
      <c r="Q1568" s="116">
        <v>314.05</v>
      </c>
      <c r="R1568">
        <v>6658734</v>
      </c>
    </row>
    <row r="1569" spans="1:18" x14ac:dyDescent="0.25">
      <c r="A1569" s="170">
        <v>44316</v>
      </c>
      <c r="B1569" s="116">
        <v>319.85000000000002</v>
      </c>
      <c r="C1569" s="116">
        <v>309</v>
      </c>
      <c r="D1569" s="116">
        <v>306.85000000000002</v>
      </c>
      <c r="E1569" s="116">
        <v>314.85000000000002</v>
      </c>
      <c r="F1569" s="116">
        <v>309</v>
      </c>
      <c r="G1569">
        <v>673516</v>
      </c>
      <c r="H1569" s="116"/>
      <c r="I1569" s="116"/>
      <c r="L1569" s="170">
        <v>44316</v>
      </c>
      <c r="M1569" s="116">
        <v>309.05</v>
      </c>
      <c r="N1569" s="116">
        <v>319.85000000000002</v>
      </c>
      <c r="O1569" s="116">
        <v>306.75</v>
      </c>
      <c r="P1569" s="116">
        <v>314</v>
      </c>
      <c r="Q1569" s="116">
        <v>309.05</v>
      </c>
      <c r="R1569">
        <v>19822885</v>
      </c>
    </row>
    <row r="1570" spans="1:18" x14ac:dyDescent="0.25">
      <c r="A1570" s="170">
        <v>44319</v>
      </c>
      <c r="B1570" s="116">
        <v>312.89999999999998</v>
      </c>
      <c r="C1570" s="116">
        <v>311.89999999999998</v>
      </c>
      <c r="D1570" s="116">
        <v>301.05</v>
      </c>
      <c r="E1570" s="116">
        <v>305</v>
      </c>
      <c r="F1570" s="116">
        <v>311.89999999999998</v>
      </c>
      <c r="G1570">
        <v>221364</v>
      </c>
      <c r="H1570" s="116"/>
      <c r="I1570" s="116"/>
      <c r="L1570" s="170">
        <v>44319</v>
      </c>
      <c r="M1570" s="116">
        <v>311.64999999999998</v>
      </c>
      <c r="N1570" s="116">
        <v>312.8</v>
      </c>
      <c r="O1570" s="116">
        <v>301.2</v>
      </c>
      <c r="P1570" s="116">
        <v>304.5</v>
      </c>
      <c r="Q1570" s="116">
        <v>311.64999999999998</v>
      </c>
      <c r="R1570">
        <v>6232670</v>
      </c>
    </row>
    <row r="1571" spans="1:18" x14ac:dyDescent="0.25">
      <c r="A1571" s="170">
        <v>44320</v>
      </c>
      <c r="B1571" s="116">
        <v>315</v>
      </c>
      <c r="C1571" s="116">
        <v>306.8</v>
      </c>
      <c r="D1571" s="116">
        <v>306.05</v>
      </c>
      <c r="E1571" s="116">
        <v>314</v>
      </c>
      <c r="F1571" s="116">
        <v>306.8</v>
      </c>
      <c r="G1571">
        <v>276477</v>
      </c>
      <c r="H1571" s="116"/>
      <c r="I1571" s="116"/>
      <c r="L1571" s="170">
        <v>44320</v>
      </c>
      <c r="M1571" s="116">
        <v>306.95</v>
      </c>
      <c r="N1571" s="116">
        <v>315</v>
      </c>
      <c r="O1571" s="116">
        <v>306.2</v>
      </c>
      <c r="P1571" s="116">
        <v>315</v>
      </c>
      <c r="Q1571" s="116">
        <v>306.95</v>
      </c>
      <c r="R1571">
        <v>5668182</v>
      </c>
    </row>
    <row r="1572" spans="1:18" x14ac:dyDescent="0.25">
      <c r="A1572" s="170">
        <v>44321</v>
      </c>
      <c r="B1572" s="116">
        <v>312.10000000000002</v>
      </c>
      <c r="C1572" s="116">
        <v>311.2</v>
      </c>
      <c r="D1572" s="116">
        <v>307.35000000000002</v>
      </c>
      <c r="E1572" s="116">
        <v>311</v>
      </c>
      <c r="F1572" s="116">
        <v>311.2</v>
      </c>
      <c r="G1572">
        <v>258357</v>
      </c>
      <c r="H1572" s="116"/>
      <c r="I1572" s="116"/>
      <c r="L1572" s="170">
        <v>44321</v>
      </c>
      <c r="M1572" s="116">
        <v>311.45</v>
      </c>
      <c r="N1572" s="116">
        <v>312.3</v>
      </c>
      <c r="O1572" s="116">
        <v>307.14999999999998</v>
      </c>
      <c r="P1572" s="116">
        <v>310.89999999999998</v>
      </c>
      <c r="Q1572" s="116">
        <v>311.45</v>
      </c>
      <c r="R1572">
        <v>2600385</v>
      </c>
    </row>
    <row r="1573" spans="1:18" x14ac:dyDescent="0.25">
      <c r="A1573" s="170">
        <v>44322</v>
      </c>
      <c r="B1573" s="116">
        <v>316.14999999999998</v>
      </c>
      <c r="C1573" s="116">
        <v>314.5</v>
      </c>
      <c r="D1573" s="116">
        <v>310.2</v>
      </c>
      <c r="E1573" s="116">
        <v>314</v>
      </c>
      <c r="F1573" s="116">
        <v>314.5</v>
      </c>
      <c r="G1573">
        <v>99088</v>
      </c>
      <c r="H1573" s="116"/>
      <c r="I1573" s="116"/>
      <c r="L1573" s="170">
        <v>44322</v>
      </c>
      <c r="M1573" s="116">
        <v>314.39999999999998</v>
      </c>
      <c r="N1573" s="116">
        <v>316.2</v>
      </c>
      <c r="O1573" s="116">
        <v>310.10000000000002</v>
      </c>
      <c r="P1573" s="116">
        <v>313</v>
      </c>
      <c r="Q1573" s="116">
        <v>314.39999999999998</v>
      </c>
      <c r="R1573">
        <v>3861134</v>
      </c>
    </row>
    <row r="1574" spans="1:18" x14ac:dyDescent="0.25">
      <c r="A1574" s="170">
        <v>44323</v>
      </c>
      <c r="B1574" s="116">
        <v>317.64999999999998</v>
      </c>
      <c r="C1574" s="116">
        <v>312.3</v>
      </c>
      <c r="D1574" s="116">
        <v>311</v>
      </c>
      <c r="E1574" s="116">
        <v>313.5</v>
      </c>
      <c r="F1574" s="116">
        <v>312.3</v>
      </c>
      <c r="G1574">
        <v>212473</v>
      </c>
      <c r="H1574" s="116"/>
      <c r="I1574" s="116"/>
      <c r="L1574" s="170">
        <v>44323</v>
      </c>
      <c r="M1574" s="116">
        <v>312.25</v>
      </c>
      <c r="N1574" s="116">
        <v>317.8</v>
      </c>
      <c r="O1574" s="116">
        <v>311.10000000000002</v>
      </c>
      <c r="P1574" s="116">
        <v>315</v>
      </c>
      <c r="Q1574" s="116">
        <v>312.25</v>
      </c>
      <c r="R1574">
        <v>3399984</v>
      </c>
    </row>
    <row r="1575" spans="1:18" x14ac:dyDescent="0.25">
      <c r="A1575" s="170">
        <v>44326</v>
      </c>
      <c r="B1575" s="116">
        <v>315.10000000000002</v>
      </c>
      <c r="C1575" s="116">
        <v>311.85000000000002</v>
      </c>
      <c r="D1575" s="116">
        <v>310.05</v>
      </c>
      <c r="E1575" s="116">
        <v>314.89999999999998</v>
      </c>
      <c r="F1575" s="116">
        <v>311.85000000000002</v>
      </c>
      <c r="G1575">
        <v>480100</v>
      </c>
      <c r="H1575" s="116"/>
      <c r="I1575" s="116"/>
      <c r="L1575" s="170">
        <v>44326</v>
      </c>
      <c r="M1575" s="116">
        <v>311.35000000000002</v>
      </c>
      <c r="N1575" s="116">
        <v>315.14999999999998</v>
      </c>
      <c r="O1575" s="116">
        <v>310</v>
      </c>
      <c r="P1575" s="116">
        <v>314.2</v>
      </c>
      <c r="Q1575" s="116">
        <v>311.35000000000002</v>
      </c>
      <c r="R1575">
        <v>4632214</v>
      </c>
    </row>
    <row r="1576" spans="1:18" x14ac:dyDescent="0.25">
      <c r="A1576" s="170">
        <v>44327</v>
      </c>
      <c r="B1576" s="116">
        <v>316.89999999999998</v>
      </c>
      <c r="C1576" s="116">
        <v>314.89999999999998</v>
      </c>
      <c r="D1576" s="116">
        <v>306</v>
      </c>
      <c r="E1576" s="116">
        <v>307</v>
      </c>
      <c r="F1576" s="116">
        <v>314.89999999999998</v>
      </c>
      <c r="G1576">
        <v>176342</v>
      </c>
      <c r="H1576" s="116"/>
      <c r="I1576" s="116"/>
      <c r="L1576" s="170">
        <v>44327</v>
      </c>
      <c r="M1576" s="116">
        <v>314.89999999999998</v>
      </c>
      <c r="N1576" s="116">
        <v>316.89999999999998</v>
      </c>
      <c r="O1576" s="116">
        <v>306.10000000000002</v>
      </c>
      <c r="P1576" s="116">
        <v>307.5</v>
      </c>
      <c r="Q1576" s="116">
        <v>314.89999999999998</v>
      </c>
      <c r="R1576">
        <v>3809984</v>
      </c>
    </row>
    <row r="1577" spans="1:18" x14ac:dyDescent="0.25">
      <c r="A1577" s="170">
        <v>44328</v>
      </c>
      <c r="B1577" s="116">
        <v>314.85000000000002</v>
      </c>
      <c r="C1577" s="116">
        <v>309</v>
      </c>
      <c r="D1577" s="116">
        <v>308</v>
      </c>
      <c r="E1577" s="116">
        <v>311.5</v>
      </c>
      <c r="F1577" s="116">
        <v>309</v>
      </c>
      <c r="G1577">
        <v>131029</v>
      </c>
      <c r="H1577" s="116"/>
      <c r="I1577" s="116"/>
      <c r="L1577" s="170">
        <v>44328</v>
      </c>
      <c r="M1577" s="116">
        <v>309.05</v>
      </c>
      <c r="N1577" s="116">
        <v>314.89999999999998</v>
      </c>
      <c r="O1577" s="116">
        <v>308.05</v>
      </c>
      <c r="P1577" s="116">
        <v>313.89999999999998</v>
      </c>
      <c r="Q1577" s="116">
        <v>309.05</v>
      </c>
      <c r="R1577">
        <v>3974894</v>
      </c>
    </row>
    <row r="1578" spans="1:18" x14ac:dyDescent="0.25">
      <c r="A1578" s="170">
        <v>44330</v>
      </c>
      <c r="B1578" s="116">
        <v>310.95</v>
      </c>
      <c r="C1578" s="116">
        <v>307</v>
      </c>
      <c r="D1578" s="116">
        <v>300.2</v>
      </c>
      <c r="E1578" s="116">
        <v>309.5</v>
      </c>
      <c r="F1578" s="116">
        <v>307</v>
      </c>
      <c r="G1578">
        <v>123953</v>
      </c>
      <c r="H1578" s="116"/>
      <c r="I1578" s="116"/>
      <c r="L1578" s="170">
        <v>44330</v>
      </c>
      <c r="M1578" s="116">
        <v>307.10000000000002</v>
      </c>
      <c r="N1578" s="116">
        <v>311.85000000000002</v>
      </c>
      <c r="O1578" s="116">
        <v>300</v>
      </c>
      <c r="P1578" s="116">
        <v>309.10000000000002</v>
      </c>
      <c r="Q1578" s="116">
        <v>307.10000000000002</v>
      </c>
      <c r="R1578">
        <v>4140603</v>
      </c>
    </row>
    <row r="1579" spans="1:18" x14ac:dyDescent="0.25">
      <c r="A1579" s="170">
        <v>44333</v>
      </c>
      <c r="B1579" s="116">
        <v>311.75</v>
      </c>
      <c r="C1579" s="116">
        <v>310.3</v>
      </c>
      <c r="D1579" s="116">
        <v>304.7</v>
      </c>
      <c r="E1579" s="116">
        <v>309</v>
      </c>
      <c r="F1579" s="116">
        <v>310.3</v>
      </c>
      <c r="G1579">
        <v>98974</v>
      </c>
      <c r="H1579" s="116"/>
      <c r="I1579" s="116"/>
      <c r="L1579" s="170">
        <v>44333</v>
      </c>
      <c r="M1579" s="116">
        <v>310.2</v>
      </c>
      <c r="N1579" s="116">
        <v>311.7</v>
      </c>
      <c r="O1579" s="116">
        <v>304.55</v>
      </c>
      <c r="P1579" s="116">
        <v>307.89999999999998</v>
      </c>
      <c r="Q1579" s="116">
        <v>310.2</v>
      </c>
      <c r="R1579">
        <v>4763864</v>
      </c>
    </row>
    <row r="1580" spans="1:18" x14ac:dyDescent="0.25">
      <c r="A1580" s="170">
        <v>44334</v>
      </c>
      <c r="B1580" s="116">
        <v>316.89999999999998</v>
      </c>
      <c r="C1580" s="116">
        <v>315.45</v>
      </c>
      <c r="D1580" s="116">
        <v>310.14999999999998</v>
      </c>
      <c r="E1580" s="116">
        <v>313</v>
      </c>
      <c r="F1580" s="116">
        <v>315.45</v>
      </c>
      <c r="G1580">
        <v>341340</v>
      </c>
      <c r="H1580" s="116"/>
      <c r="I1580" s="116"/>
      <c r="L1580" s="170">
        <v>44334</v>
      </c>
      <c r="M1580" s="116">
        <v>315.64999999999998</v>
      </c>
      <c r="N1580" s="116">
        <v>316.95</v>
      </c>
      <c r="O1580" s="116">
        <v>310.10000000000002</v>
      </c>
      <c r="P1580" s="116">
        <v>314.5</v>
      </c>
      <c r="Q1580" s="116">
        <v>315.64999999999998</v>
      </c>
      <c r="R1580">
        <v>4169602</v>
      </c>
    </row>
    <row r="1581" spans="1:18" x14ac:dyDescent="0.25">
      <c r="A1581" s="170">
        <v>44335</v>
      </c>
      <c r="B1581" s="116">
        <v>324.75</v>
      </c>
      <c r="C1581" s="116">
        <v>317.60000000000002</v>
      </c>
      <c r="D1581" s="116">
        <v>314.64999999999998</v>
      </c>
      <c r="E1581" s="116">
        <v>316.95</v>
      </c>
      <c r="F1581" s="116">
        <v>317.60000000000002</v>
      </c>
      <c r="G1581">
        <v>341661</v>
      </c>
      <c r="H1581" s="116"/>
      <c r="I1581" s="116"/>
      <c r="L1581" s="170">
        <v>44335</v>
      </c>
      <c r="M1581" s="116">
        <v>317.64999999999998</v>
      </c>
      <c r="N1581" s="116">
        <v>324.89999999999998</v>
      </c>
      <c r="O1581" s="116">
        <v>315</v>
      </c>
      <c r="P1581" s="116">
        <v>315.5</v>
      </c>
      <c r="Q1581" s="116">
        <v>317.64999999999998</v>
      </c>
      <c r="R1581">
        <v>10886866</v>
      </c>
    </row>
    <row r="1582" spans="1:18" x14ac:dyDescent="0.25">
      <c r="A1582" s="170">
        <v>44336</v>
      </c>
      <c r="B1582" s="116">
        <v>321.95</v>
      </c>
      <c r="C1582" s="116">
        <v>320.05</v>
      </c>
      <c r="D1582" s="116">
        <v>314.5</v>
      </c>
      <c r="E1582" s="116">
        <v>321.89999999999998</v>
      </c>
      <c r="F1582" s="116">
        <v>320.05</v>
      </c>
      <c r="G1582">
        <v>209620</v>
      </c>
      <c r="H1582" s="116"/>
      <c r="I1582" s="116"/>
      <c r="L1582" s="170">
        <v>44336</v>
      </c>
      <c r="M1582" s="116">
        <v>320</v>
      </c>
      <c r="N1582" s="116">
        <v>322</v>
      </c>
      <c r="O1582" s="116">
        <v>314.35000000000002</v>
      </c>
      <c r="P1582" s="116">
        <v>319.45</v>
      </c>
      <c r="Q1582" s="116">
        <v>320</v>
      </c>
      <c r="R1582">
        <v>5608173</v>
      </c>
    </row>
    <row r="1583" spans="1:18" x14ac:dyDescent="0.25">
      <c r="A1583" s="170">
        <v>44337</v>
      </c>
      <c r="B1583" s="116">
        <v>324.3</v>
      </c>
      <c r="C1583" s="116">
        <v>321.2</v>
      </c>
      <c r="D1583" s="116">
        <v>320.39999999999998</v>
      </c>
      <c r="E1583" s="116">
        <v>321.5</v>
      </c>
      <c r="F1583" s="116">
        <v>321.2</v>
      </c>
      <c r="G1583">
        <v>189281</v>
      </c>
      <c r="H1583" s="116"/>
      <c r="I1583" s="116"/>
      <c r="L1583" s="170">
        <v>44337</v>
      </c>
      <c r="M1583" s="116">
        <v>321.45</v>
      </c>
      <c r="N1583" s="116">
        <v>324.35000000000002</v>
      </c>
      <c r="O1583" s="116">
        <v>320.25</v>
      </c>
      <c r="P1583" s="116">
        <v>322.7</v>
      </c>
      <c r="Q1583" s="116">
        <v>321.45</v>
      </c>
      <c r="R1583">
        <v>4039119</v>
      </c>
    </row>
    <row r="1584" spans="1:18" x14ac:dyDescent="0.25">
      <c r="A1584" s="170">
        <v>44340</v>
      </c>
      <c r="B1584" s="116">
        <v>328.25</v>
      </c>
      <c r="C1584" s="116">
        <v>326.25</v>
      </c>
      <c r="D1584" s="116">
        <v>319.60000000000002</v>
      </c>
      <c r="E1584" s="116">
        <v>322</v>
      </c>
      <c r="F1584" s="116">
        <v>326.25</v>
      </c>
      <c r="G1584">
        <v>113076</v>
      </c>
      <c r="H1584" s="116"/>
      <c r="I1584" s="116"/>
      <c r="L1584" s="170">
        <v>44340</v>
      </c>
      <c r="M1584" s="116">
        <v>326.2</v>
      </c>
      <c r="N1584" s="116">
        <v>328.3</v>
      </c>
      <c r="O1584" s="116">
        <v>319.5</v>
      </c>
      <c r="P1584" s="116">
        <v>321.45</v>
      </c>
      <c r="Q1584" s="116">
        <v>326.2</v>
      </c>
      <c r="R1584">
        <v>4875842</v>
      </c>
    </row>
    <row r="1585" spans="1:18" x14ac:dyDescent="0.25">
      <c r="A1585" s="170">
        <v>44341</v>
      </c>
      <c r="B1585" s="116">
        <v>327.14999999999998</v>
      </c>
      <c r="C1585" s="116">
        <v>322.45</v>
      </c>
      <c r="D1585" s="116">
        <v>321.3</v>
      </c>
      <c r="E1585" s="116">
        <v>325.5</v>
      </c>
      <c r="F1585" s="116">
        <v>322.45</v>
      </c>
      <c r="G1585">
        <v>303825</v>
      </c>
      <c r="H1585" s="116"/>
      <c r="I1585" s="116"/>
      <c r="L1585" s="170">
        <v>44341</v>
      </c>
      <c r="M1585" s="116">
        <v>322.3</v>
      </c>
      <c r="N1585" s="116">
        <v>327.10000000000002</v>
      </c>
      <c r="O1585" s="116">
        <v>321.25</v>
      </c>
      <c r="P1585" s="116">
        <v>326.55</v>
      </c>
      <c r="Q1585" s="116">
        <v>322.3</v>
      </c>
      <c r="R1585">
        <v>3511483</v>
      </c>
    </row>
    <row r="1586" spans="1:18" x14ac:dyDescent="0.25">
      <c r="A1586" s="170">
        <v>44342</v>
      </c>
      <c r="B1586" s="116">
        <v>324.89999999999998</v>
      </c>
      <c r="C1586" s="116">
        <v>322.89999999999998</v>
      </c>
      <c r="D1586" s="116">
        <v>319.35000000000002</v>
      </c>
      <c r="E1586" s="116">
        <v>322.45</v>
      </c>
      <c r="F1586" s="116">
        <v>322.89999999999998</v>
      </c>
      <c r="G1586">
        <v>133840</v>
      </c>
      <c r="H1586" s="116"/>
      <c r="I1586" s="116"/>
      <c r="L1586" s="170">
        <v>44342</v>
      </c>
      <c r="M1586" s="116">
        <v>323.10000000000002</v>
      </c>
      <c r="N1586" s="116">
        <v>325</v>
      </c>
      <c r="O1586" s="116">
        <v>319.39999999999998</v>
      </c>
      <c r="P1586" s="116">
        <v>322.3</v>
      </c>
      <c r="Q1586" s="116">
        <v>323.10000000000002</v>
      </c>
      <c r="R1586">
        <v>3103367</v>
      </c>
    </row>
    <row r="1587" spans="1:18" x14ac:dyDescent="0.25">
      <c r="A1587" s="170">
        <v>44343</v>
      </c>
      <c r="B1587" s="116">
        <v>335.3</v>
      </c>
      <c r="C1587" s="116">
        <v>331.15</v>
      </c>
      <c r="D1587" s="116">
        <v>319.39999999999998</v>
      </c>
      <c r="E1587" s="116">
        <v>322.95</v>
      </c>
      <c r="F1587" s="116">
        <v>331.15</v>
      </c>
      <c r="G1587">
        <v>281923</v>
      </c>
      <c r="H1587" s="116"/>
      <c r="I1587" s="116"/>
      <c r="L1587" s="170">
        <v>44343</v>
      </c>
      <c r="M1587" s="116">
        <v>330.1</v>
      </c>
      <c r="N1587" s="116">
        <v>335</v>
      </c>
      <c r="O1587" s="116">
        <v>319.5</v>
      </c>
      <c r="P1587" s="116">
        <v>322</v>
      </c>
      <c r="Q1587" s="116">
        <v>330.1</v>
      </c>
      <c r="R1587">
        <v>12478623</v>
      </c>
    </row>
    <row r="1588" spans="1:18" x14ac:dyDescent="0.25">
      <c r="A1588" s="170">
        <v>44344</v>
      </c>
      <c r="B1588" s="116">
        <v>331.3</v>
      </c>
      <c r="C1588" s="116">
        <v>325.45</v>
      </c>
      <c r="D1588" s="116">
        <v>324.25</v>
      </c>
      <c r="E1588" s="116">
        <v>331.15</v>
      </c>
      <c r="F1588" s="116">
        <v>325.45</v>
      </c>
      <c r="G1588">
        <v>163260</v>
      </c>
      <c r="H1588" s="116"/>
      <c r="I1588" s="116"/>
      <c r="L1588" s="170">
        <v>44344</v>
      </c>
      <c r="M1588" s="116">
        <v>325.64999999999998</v>
      </c>
      <c r="N1588" s="116">
        <v>331.4</v>
      </c>
      <c r="O1588" s="116">
        <v>324.25</v>
      </c>
      <c r="P1588" s="116">
        <v>330.1</v>
      </c>
      <c r="Q1588" s="116">
        <v>325.64999999999998</v>
      </c>
      <c r="R1588">
        <v>2648245</v>
      </c>
    </row>
    <row r="1589" spans="1:18" x14ac:dyDescent="0.25">
      <c r="A1589" s="170">
        <v>44347</v>
      </c>
      <c r="B1589" s="116">
        <v>328.4</v>
      </c>
      <c r="C1589" s="116">
        <v>326.64999999999998</v>
      </c>
      <c r="D1589" s="116">
        <v>322.8</v>
      </c>
      <c r="E1589" s="116">
        <v>326</v>
      </c>
      <c r="F1589" s="116">
        <v>326.64999999999998</v>
      </c>
      <c r="G1589">
        <v>239531</v>
      </c>
      <c r="H1589" s="116"/>
      <c r="I1589" s="116"/>
      <c r="L1589" s="170">
        <v>44347</v>
      </c>
      <c r="M1589" s="116">
        <v>326.8</v>
      </c>
      <c r="N1589" s="116">
        <v>328.45</v>
      </c>
      <c r="O1589" s="116">
        <v>322.5</v>
      </c>
      <c r="P1589" s="116">
        <v>325.39999999999998</v>
      </c>
      <c r="Q1589" s="116">
        <v>326.8</v>
      </c>
      <c r="R1589">
        <v>2664186</v>
      </c>
    </row>
    <row r="1590" spans="1:18" x14ac:dyDescent="0.25">
      <c r="A1590" s="170">
        <v>44348</v>
      </c>
      <c r="B1590" s="116">
        <v>328.95</v>
      </c>
      <c r="C1590" s="116">
        <v>324.2</v>
      </c>
      <c r="D1590" s="116">
        <v>323.14999999999998</v>
      </c>
      <c r="E1590" s="116">
        <v>328.2</v>
      </c>
      <c r="F1590" s="116">
        <v>324.2</v>
      </c>
      <c r="G1590">
        <v>609200</v>
      </c>
      <c r="H1590" s="116"/>
      <c r="I1590" s="116"/>
      <c r="L1590" s="170">
        <v>44348</v>
      </c>
      <c r="M1590" s="116">
        <v>324.2</v>
      </c>
      <c r="N1590" s="116">
        <v>328.9</v>
      </c>
      <c r="O1590" s="116">
        <v>323.10000000000002</v>
      </c>
      <c r="P1590" s="116">
        <v>327</v>
      </c>
      <c r="Q1590" s="116">
        <v>324.2</v>
      </c>
      <c r="R1590">
        <v>2649537</v>
      </c>
    </row>
    <row r="1591" spans="1:18" x14ac:dyDescent="0.25">
      <c r="A1591" s="170">
        <v>44349</v>
      </c>
      <c r="B1591" s="116">
        <v>332.4</v>
      </c>
      <c r="C1591" s="116">
        <v>330.95</v>
      </c>
      <c r="D1591" s="116">
        <v>323.39999999999998</v>
      </c>
      <c r="E1591" s="116">
        <v>325.14999999999998</v>
      </c>
      <c r="F1591" s="116">
        <v>330.95</v>
      </c>
      <c r="G1591">
        <v>212256</v>
      </c>
      <c r="H1591" s="116"/>
      <c r="I1591" s="116"/>
      <c r="L1591" s="170">
        <v>44349</v>
      </c>
      <c r="M1591" s="116">
        <v>331.1</v>
      </c>
      <c r="N1591" s="116">
        <v>332.4</v>
      </c>
      <c r="O1591" s="116">
        <v>322.55</v>
      </c>
      <c r="P1591" s="116">
        <v>324.39999999999998</v>
      </c>
      <c r="Q1591" s="116">
        <v>331.1</v>
      </c>
      <c r="R1591">
        <v>5346766</v>
      </c>
    </row>
    <row r="1592" spans="1:18" x14ac:dyDescent="0.25">
      <c r="A1592" s="170">
        <v>44350</v>
      </c>
      <c r="B1592" s="116">
        <v>336</v>
      </c>
      <c r="C1592" s="116">
        <v>333.45</v>
      </c>
      <c r="D1592" s="116">
        <v>331.6</v>
      </c>
      <c r="E1592" s="116">
        <v>333.4</v>
      </c>
      <c r="F1592" s="116">
        <v>333.45</v>
      </c>
      <c r="G1592">
        <v>130083</v>
      </c>
      <c r="H1592" s="116"/>
      <c r="I1592" s="116"/>
      <c r="L1592" s="170">
        <v>44350</v>
      </c>
      <c r="M1592" s="116">
        <v>333.95</v>
      </c>
      <c r="N1592" s="116">
        <v>336</v>
      </c>
      <c r="O1592" s="116">
        <v>331.4</v>
      </c>
      <c r="P1592" s="116">
        <v>332.1</v>
      </c>
      <c r="Q1592" s="116">
        <v>333.95</v>
      </c>
      <c r="R1592">
        <v>3322366</v>
      </c>
    </row>
    <row r="1593" spans="1:18" x14ac:dyDescent="0.25">
      <c r="A1593" s="170">
        <v>44351</v>
      </c>
      <c r="B1593" s="116">
        <v>337.2</v>
      </c>
      <c r="C1593" s="116">
        <v>332</v>
      </c>
      <c r="D1593" s="116">
        <v>331.25</v>
      </c>
      <c r="E1593" s="116">
        <v>333.45</v>
      </c>
      <c r="F1593" s="116">
        <v>332</v>
      </c>
      <c r="G1593">
        <v>91428</v>
      </c>
      <c r="H1593" s="116"/>
      <c r="I1593" s="116"/>
      <c r="L1593" s="170">
        <v>44351</v>
      </c>
      <c r="M1593" s="116">
        <v>332.05</v>
      </c>
      <c r="N1593" s="116">
        <v>337.3</v>
      </c>
      <c r="O1593" s="116">
        <v>331.2</v>
      </c>
      <c r="P1593" s="116">
        <v>333.8</v>
      </c>
      <c r="Q1593" s="116">
        <v>332.05</v>
      </c>
      <c r="R1593">
        <v>1739342</v>
      </c>
    </row>
    <row r="1594" spans="1:18" x14ac:dyDescent="0.25">
      <c r="A1594" s="170">
        <v>44354</v>
      </c>
      <c r="B1594" s="116">
        <v>342.6</v>
      </c>
      <c r="C1594" s="116">
        <v>339.05</v>
      </c>
      <c r="D1594" s="116">
        <v>333.1</v>
      </c>
      <c r="E1594" s="116">
        <v>336.4</v>
      </c>
      <c r="F1594" s="116">
        <v>339.05</v>
      </c>
      <c r="G1594">
        <v>142008</v>
      </c>
      <c r="H1594" s="116"/>
      <c r="I1594" s="116"/>
      <c r="L1594" s="170">
        <v>44354</v>
      </c>
      <c r="M1594" s="116">
        <v>339.05</v>
      </c>
      <c r="N1594" s="116">
        <v>342.8</v>
      </c>
      <c r="O1594" s="116">
        <v>333.15</v>
      </c>
      <c r="P1594" s="116">
        <v>333.8</v>
      </c>
      <c r="Q1594" s="116">
        <v>339.05</v>
      </c>
      <c r="R1594">
        <v>4163074</v>
      </c>
    </row>
    <row r="1595" spans="1:18" x14ac:dyDescent="0.25">
      <c r="A1595" s="170">
        <v>44355</v>
      </c>
      <c r="B1595" s="116">
        <v>341.75</v>
      </c>
      <c r="C1595" s="116">
        <v>340.25</v>
      </c>
      <c r="D1595" s="116">
        <v>336.3</v>
      </c>
      <c r="E1595" s="116">
        <v>341.5</v>
      </c>
      <c r="F1595" s="116">
        <v>340.25</v>
      </c>
      <c r="G1595">
        <v>106344</v>
      </c>
      <c r="H1595" s="116"/>
      <c r="I1595" s="116"/>
      <c r="L1595" s="170">
        <v>44355</v>
      </c>
      <c r="M1595" s="116">
        <v>340.35</v>
      </c>
      <c r="N1595" s="116">
        <v>341.8</v>
      </c>
      <c r="O1595" s="116">
        <v>336.4</v>
      </c>
      <c r="P1595" s="116">
        <v>340.35</v>
      </c>
      <c r="Q1595" s="116">
        <v>340.35</v>
      </c>
      <c r="R1595">
        <v>2954871</v>
      </c>
    </row>
    <row r="1596" spans="1:18" x14ac:dyDescent="0.25">
      <c r="A1596" s="170">
        <v>44356</v>
      </c>
      <c r="B1596" s="116">
        <v>342.35</v>
      </c>
      <c r="C1596" s="116">
        <v>334.7</v>
      </c>
      <c r="D1596" s="116">
        <v>332.4</v>
      </c>
      <c r="E1596" s="116">
        <v>342.35</v>
      </c>
      <c r="F1596" s="116">
        <v>334.7</v>
      </c>
      <c r="G1596">
        <v>75654</v>
      </c>
      <c r="H1596" s="116"/>
      <c r="I1596" s="116"/>
      <c r="L1596" s="170">
        <v>44356</v>
      </c>
      <c r="M1596" s="116">
        <v>334.35</v>
      </c>
      <c r="N1596" s="116">
        <v>341.6</v>
      </c>
      <c r="O1596" s="116">
        <v>332.25</v>
      </c>
      <c r="P1596" s="116">
        <v>340</v>
      </c>
      <c r="Q1596" s="116">
        <v>334.35</v>
      </c>
      <c r="R1596">
        <v>2484987</v>
      </c>
    </row>
    <row r="1597" spans="1:18" x14ac:dyDescent="0.25">
      <c r="A1597" s="170">
        <v>44357</v>
      </c>
      <c r="B1597" s="116">
        <v>344</v>
      </c>
      <c r="C1597" s="116">
        <v>341.7</v>
      </c>
      <c r="D1597" s="116">
        <v>335</v>
      </c>
      <c r="E1597" s="116">
        <v>335.1</v>
      </c>
      <c r="F1597" s="116">
        <v>341.7</v>
      </c>
      <c r="G1597">
        <v>158243</v>
      </c>
      <c r="H1597" s="116"/>
      <c r="I1597" s="116"/>
      <c r="L1597" s="170">
        <v>44357</v>
      </c>
      <c r="M1597" s="116">
        <v>341.55</v>
      </c>
      <c r="N1597" s="116">
        <v>344.15</v>
      </c>
      <c r="O1597" s="116">
        <v>334.8</v>
      </c>
      <c r="P1597" s="116">
        <v>335.8</v>
      </c>
      <c r="Q1597" s="116">
        <v>341.55</v>
      </c>
      <c r="R1597">
        <v>3729387</v>
      </c>
    </row>
    <row r="1598" spans="1:18" x14ac:dyDescent="0.25">
      <c r="A1598" s="170">
        <v>44358</v>
      </c>
      <c r="B1598" s="116">
        <v>343.2</v>
      </c>
      <c r="C1598" s="116">
        <v>337.7</v>
      </c>
      <c r="D1598" s="116">
        <v>336.05</v>
      </c>
      <c r="E1598" s="116">
        <v>341.9</v>
      </c>
      <c r="F1598" s="116">
        <v>337.7</v>
      </c>
      <c r="G1598">
        <v>78957</v>
      </c>
      <c r="H1598" s="116"/>
      <c r="I1598" s="116"/>
      <c r="L1598" s="170">
        <v>44358</v>
      </c>
      <c r="M1598" s="116">
        <v>337.7</v>
      </c>
      <c r="N1598" s="116">
        <v>343.2</v>
      </c>
      <c r="O1598" s="116">
        <v>335.95</v>
      </c>
      <c r="P1598" s="116">
        <v>341.9</v>
      </c>
      <c r="Q1598" s="116">
        <v>337.7</v>
      </c>
      <c r="R1598">
        <v>1478762</v>
      </c>
    </row>
    <row r="1599" spans="1:18" x14ac:dyDescent="0.25">
      <c r="A1599" s="170">
        <v>44361</v>
      </c>
      <c r="B1599" s="116">
        <v>340.65</v>
      </c>
      <c r="C1599" s="116">
        <v>340.25</v>
      </c>
      <c r="D1599" s="116">
        <v>332.4</v>
      </c>
      <c r="E1599" s="116">
        <v>339.4</v>
      </c>
      <c r="F1599" s="116">
        <v>340.25</v>
      </c>
      <c r="G1599">
        <v>122840</v>
      </c>
      <c r="H1599" s="116"/>
      <c r="I1599" s="116"/>
      <c r="L1599" s="170">
        <v>44361</v>
      </c>
      <c r="M1599" s="116">
        <v>340.35</v>
      </c>
      <c r="N1599" s="116">
        <v>340.9</v>
      </c>
      <c r="O1599" s="116">
        <v>332.5</v>
      </c>
      <c r="P1599" s="116">
        <v>337.9</v>
      </c>
      <c r="Q1599" s="116">
        <v>340.35</v>
      </c>
      <c r="R1599">
        <v>1670528</v>
      </c>
    </row>
    <row r="1600" spans="1:18" x14ac:dyDescent="0.25">
      <c r="A1600" s="170">
        <v>44362</v>
      </c>
      <c r="B1600" s="116">
        <v>344.3</v>
      </c>
      <c r="C1600" s="116">
        <v>341.5</v>
      </c>
      <c r="D1600" s="116">
        <v>338</v>
      </c>
      <c r="E1600" s="116">
        <v>342.4</v>
      </c>
      <c r="F1600" s="116">
        <v>341.5</v>
      </c>
      <c r="G1600">
        <v>68949</v>
      </c>
      <c r="H1600" s="116"/>
      <c r="I1600" s="116"/>
      <c r="L1600" s="170">
        <v>44362</v>
      </c>
      <c r="M1600" s="116">
        <v>341.45</v>
      </c>
      <c r="N1600" s="116">
        <v>344.45</v>
      </c>
      <c r="O1600" s="116">
        <v>337.45</v>
      </c>
      <c r="P1600" s="116">
        <v>340</v>
      </c>
      <c r="Q1600" s="116">
        <v>341.45</v>
      </c>
      <c r="R1600">
        <v>2056457</v>
      </c>
    </row>
    <row r="1601" spans="1:18" x14ac:dyDescent="0.25">
      <c r="A1601" s="170">
        <v>44363</v>
      </c>
      <c r="B1601" s="116">
        <v>344</v>
      </c>
      <c r="C1601" s="116">
        <v>338.85</v>
      </c>
      <c r="D1601" s="116">
        <v>337.75</v>
      </c>
      <c r="E1601" s="116">
        <v>340</v>
      </c>
      <c r="F1601" s="116">
        <v>338.85</v>
      </c>
      <c r="G1601">
        <v>119814</v>
      </c>
      <c r="H1601" s="116"/>
      <c r="I1601" s="116"/>
      <c r="L1601" s="170">
        <v>44363</v>
      </c>
      <c r="M1601" s="116">
        <v>338.9</v>
      </c>
      <c r="N1601" s="116">
        <v>344</v>
      </c>
      <c r="O1601" s="116">
        <v>337.6</v>
      </c>
      <c r="P1601" s="116">
        <v>341</v>
      </c>
      <c r="Q1601" s="116">
        <v>338.9</v>
      </c>
      <c r="R1601">
        <v>2006979</v>
      </c>
    </row>
    <row r="1602" spans="1:18" x14ac:dyDescent="0.25">
      <c r="A1602" s="170">
        <v>44364</v>
      </c>
      <c r="B1602" s="116">
        <v>348.6</v>
      </c>
      <c r="C1602" s="116">
        <v>346.35</v>
      </c>
      <c r="D1602" s="116">
        <v>336.3</v>
      </c>
      <c r="E1602" s="116">
        <v>337.75</v>
      </c>
      <c r="F1602" s="116">
        <v>346.35</v>
      </c>
      <c r="G1602">
        <v>263953</v>
      </c>
      <c r="H1602" s="116"/>
      <c r="I1602" s="116"/>
      <c r="L1602" s="170">
        <v>44364</v>
      </c>
      <c r="M1602" s="116">
        <v>346.25</v>
      </c>
      <c r="N1602" s="116">
        <v>348.9</v>
      </c>
      <c r="O1602" s="116">
        <v>336</v>
      </c>
      <c r="P1602" s="116">
        <v>336.6</v>
      </c>
      <c r="Q1602" s="116">
        <v>346.25</v>
      </c>
      <c r="R1602">
        <v>7239110</v>
      </c>
    </row>
    <row r="1603" spans="1:18" x14ac:dyDescent="0.25">
      <c r="A1603" s="170">
        <v>44365</v>
      </c>
      <c r="B1603" s="116">
        <v>347.5</v>
      </c>
      <c r="C1603" s="116">
        <v>341.2</v>
      </c>
      <c r="D1603" s="116">
        <v>335.35</v>
      </c>
      <c r="E1603" s="116">
        <v>346.35</v>
      </c>
      <c r="F1603" s="116">
        <v>341.2</v>
      </c>
      <c r="G1603">
        <v>172830</v>
      </c>
      <c r="H1603" s="116"/>
      <c r="I1603" s="116"/>
      <c r="L1603" s="170">
        <v>44365</v>
      </c>
      <c r="M1603" s="116">
        <v>341.3</v>
      </c>
      <c r="N1603" s="116">
        <v>347.5</v>
      </c>
      <c r="O1603" s="116">
        <v>335.35</v>
      </c>
      <c r="P1603" s="116">
        <v>346.9</v>
      </c>
      <c r="Q1603" s="116">
        <v>341.3</v>
      </c>
      <c r="R1603">
        <v>3129778</v>
      </c>
    </row>
    <row r="1604" spans="1:18" x14ac:dyDescent="0.25">
      <c r="A1604" s="170">
        <v>44368</v>
      </c>
      <c r="B1604" s="116">
        <v>345.85</v>
      </c>
      <c r="C1604" s="116">
        <v>344.45</v>
      </c>
      <c r="D1604" s="116">
        <v>334.95</v>
      </c>
      <c r="E1604" s="116">
        <v>338</v>
      </c>
      <c r="F1604" s="116">
        <v>344.45</v>
      </c>
      <c r="G1604">
        <v>82648</v>
      </c>
      <c r="H1604" s="116"/>
      <c r="I1604" s="116"/>
      <c r="L1604" s="170">
        <v>44368</v>
      </c>
      <c r="M1604" s="116">
        <v>344.75</v>
      </c>
      <c r="N1604" s="116">
        <v>345.85</v>
      </c>
      <c r="O1604" s="116">
        <v>335</v>
      </c>
      <c r="P1604" s="116">
        <v>337.9</v>
      </c>
      <c r="Q1604" s="116">
        <v>344.75</v>
      </c>
      <c r="R1604">
        <v>2879360</v>
      </c>
    </row>
    <row r="1605" spans="1:18" x14ac:dyDescent="0.25">
      <c r="A1605" s="170">
        <v>44369</v>
      </c>
      <c r="B1605" s="116">
        <v>351.15</v>
      </c>
      <c r="C1605" s="116">
        <v>346.5</v>
      </c>
      <c r="D1605" s="116">
        <v>343.15</v>
      </c>
      <c r="E1605" s="116">
        <v>348</v>
      </c>
      <c r="F1605" s="116">
        <v>346.5</v>
      </c>
      <c r="G1605">
        <v>79536</v>
      </c>
      <c r="H1605" s="116"/>
      <c r="I1605" s="116"/>
      <c r="L1605" s="170">
        <v>44369</v>
      </c>
      <c r="M1605" s="116">
        <v>346.25</v>
      </c>
      <c r="N1605" s="116">
        <v>351.5</v>
      </c>
      <c r="O1605" s="116">
        <v>343.2</v>
      </c>
      <c r="P1605" s="116">
        <v>345.35</v>
      </c>
      <c r="Q1605" s="116">
        <v>346.25</v>
      </c>
      <c r="R1605">
        <v>2549800</v>
      </c>
    </row>
    <row r="1606" spans="1:18" x14ac:dyDescent="0.25">
      <c r="A1606" s="170">
        <v>44370</v>
      </c>
      <c r="B1606" s="116">
        <v>348.85</v>
      </c>
      <c r="C1606" s="116">
        <v>345.1</v>
      </c>
      <c r="D1606" s="116">
        <v>343.5</v>
      </c>
      <c r="E1606" s="116">
        <v>348.85</v>
      </c>
      <c r="F1606" s="116">
        <v>345.1</v>
      </c>
      <c r="G1606">
        <v>69597</v>
      </c>
      <c r="H1606" s="116"/>
      <c r="I1606" s="116"/>
      <c r="L1606" s="170">
        <v>44370</v>
      </c>
      <c r="M1606" s="116">
        <v>345.15</v>
      </c>
      <c r="N1606" s="116">
        <v>348.5</v>
      </c>
      <c r="O1606" s="116">
        <v>343.5</v>
      </c>
      <c r="P1606" s="116">
        <v>346.9</v>
      </c>
      <c r="Q1606" s="116">
        <v>345.15</v>
      </c>
      <c r="R1606">
        <v>1690045</v>
      </c>
    </row>
    <row r="1607" spans="1:18" x14ac:dyDescent="0.25">
      <c r="A1607" s="170">
        <v>44371</v>
      </c>
      <c r="B1607" s="116">
        <v>347.85</v>
      </c>
      <c r="C1607" s="116">
        <v>346.6</v>
      </c>
      <c r="D1607" s="116">
        <v>342.55</v>
      </c>
      <c r="E1607" s="116">
        <v>347.55</v>
      </c>
      <c r="F1607" s="116">
        <v>346.6</v>
      </c>
      <c r="G1607">
        <v>63517</v>
      </c>
      <c r="H1607" s="116"/>
      <c r="I1607" s="116"/>
      <c r="L1607" s="170">
        <v>44371</v>
      </c>
      <c r="M1607" s="116">
        <v>346.5</v>
      </c>
      <c r="N1607" s="116">
        <v>347.85</v>
      </c>
      <c r="O1607" s="116">
        <v>342.55</v>
      </c>
      <c r="P1607" s="116">
        <v>345.15</v>
      </c>
      <c r="Q1607" s="116">
        <v>346.5</v>
      </c>
      <c r="R1607">
        <v>3375247</v>
      </c>
    </row>
    <row r="1608" spans="1:18" x14ac:dyDescent="0.25">
      <c r="A1608" s="170">
        <v>44372</v>
      </c>
      <c r="B1608" s="116">
        <v>349.35</v>
      </c>
      <c r="C1608" s="116">
        <v>348</v>
      </c>
      <c r="D1608" s="116">
        <v>345.1</v>
      </c>
      <c r="E1608" s="116">
        <v>347.5</v>
      </c>
      <c r="F1608" s="116">
        <v>348</v>
      </c>
      <c r="G1608">
        <v>73430</v>
      </c>
      <c r="H1608" s="116"/>
      <c r="I1608" s="116"/>
      <c r="L1608" s="170">
        <v>44372</v>
      </c>
      <c r="M1608" s="116">
        <v>348.05</v>
      </c>
      <c r="N1608" s="116">
        <v>349.5</v>
      </c>
      <c r="O1608" s="116">
        <v>345.15</v>
      </c>
      <c r="P1608" s="116">
        <v>346.9</v>
      </c>
      <c r="Q1608" s="116">
        <v>348.05</v>
      </c>
      <c r="R1608">
        <v>2206671</v>
      </c>
    </row>
    <row r="1609" spans="1:18" x14ac:dyDescent="0.25">
      <c r="A1609" s="170">
        <v>44375</v>
      </c>
      <c r="B1609" s="116">
        <v>350.75</v>
      </c>
      <c r="C1609" s="116">
        <v>344.45</v>
      </c>
      <c r="D1609" s="116">
        <v>343.75</v>
      </c>
      <c r="E1609" s="116">
        <v>348.05</v>
      </c>
      <c r="F1609" s="116">
        <v>344.45</v>
      </c>
      <c r="G1609">
        <v>83119</v>
      </c>
      <c r="H1609" s="116"/>
      <c r="I1609" s="116"/>
      <c r="L1609" s="170">
        <v>44375</v>
      </c>
      <c r="M1609" s="116">
        <v>344.35</v>
      </c>
      <c r="N1609" s="116">
        <v>350.85</v>
      </c>
      <c r="O1609" s="116">
        <v>343.75</v>
      </c>
      <c r="P1609" s="116">
        <v>349.75</v>
      </c>
      <c r="Q1609" s="116">
        <v>344.35</v>
      </c>
      <c r="R1609">
        <v>2552962</v>
      </c>
    </row>
    <row r="1610" spans="1:18" x14ac:dyDescent="0.25">
      <c r="A1610" s="170">
        <v>44376</v>
      </c>
      <c r="B1610" s="116">
        <v>345.85</v>
      </c>
      <c r="C1610" s="116">
        <v>344.5</v>
      </c>
      <c r="D1610" s="116">
        <v>342</v>
      </c>
      <c r="E1610" s="116">
        <v>343.75</v>
      </c>
      <c r="F1610" s="116">
        <v>344.5</v>
      </c>
      <c r="G1610">
        <v>95180</v>
      </c>
      <c r="H1610" s="116"/>
      <c r="I1610" s="116"/>
      <c r="L1610" s="170">
        <v>44376</v>
      </c>
      <c r="M1610" s="116">
        <v>344.4</v>
      </c>
      <c r="N1610" s="116">
        <v>345.8</v>
      </c>
      <c r="O1610" s="116">
        <v>342</v>
      </c>
      <c r="P1610" s="116">
        <v>344.3</v>
      </c>
      <c r="Q1610" s="116">
        <v>344.4</v>
      </c>
      <c r="R1610">
        <v>1671869</v>
      </c>
    </row>
    <row r="1611" spans="1:18" x14ac:dyDescent="0.25">
      <c r="A1611" s="170">
        <v>44377</v>
      </c>
      <c r="B1611" s="116">
        <v>346.35</v>
      </c>
      <c r="C1611" s="116">
        <v>340.6</v>
      </c>
      <c r="D1611" s="116">
        <v>339.35</v>
      </c>
      <c r="E1611" s="116">
        <v>343.95</v>
      </c>
      <c r="F1611" s="116">
        <v>340.6</v>
      </c>
      <c r="G1611">
        <v>176379</v>
      </c>
      <c r="H1611" s="116"/>
      <c r="I1611" s="116"/>
      <c r="L1611" s="170">
        <v>44377</v>
      </c>
      <c r="M1611" s="116">
        <v>340.65</v>
      </c>
      <c r="N1611" s="116">
        <v>346.45</v>
      </c>
      <c r="O1611" s="116">
        <v>339.65</v>
      </c>
      <c r="P1611" s="116">
        <v>343.55</v>
      </c>
      <c r="Q1611" s="116">
        <v>340.65</v>
      </c>
      <c r="R1611">
        <v>2767540</v>
      </c>
    </row>
    <row r="1612" spans="1:18" x14ac:dyDescent="0.25">
      <c r="A1612" s="170">
        <v>44378</v>
      </c>
      <c r="B1612" s="116">
        <v>342.6</v>
      </c>
      <c r="C1612" s="116">
        <v>340.4</v>
      </c>
      <c r="D1612" s="116">
        <v>338.65</v>
      </c>
      <c r="E1612" s="116">
        <v>339.25</v>
      </c>
      <c r="F1612" s="116">
        <v>340.4</v>
      </c>
      <c r="G1612">
        <v>33693</v>
      </c>
      <c r="H1612" s="116"/>
      <c r="I1612" s="116"/>
      <c r="L1612" s="170">
        <v>44378</v>
      </c>
      <c r="M1612" s="116">
        <v>340.3</v>
      </c>
      <c r="N1612" s="116">
        <v>342.6</v>
      </c>
      <c r="O1612" s="116">
        <v>338.6</v>
      </c>
      <c r="P1612" s="116">
        <v>341.3</v>
      </c>
      <c r="Q1612" s="116">
        <v>340.3</v>
      </c>
      <c r="R1612">
        <v>1909998</v>
      </c>
    </row>
    <row r="1613" spans="1:18" x14ac:dyDescent="0.25">
      <c r="A1613" s="170">
        <v>44379</v>
      </c>
      <c r="B1613" s="116">
        <v>342.9</v>
      </c>
      <c r="C1613" s="116">
        <v>339.15</v>
      </c>
      <c r="D1613" s="116">
        <v>337.2</v>
      </c>
      <c r="E1613" s="116">
        <v>342.9</v>
      </c>
      <c r="F1613" s="116">
        <v>339.15</v>
      </c>
      <c r="G1613">
        <v>47007</v>
      </c>
      <c r="H1613" s="116"/>
      <c r="I1613" s="116"/>
      <c r="L1613" s="170">
        <v>44379</v>
      </c>
      <c r="M1613" s="116">
        <v>339.25</v>
      </c>
      <c r="N1613" s="116">
        <v>341.95</v>
      </c>
      <c r="O1613" s="116">
        <v>337.25</v>
      </c>
      <c r="P1613" s="116">
        <v>341.5</v>
      </c>
      <c r="Q1613" s="116">
        <v>339.25</v>
      </c>
      <c r="R1613">
        <v>955697</v>
      </c>
    </row>
    <row r="1614" spans="1:18" x14ac:dyDescent="0.25">
      <c r="A1614" s="170">
        <v>44382</v>
      </c>
      <c r="B1614" s="116">
        <v>345.25</v>
      </c>
      <c r="C1614" s="116">
        <v>340.25</v>
      </c>
      <c r="D1614" s="116">
        <v>339.05</v>
      </c>
      <c r="E1614" s="116">
        <v>339.05</v>
      </c>
      <c r="F1614" s="116">
        <v>340.25</v>
      </c>
      <c r="G1614">
        <v>62874</v>
      </c>
      <c r="H1614" s="116"/>
      <c r="I1614" s="116"/>
      <c r="L1614" s="170">
        <v>44382</v>
      </c>
      <c r="M1614" s="116">
        <v>340.3</v>
      </c>
      <c r="N1614" s="116">
        <v>345.25</v>
      </c>
      <c r="O1614" s="116">
        <v>339.5</v>
      </c>
      <c r="P1614" s="116">
        <v>340.8</v>
      </c>
      <c r="Q1614" s="116">
        <v>340.3</v>
      </c>
      <c r="R1614">
        <v>1403833</v>
      </c>
    </row>
    <row r="1615" spans="1:18" x14ac:dyDescent="0.25">
      <c r="A1615" s="170">
        <v>44383</v>
      </c>
      <c r="B1615" s="116">
        <v>360</v>
      </c>
      <c r="C1615" s="116">
        <v>351.75</v>
      </c>
      <c r="D1615" s="116">
        <v>340.25</v>
      </c>
      <c r="E1615" s="116">
        <v>340.25</v>
      </c>
      <c r="F1615" s="116">
        <v>351.75</v>
      </c>
      <c r="G1615">
        <v>557381</v>
      </c>
      <c r="H1615" s="116"/>
      <c r="I1615" s="116"/>
      <c r="L1615" s="170">
        <v>44383</v>
      </c>
      <c r="M1615" s="116">
        <v>351.85</v>
      </c>
      <c r="N1615" s="116">
        <v>359.95</v>
      </c>
      <c r="O1615" s="116">
        <v>341.3</v>
      </c>
      <c r="P1615" s="116">
        <v>341.3</v>
      </c>
      <c r="Q1615" s="116">
        <v>351.85</v>
      </c>
      <c r="R1615">
        <v>12291310</v>
      </c>
    </row>
    <row r="1616" spans="1:18" x14ac:dyDescent="0.25">
      <c r="A1616" s="170">
        <v>44384</v>
      </c>
      <c r="B1616" s="116">
        <v>358.4</v>
      </c>
      <c r="C1616" s="116">
        <v>357.3</v>
      </c>
      <c r="D1616" s="116">
        <v>351</v>
      </c>
      <c r="E1616" s="116">
        <v>355.4</v>
      </c>
      <c r="F1616" s="116">
        <v>357.3</v>
      </c>
      <c r="G1616">
        <v>120553</v>
      </c>
      <c r="H1616" s="116"/>
      <c r="I1616" s="116"/>
      <c r="L1616" s="170">
        <v>44384</v>
      </c>
      <c r="M1616" s="116">
        <v>357.45</v>
      </c>
      <c r="N1616" s="116">
        <v>358.55</v>
      </c>
      <c r="O1616" s="116">
        <v>350.65</v>
      </c>
      <c r="P1616" s="116">
        <v>353.8</v>
      </c>
      <c r="Q1616" s="116">
        <v>357.45</v>
      </c>
      <c r="R1616">
        <v>4334221</v>
      </c>
    </row>
    <row r="1617" spans="1:18" x14ac:dyDescent="0.25">
      <c r="A1617" s="170">
        <v>44385</v>
      </c>
      <c r="B1617" s="116">
        <v>361.8</v>
      </c>
      <c r="C1617" s="116">
        <v>360.85</v>
      </c>
      <c r="D1617" s="116">
        <v>355.9</v>
      </c>
      <c r="E1617" s="116">
        <v>358</v>
      </c>
      <c r="F1617" s="116">
        <v>360.85</v>
      </c>
      <c r="G1617">
        <v>134293</v>
      </c>
      <c r="H1617" s="116"/>
      <c r="I1617" s="116"/>
      <c r="L1617" s="170">
        <v>44385</v>
      </c>
      <c r="M1617" s="116">
        <v>360.75</v>
      </c>
      <c r="N1617" s="116">
        <v>361.85</v>
      </c>
      <c r="O1617" s="116">
        <v>355.75</v>
      </c>
      <c r="P1617" s="116">
        <v>357.7</v>
      </c>
      <c r="Q1617" s="116">
        <v>360.75</v>
      </c>
      <c r="R1617">
        <v>5505696</v>
      </c>
    </row>
    <row r="1618" spans="1:18" x14ac:dyDescent="0.25">
      <c r="A1618" s="170">
        <v>44386</v>
      </c>
      <c r="B1618" s="116">
        <v>364.5</v>
      </c>
      <c r="C1618" s="116">
        <v>363.65</v>
      </c>
      <c r="D1618" s="116">
        <v>357.5</v>
      </c>
      <c r="E1618" s="116">
        <v>361</v>
      </c>
      <c r="F1618" s="116">
        <v>363.65</v>
      </c>
      <c r="G1618">
        <v>137248</v>
      </c>
      <c r="H1618" s="116"/>
      <c r="I1618" s="116"/>
      <c r="L1618" s="170">
        <v>44386</v>
      </c>
      <c r="M1618" s="116">
        <v>363.6</v>
      </c>
      <c r="N1618" s="116">
        <v>364.45</v>
      </c>
      <c r="O1618" s="116">
        <v>357.55</v>
      </c>
      <c r="P1618" s="116">
        <v>360.9</v>
      </c>
      <c r="Q1618" s="116">
        <v>363.6</v>
      </c>
      <c r="R1618">
        <v>2443343</v>
      </c>
    </row>
    <row r="1619" spans="1:18" x14ac:dyDescent="0.25">
      <c r="A1619" s="170">
        <v>44389</v>
      </c>
      <c r="B1619" s="116">
        <v>376.1</v>
      </c>
      <c r="C1619" s="116">
        <v>371.75</v>
      </c>
      <c r="D1619" s="116">
        <v>363.65</v>
      </c>
      <c r="E1619" s="116">
        <v>363.65</v>
      </c>
      <c r="F1619" s="116">
        <v>371.75</v>
      </c>
      <c r="G1619">
        <v>631637</v>
      </c>
      <c r="H1619" s="116"/>
      <c r="I1619" s="116"/>
      <c r="L1619" s="170">
        <v>44389</v>
      </c>
      <c r="M1619" s="116">
        <v>371.75</v>
      </c>
      <c r="N1619" s="116">
        <v>376.4</v>
      </c>
      <c r="O1619" s="116">
        <v>363.65</v>
      </c>
      <c r="P1619" s="116">
        <v>364.1</v>
      </c>
      <c r="Q1619" s="116">
        <v>371.75</v>
      </c>
      <c r="R1619">
        <v>6429310</v>
      </c>
    </row>
    <row r="1620" spans="1:18" x14ac:dyDescent="0.25">
      <c r="A1620" s="170">
        <v>44390</v>
      </c>
      <c r="B1620" s="116">
        <v>375</v>
      </c>
      <c r="C1620" s="116">
        <v>368.9</v>
      </c>
      <c r="D1620" s="116">
        <v>367.25</v>
      </c>
      <c r="E1620" s="116">
        <v>375</v>
      </c>
      <c r="F1620" s="116">
        <v>368.9</v>
      </c>
      <c r="G1620">
        <v>93038</v>
      </c>
      <c r="H1620" s="116"/>
      <c r="I1620" s="116"/>
      <c r="L1620" s="170">
        <v>44390</v>
      </c>
      <c r="M1620" s="116">
        <v>368.95</v>
      </c>
      <c r="N1620" s="116">
        <v>374.3</v>
      </c>
      <c r="O1620" s="116">
        <v>367.2</v>
      </c>
      <c r="P1620" s="116">
        <v>373.55</v>
      </c>
      <c r="Q1620" s="116">
        <v>368.95</v>
      </c>
      <c r="R1620">
        <v>3725976</v>
      </c>
    </row>
    <row r="1621" spans="1:18" x14ac:dyDescent="0.25">
      <c r="A1621" s="170">
        <v>44391</v>
      </c>
      <c r="B1621" s="116">
        <v>375.65</v>
      </c>
      <c r="C1621" s="116">
        <v>373.05</v>
      </c>
      <c r="D1621" s="116">
        <v>368.2</v>
      </c>
      <c r="E1621" s="116">
        <v>371.45</v>
      </c>
      <c r="F1621" s="116">
        <v>373.05</v>
      </c>
      <c r="G1621">
        <v>166019</v>
      </c>
      <c r="H1621" s="116"/>
      <c r="I1621" s="116"/>
      <c r="L1621" s="170">
        <v>44391</v>
      </c>
      <c r="M1621" s="116">
        <v>373</v>
      </c>
      <c r="N1621" s="116">
        <v>375.85</v>
      </c>
      <c r="O1621" s="116">
        <v>368.1</v>
      </c>
      <c r="P1621" s="116">
        <v>370.95</v>
      </c>
      <c r="Q1621" s="116">
        <v>373</v>
      </c>
      <c r="R1621">
        <v>4877918</v>
      </c>
    </row>
    <row r="1622" spans="1:18" x14ac:dyDescent="0.25">
      <c r="A1622" s="170">
        <v>44392</v>
      </c>
      <c r="B1622" s="116">
        <v>388.65</v>
      </c>
      <c r="C1622" s="116">
        <v>385.65</v>
      </c>
      <c r="D1622" s="116">
        <v>373.6</v>
      </c>
      <c r="E1622" s="116">
        <v>375</v>
      </c>
      <c r="F1622" s="116">
        <v>385.65</v>
      </c>
      <c r="G1622">
        <v>310574</v>
      </c>
      <c r="H1622" s="116"/>
      <c r="I1622" s="116"/>
      <c r="L1622" s="170">
        <v>44392</v>
      </c>
      <c r="M1622" s="116">
        <v>386.2</v>
      </c>
      <c r="N1622" s="116">
        <v>389</v>
      </c>
      <c r="O1622" s="116">
        <v>373.7</v>
      </c>
      <c r="P1622" s="116">
        <v>374</v>
      </c>
      <c r="Q1622" s="116">
        <v>386.2</v>
      </c>
      <c r="R1622">
        <v>7207046</v>
      </c>
    </row>
    <row r="1623" spans="1:18" x14ac:dyDescent="0.25">
      <c r="A1623" s="170">
        <v>44393</v>
      </c>
      <c r="B1623" s="116">
        <v>388.8</v>
      </c>
      <c r="C1623" s="116">
        <v>383.05</v>
      </c>
      <c r="D1623" s="116">
        <v>382</v>
      </c>
      <c r="E1623" s="116">
        <v>388.8</v>
      </c>
      <c r="F1623" s="116">
        <v>383.05</v>
      </c>
      <c r="G1623">
        <v>178087</v>
      </c>
      <c r="H1623" s="116"/>
      <c r="I1623" s="116"/>
      <c r="L1623" s="170">
        <v>44393</v>
      </c>
      <c r="M1623" s="116">
        <v>383.05</v>
      </c>
      <c r="N1623" s="116">
        <v>387.7</v>
      </c>
      <c r="O1623" s="116">
        <v>381.7</v>
      </c>
      <c r="P1623" s="116">
        <v>387.45</v>
      </c>
      <c r="Q1623" s="116">
        <v>383.05</v>
      </c>
      <c r="R1623">
        <v>3141218</v>
      </c>
    </row>
    <row r="1624" spans="1:18" x14ac:dyDescent="0.25">
      <c r="A1624" s="170">
        <v>44396</v>
      </c>
      <c r="B1624" s="116">
        <v>388.35</v>
      </c>
      <c r="C1624" s="116">
        <v>385.9</v>
      </c>
      <c r="D1624" s="116">
        <v>380.5</v>
      </c>
      <c r="E1624" s="116">
        <v>382</v>
      </c>
      <c r="F1624" s="116">
        <v>385.9</v>
      </c>
      <c r="G1624">
        <v>435197</v>
      </c>
      <c r="H1624" s="116"/>
      <c r="I1624" s="116"/>
      <c r="L1624" s="170">
        <v>44396</v>
      </c>
      <c r="M1624" s="116">
        <v>386.55</v>
      </c>
      <c r="N1624" s="116">
        <v>388.35</v>
      </c>
      <c r="O1624" s="116">
        <v>380.4</v>
      </c>
      <c r="P1624" s="116">
        <v>382.3</v>
      </c>
      <c r="Q1624" s="116">
        <v>386.55</v>
      </c>
      <c r="R1624">
        <v>3708612</v>
      </c>
    </row>
    <row r="1625" spans="1:18" x14ac:dyDescent="0.25">
      <c r="A1625" s="170">
        <v>44397</v>
      </c>
      <c r="B1625" s="116">
        <v>407.9</v>
      </c>
      <c r="C1625" s="116">
        <v>404.55</v>
      </c>
      <c r="D1625" s="116">
        <v>388</v>
      </c>
      <c r="E1625" s="116">
        <v>392</v>
      </c>
      <c r="F1625" s="116">
        <v>404.55</v>
      </c>
      <c r="G1625">
        <v>831221</v>
      </c>
      <c r="H1625" s="116"/>
      <c r="I1625" s="116"/>
      <c r="L1625" s="170">
        <v>44397</v>
      </c>
      <c r="M1625" s="116">
        <v>404.45</v>
      </c>
      <c r="N1625" s="116">
        <v>408.9</v>
      </c>
      <c r="O1625" s="116">
        <v>387.65</v>
      </c>
      <c r="P1625" s="116">
        <v>391</v>
      </c>
      <c r="Q1625" s="116">
        <v>404.45</v>
      </c>
      <c r="R1625">
        <v>16347083</v>
      </c>
    </row>
    <row r="1626" spans="1:18" x14ac:dyDescent="0.25">
      <c r="A1626" s="170">
        <v>44399</v>
      </c>
      <c r="B1626" s="116">
        <v>407.5</v>
      </c>
      <c r="C1626" s="116">
        <v>399.65</v>
      </c>
      <c r="D1626" s="116">
        <v>398.4</v>
      </c>
      <c r="E1626" s="116">
        <v>405.9</v>
      </c>
      <c r="F1626" s="116">
        <v>399.65</v>
      </c>
      <c r="G1626">
        <v>220982</v>
      </c>
      <c r="H1626" s="116"/>
      <c r="I1626" s="116"/>
      <c r="L1626" s="170">
        <v>44399</v>
      </c>
      <c r="M1626" s="116">
        <v>400.2</v>
      </c>
      <c r="N1626" s="116">
        <v>407.25</v>
      </c>
      <c r="O1626" s="116">
        <v>398.1</v>
      </c>
      <c r="P1626" s="116">
        <v>407.25</v>
      </c>
      <c r="Q1626" s="116">
        <v>400.2</v>
      </c>
      <c r="R1626">
        <v>4093799</v>
      </c>
    </row>
    <row r="1627" spans="1:18" x14ac:dyDescent="0.25">
      <c r="A1627" s="170">
        <v>44400</v>
      </c>
      <c r="B1627" s="116">
        <v>409.5</v>
      </c>
      <c r="C1627" s="116">
        <v>402.25</v>
      </c>
      <c r="D1627" s="116">
        <v>401</v>
      </c>
      <c r="E1627" s="116">
        <v>405</v>
      </c>
      <c r="F1627" s="116">
        <v>402.25</v>
      </c>
      <c r="G1627">
        <v>295451</v>
      </c>
      <c r="H1627" s="116"/>
      <c r="I1627" s="116"/>
      <c r="L1627" s="170">
        <v>44400</v>
      </c>
      <c r="M1627" s="116">
        <v>402.3</v>
      </c>
      <c r="N1627" s="116">
        <v>409.5</v>
      </c>
      <c r="O1627" s="116">
        <v>400.5</v>
      </c>
      <c r="P1627" s="116">
        <v>403.25</v>
      </c>
      <c r="Q1627" s="116">
        <v>402.3</v>
      </c>
      <c r="R1627">
        <v>7785242</v>
      </c>
    </row>
    <row r="1628" spans="1:18" x14ac:dyDescent="0.25">
      <c r="A1628" s="170">
        <v>44403</v>
      </c>
      <c r="B1628" s="116">
        <v>409.25</v>
      </c>
      <c r="C1628" s="116">
        <v>408</v>
      </c>
      <c r="D1628" s="116">
        <v>391.25</v>
      </c>
      <c r="E1628" s="116">
        <v>405</v>
      </c>
      <c r="F1628" s="116">
        <v>408</v>
      </c>
      <c r="G1628">
        <v>379150</v>
      </c>
      <c r="H1628" s="116"/>
      <c r="I1628" s="116"/>
      <c r="L1628" s="170">
        <v>44403</v>
      </c>
      <c r="M1628" s="116">
        <v>408.1</v>
      </c>
      <c r="N1628" s="116">
        <v>409.5</v>
      </c>
      <c r="O1628" s="116">
        <v>390.95</v>
      </c>
      <c r="P1628" s="116">
        <v>402.5</v>
      </c>
      <c r="Q1628" s="116">
        <v>408.1</v>
      </c>
      <c r="R1628">
        <v>8586195</v>
      </c>
    </row>
    <row r="1629" spans="1:18" x14ac:dyDescent="0.25">
      <c r="A1629" s="170">
        <v>44404</v>
      </c>
      <c r="B1629" s="116">
        <v>413.9</v>
      </c>
      <c r="C1629" s="116">
        <v>408.8</v>
      </c>
      <c r="D1629" s="116">
        <v>401.55</v>
      </c>
      <c r="E1629" s="116">
        <v>410</v>
      </c>
      <c r="F1629" s="116">
        <v>408.8</v>
      </c>
      <c r="G1629">
        <v>265244</v>
      </c>
      <c r="H1629" s="116"/>
      <c r="I1629" s="116"/>
      <c r="L1629" s="170">
        <v>44404</v>
      </c>
      <c r="M1629" s="116">
        <v>408.8</v>
      </c>
      <c r="N1629" s="116">
        <v>414</v>
      </c>
      <c r="O1629" s="116">
        <v>401.55</v>
      </c>
      <c r="P1629" s="116">
        <v>408.85</v>
      </c>
      <c r="Q1629" s="116">
        <v>408.8</v>
      </c>
      <c r="R1629">
        <v>7469960</v>
      </c>
    </row>
    <row r="1630" spans="1:18" x14ac:dyDescent="0.25">
      <c r="A1630" s="170">
        <v>44405</v>
      </c>
      <c r="B1630" s="116">
        <v>411.7</v>
      </c>
      <c r="C1630" s="116">
        <v>409.35</v>
      </c>
      <c r="D1630" s="116">
        <v>403</v>
      </c>
      <c r="E1630" s="116">
        <v>410</v>
      </c>
      <c r="F1630" s="116">
        <v>409.35</v>
      </c>
      <c r="G1630">
        <v>93095</v>
      </c>
      <c r="H1630" s="116"/>
      <c r="I1630" s="116"/>
      <c r="L1630" s="170">
        <v>44405</v>
      </c>
      <c r="M1630" s="116">
        <v>409.4</v>
      </c>
      <c r="N1630" s="116">
        <v>411.7</v>
      </c>
      <c r="O1630" s="116">
        <v>402.95</v>
      </c>
      <c r="P1630" s="116">
        <v>410.45</v>
      </c>
      <c r="Q1630" s="116">
        <v>409.4</v>
      </c>
      <c r="R1630">
        <v>3242782</v>
      </c>
    </row>
    <row r="1631" spans="1:18" x14ac:dyDescent="0.25">
      <c r="A1631" s="170">
        <v>44406</v>
      </c>
      <c r="B1631" s="116">
        <v>412.85</v>
      </c>
      <c r="C1631" s="116">
        <v>408.9</v>
      </c>
      <c r="D1631" s="116">
        <v>405.2</v>
      </c>
      <c r="E1631" s="116">
        <v>412</v>
      </c>
      <c r="F1631" s="116">
        <v>408.9</v>
      </c>
      <c r="G1631">
        <v>122407</v>
      </c>
      <c r="H1631" s="116"/>
      <c r="I1631" s="116"/>
      <c r="L1631" s="170">
        <v>44406</v>
      </c>
      <c r="M1631" s="116">
        <v>408.75</v>
      </c>
      <c r="N1631" s="116">
        <v>413.2</v>
      </c>
      <c r="O1631" s="116">
        <v>405.05</v>
      </c>
      <c r="P1631" s="116">
        <v>411.4</v>
      </c>
      <c r="Q1631" s="116">
        <v>408.75</v>
      </c>
      <c r="R1631">
        <v>3312853</v>
      </c>
    </row>
    <row r="1632" spans="1:18" x14ac:dyDescent="0.25">
      <c r="A1632" s="170">
        <v>44407</v>
      </c>
      <c r="B1632" s="116">
        <v>415</v>
      </c>
      <c r="C1632" s="116">
        <v>411.05</v>
      </c>
      <c r="D1632" s="116">
        <v>406.1</v>
      </c>
      <c r="E1632" s="116">
        <v>410</v>
      </c>
      <c r="F1632" s="116">
        <v>411.05</v>
      </c>
      <c r="G1632">
        <v>130402</v>
      </c>
      <c r="H1632" s="116"/>
      <c r="I1632" s="116"/>
      <c r="L1632" s="170">
        <v>44407</v>
      </c>
      <c r="M1632" s="116">
        <v>411.15</v>
      </c>
      <c r="N1632" s="116">
        <v>415.35</v>
      </c>
      <c r="O1632" s="116">
        <v>406</v>
      </c>
      <c r="P1632" s="116">
        <v>411.8</v>
      </c>
      <c r="Q1632" s="116">
        <v>411.15</v>
      </c>
      <c r="R1632">
        <v>2700828</v>
      </c>
    </row>
    <row r="1633" spans="1:18" x14ac:dyDescent="0.25">
      <c r="A1633" s="170">
        <v>44410</v>
      </c>
      <c r="B1633" s="116">
        <v>419.5</v>
      </c>
      <c r="C1633" s="116">
        <v>418.3</v>
      </c>
      <c r="D1633" s="116">
        <v>410.75</v>
      </c>
      <c r="E1633" s="116">
        <v>411.05</v>
      </c>
      <c r="F1633" s="116">
        <v>418.3</v>
      </c>
      <c r="G1633">
        <v>86049</v>
      </c>
      <c r="H1633" s="116"/>
      <c r="I1633" s="116"/>
      <c r="L1633" s="170">
        <v>44410</v>
      </c>
      <c r="M1633" s="116">
        <v>418.1</v>
      </c>
      <c r="N1633" s="116">
        <v>419.95</v>
      </c>
      <c r="O1633" s="116">
        <v>410.45</v>
      </c>
      <c r="P1633" s="116">
        <v>412</v>
      </c>
      <c r="Q1633" s="116">
        <v>418.1</v>
      </c>
      <c r="R1633">
        <v>2758639</v>
      </c>
    </row>
    <row r="1634" spans="1:18" x14ac:dyDescent="0.25">
      <c r="A1634" s="170">
        <v>44411</v>
      </c>
      <c r="B1634" s="116">
        <v>422.95</v>
      </c>
      <c r="C1634" s="116">
        <v>421.95</v>
      </c>
      <c r="D1634" s="116">
        <v>414.5</v>
      </c>
      <c r="E1634" s="116">
        <v>420</v>
      </c>
      <c r="F1634" s="116">
        <v>421.95</v>
      </c>
      <c r="G1634">
        <v>154451</v>
      </c>
      <c r="H1634" s="116"/>
      <c r="I1634" s="116"/>
      <c r="L1634" s="170">
        <v>44411</v>
      </c>
      <c r="M1634" s="116">
        <v>422.2</v>
      </c>
      <c r="N1634" s="116">
        <v>423.05</v>
      </c>
      <c r="O1634" s="116">
        <v>414.6</v>
      </c>
      <c r="P1634" s="116">
        <v>420.85</v>
      </c>
      <c r="Q1634" s="116">
        <v>422.2</v>
      </c>
      <c r="R1634">
        <v>2912201</v>
      </c>
    </row>
    <row r="1635" spans="1:18" x14ac:dyDescent="0.25">
      <c r="A1635" s="170">
        <v>44412</v>
      </c>
      <c r="B1635" s="116">
        <v>427.2</v>
      </c>
      <c r="C1635" s="116">
        <v>419</v>
      </c>
      <c r="D1635" s="116">
        <v>418.1</v>
      </c>
      <c r="E1635" s="116">
        <v>424</v>
      </c>
      <c r="F1635" s="116">
        <v>419</v>
      </c>
      <c r="G1635">
        <v>140789</v>
      </c>
      <c r="H1635" s="116"/>
      <c r="I1635" s="116"/>
      <c r="L1635" s="170">
        <v>44412</v>
      </c>
      <c r="M1635" s="116">
        <v>419.05</v>
      </c>
      <c r="N1635" s="116">
        <v>427.4</v>
      </c>
      <c r="O1635" s="116">
        <v>418</v>
      </c>
      <c r="P1635" s="116">
        <v>424.5</v>
      </c>
      <c r="Q1635" s="116">
        <v>419.05</v>
      </c>
      <c r="R1635">
        <v>3559071</v>
      </c>
    </row>
    <row r="1636" spans="1:18" x14ac:dyDescent="0.25">
      <c r="A1636" s="170">
        <v>44413</v>
      </c>
      <c r="B1636" s="116">
        <v>421.35</v>
      </c>
      <c r="C1636" s="116">
        <v>418.85</v>
      </c>
      <c r="D1636" s="116">
        <v>414.9</v>
      </c>
      <c r="E1636" s="116">
        <v>415.15</v>
      </c>
      <c r="F1636" s="116">
        <v>418.85</v>
      </c>
      <c r="G1636">
        <v>86833</v>
      </c>
      <c r="H1636" s="116"/>
      <c r="I1636" s="116"/>
      <c r="L1636" s="170">
        <v>44413</v>
      </c>
      <c r="M1636" s="116">
        <v>418.9</v>
      </c>
      <c r="N1636" s="116">
        <v>421.6</v>
      </c>
      <c r="O1636" s="116">
        <v>414.7</v>
      </c>
      <c r="P1636" s="116">
        <v>417.55</v>
      </c>
      <c r="Q1636" s="116">
        <v>418.9</v>
      </c>
      <c r="R1636">
        <v>2472169</v>
      </c>
    </row>
    <row r="1637" spans="1:18" x14ac:dyDescent="0.25">
      <c r="A1637" s="170">
        <v>44414</v>
      </c>
      <c r="B1637" s="116">
        <v>421</v>
      </c>
      <c r="C1637" s="116">
        <v>403.85</v>
      </c>
      <c r="D1637" s="116">
        <v>402.4</v>
      </c>
      <c r="E1637" s="116">
        <v>421</v>
      </c>
      <c r="F1637" s="116">
        <v>403.85</v>
      </c>
      <c r="G1637">
        <v>191943</v>
      </c>
      <c r="H1637" s="116"/>
      <c r="I1637" s="116"/>
      <c r="L1637" s="170">
        <v>44414</v>
      </c>
      <c r="M1637" s="116">
        <v>403.9</v>
      </c>
      <c r="N1637" s="116">
        <v>419</v>
      </c>
      <c r="O1637" s="116">
        <v>402.3</v>
      </c>
      <c r="P1637" s="116">
        <v>419</v>
      </c>
      <c r="Q1637" s="116">
        <v>403.9</v>
      </c>
      <c r="R1637">
        <v>5940472</v>
      </c>
    </row>
    <row r="1638" spans="1:18" x14ac:dyDescent="0.25">
      <c r="A1638" s="170">
        <v>44417</v>
      </c>
      <c r="B1638" s="116">
        <v>410.75</v>
      </c>
      <c r="C1638" s="116">
        <v>405.45</v>
      </c>
      <c r="D1638" s="116">
        <v>403.1</v>
      </c>
      <c r="E1638" s="116">
        <v>410.75</v>
      </c>
      <c r="F1638" s="116">
        <v>405.45</v>
      </c>
      <c r="G1638">
        <v>96783</v>
      </c>
      <c r="H1638" s="116"/>
      <c r="I1638" s="116"/>
      <c r="L1638" s="170">
        <v>44417</v>
      </c>
      <c r="M1638" s="116">
        <v>405.45</v>
      </c>
      <c r="N1638" s="116">
        <v>409.95</v>
      </c>
      <c r="O1638" s="116">
        <v>403</v>
      </c>
      <c r="P1638" s="116">
        <v>407.85</v>
      </c>
      <c r="Q1638" s="116">
        <v>405.45</v>
      </c>
      <c r="R1638">
        <v>1861592</v>
      </c>
    </row>
    <row r="1639" spans="1:18" x14ac:dyDescent="0.25">
      <c r="A1639" s="170">
        <v>44418</v>
      </c>
      <c r="B1639" s="116">
        <v>408</v>
      </c>
      <c r="C1639" s="116">
        <v>400.55</v>
      </c>
      <c r="D1639" s="116">
        <v>395.35</v>
      </c>
      <c r="E1639" s="116">
        <v>408</v>
      </c>
      <c r="F1639" s="116">
        <v>400.55</v>
      </c>
      <c r="G1639">
        <v>115825</v>
      </c>
      <c r="H1639" s="116"/>
      <c r="I1639" s="116"/>
      <c r="L1639" s="170">
        <v>44418</v>
      </c>
      <c r="M1639" s="116">
        <v>400.7</v>
      </c>
      <c r="N1639" s="116">
        <v>407.2</v>
      </c>
      <c r="O1639" s="116">
        <v>395.3</v>
      </c>
      <c r="P1639" s="116">
        <v>407.15</v>
      </c>
      <c r="Q1639" s="116">
        <v>400.7</v>
      </c>
      <c r="R1639">
        <v>3317325</v>
      </c>
    </row>
    <row r="1640" spans="1:18" x14ac:dyDescent="0.25">
      <c r="A1640" s="170">
        <v>44419</v>
      </c>
      <c r="B1640" s="116">
        <v>404.95</v>
      </c>
      <c r="C1640" s="116">
        <v>398.25</v>
      </c>
      <c r="D1640" s="116">
        <v>391.9</v>
      </c>
      <c r="E1640" s="116">
        <v>400.55</v>
      </c>
      <c r="F1640" s="116">
        <v>398.25</v>
      </c>
      <c r="G1640">
        <v>103224</v>
      </c>
      <c r="H1640" s="116"/>
      <c r="I1640" s="116"/>
      <c r="L1640" s="170">
        <v>44419</v>
      </c>
      <c r="M1640" s="116">
        <v>398.25</v>
      </c>
      <c r="N1640" s="116">
        <v>405</v>
      </c>
      <c r="O1640" s="116">
        <v>391.8</v>
      </c>
      <c r="P1640" s="116">
        <v>399.9</v>
      </c>
      <c r="Q1640" s="116">
        <v>398.25</v>
      </c>
      <c r="R1640">
        <v>3337019</v>
      </c>
    </row>
    <row r="1641" spans="1:18" x14ac:dyDescent="0.25">
      <c r="A1641" s="170">
        <v>44420</v>
      </c>
      <c r="B1641" s="116">
        <v>408</v>
      </c>
      <c r="C1641" s="116">
        <v>400</v>
      </c>
      <c r="D1641" s="116">
        <v>395.9</v>
      </c>
      <c r="E1641" s="116">
        <v>398.65</v>
      </c>
      <c r="F1641" s="116">
        <v>400</v>
      </c>
      <c r="G1641">
        <v>185458</v>
      </c>
      <c r="H1641" s="116"/>
      <c r="I1641" s="116"/>
      <c r="L1641" s="170">
        <v>44420</v>
      </c>
      <c r="M1641" s="116">
        <v>399.8</v>
      </c>
      <c r="N1641" s="116">
        <v>408</v>
      </c>
      <c r="O1641" s="116">
        <v>395.45</v>
      </c>
      <c r="P1641" s="116">
        <v>400.3</v>
      </c>
      <c r="Q1641" s="116">
        <v>399.8</v>
      </c>
      <c r="R1641">
        <v>4066743</v>
      </c>
    </row>
    <row r="1642" spans="1:18" x14ac:dyDescent="0.25">
      <c r="A1642" s="170">
        <v>44421</v>
      </c>
      <c r="B1642" s="116">
        <v>404.6</v>
      </c>
      <c r="C1642" s="116">
        <v>402.55</v>
      </c>
      <c r="D1642" s="116">
        <v>396.25</v>
      </c>
      <c r="E1642" s="116">
        <v>402.9</v>
      </c>
      <c r="F1642" s="116">
        <v>402.55</v>
      </c>
      <c r="G1642">
        <v>179448</v>
      </c>
      <c r="H1642" s="116"/>
      <c r="I1642" s="116"/>
      <c r="L1642" s="170">
        <v>44421</v>
      </c>
      <c r="M1642" s="116">
        <v>402.45</v>
      </c>
      <c r="N1642" s="116">
        <v>404.95</v>
      </c>
      <c r="O1642" s="116">
        <v>396.2</v>
      </c>
      <c r="P1642" s="116">
        <v>401.5</v>
      </c>
      <c r="Q1642" s="116">
        <v>402.45</v>
      </c>
      <c r="R1642">
        <v>2351561</v>
      </c>
    </row>
    <row r="1643" spans="1:18" x14ac:dyDescent="0.25">
      <c r="A1643" s="170">
        <v>44424</v>
      </c>
      <c r="B1643" s="116">
        <v>404.3</v>
      </c>
      <c r="C1643" s="116">
        <v>396.25</v>
      </c>
      <c r="D1643" s="116">
        <v>395.5</v>
      </c>
      <c r="E1643" s="116">
        <v>401.4</v>
      </c>
      <c r="F1643" s="116">
        <v>396.25</v>
      </c>
      <c r="G1643">
        <v>76234</v>
      </c>
      <c r="H1643" s="116"/>
      <c r="I1643" s="116"/>
      <c r="L1643" s="170">
        <v>44424</v>
      </c>
      <c r="M1643" s="116">
        <v>396.25</v>
      </c>
      <c r="N1643" s="116">
        <v>404.15</v>
      </c>
      <c r="O1643" s="116">
        <v>395.4</v>
      </c>
      <c r="P1643" s="116">
        <v>402.45</v>
      </c>
      <c r="Q1643" s="116">
        <v>396.25</v>
      </c>
      <c r="R1643">
        <v>1762903</v>
      </c>
    </row>
    <row r="1644" spans="1:18" x14ac:dyDescent="0.25">
      <c r="A1644" s="170">
        <v>44425</v>
      </c>
      <c r="B1644" s="116">
        <v>402.75</v>
      </c>
      <c r="C1644" s="116">
        <v>401.2</v>
      </c>
      <c r="D1644" s="116">
        <v>392.25</v>
      </c>
      <c r="E1644" s="116">
        <v>396.65</v>
      </c>
      <c r="F1644" s="116">
        <v>401.2</v>
      </c>
      <c r="G1644">
        <v>106909</v>
      </c>
      <c r="H1644" s="116"/>
      <c r="I1644" s="116"/>
      <c r="L1644" s="170">
        <v>44425</v>
      </c>
      <c r="M1644" s="116">
        <v>401.5</v>
      </c>
      <c r="N1644" s="116">
        <v>402.8</v>
      </c>
      <c r="O1644" s="116">
        <v>392.25</v>
      </c>
      <c r="P1644" s="116">
        <v>398.4</v>
      </c>
      <c r="Q1644" s="116">
        <v>401.5</v>
      </c>
      <c r="R1644">
        <v>2736839</v>
      </c>
    </row>
    <row r="1645" spans="1:18" x14ac:dyDescent="0.25">
      <c r="A1645" s="170">
        <v>44426</v>
      </c>
      <c r="B1645" s="116">
        <v>410.95</v>
      </c>
      <c r="C1645" s="116">
        <v>409.25</v>
      </c>
      <c r="D1645" s="116">
        <v>401.1</v>
      </c>
      <c r="E1645" s="116">
        <v>402.6</v>
      </c>
      <c r="F1645" s="116">
        <v>409.25</v>
      </c>
      <c r="G1645">
        <v>191114</v>
      </c>
      <c r="H1645" s="116"/>
      <c r="I1645" s="116"/>
      <c r="L1645" s="170">
        <v>44426</v>
      </c>
      <c r="M1645" s="116">
        <v>409.4</v>
      </c>
      <c r="N1645" s="116">
        <v>411</v>
      </c>
      <c r="O1645" s="116">
        <v>400.9</v>
      </c>
      <c r="P1645" s="116">
        <v>404.9</v>
      </c>
      <c r="Q1645" s="116">
        <v>409.4</v>
      </c>
      <c r="R1645">
        <v>7112861</v>
      </c>
    </row>
    <row r="1646" spans="1:18" x14ac:dyDescent="0.25">
      <c r="A1646" s="170">
        <v>44428</v>
      </c>
      <c r="B1646" s="116">
        <v>413.55</v>
      </c>
      <c r="C1646" s="116">
        <v>391.55</v>
      </c>
      <c r="D1646" s="116">
        <v>390.1</v>
      </c>
      <c r="E1646" s="116">
        <v>409.4</v>
      </c>
      <c r="F1646" s="116">
        <v>391.55</v>
      </c>
      <c r="G1646">
        <v>510214</v>
      </c>
      <c r="H1646" s="116"/>
      <c r="I1646" s="116"/>
      <c r="L1646" s="170">
        <v>44428</v>
      </c>
      <c r="M1646" s="116">
        <v>391.8</v>
      </c>
      <c r="N1646" s="116">
        <v>413.65</v>
      </c>
      <c r="O1646" s="116">
        <v>390</v>
      </c>
      <c r="P1646" s="116">
        <v>407.9</v>
      </c>
      <c r="Q1646" s="116">
        <v>391.8</v>
      </c>
      <c r="R1646">
        <v>6967987</v>
      </c>
    </row>
    <row r="1647" spans="1:18" x14ac:dyDescent="0.25">
      <c r="A1647" s="170">
        <v>44431</v>
      </c>
      <c r="B1647" s="116">
        <v>397</v>
      </c>
      <c r="C1647" s="116">
        <v>390.45</v>
      </c>
      <c r="D1647" s="116">
        <v>381.5</v>
      </c>
      <c r="E1647" s="116">
        <v>396.9</v>
      </c>
      <c r="F1647" s="116">
        <v>390.45</v>
      </c>
      <c r="G1647">
        <v>154345</v>
      </c>
      <c r="H1647" s="116"/>
      <c r="I1647" s="116"/>
      <c r="L1647" s="170">
        <v>44431</v>
      </c>
      <c r="M1647" s="116">
        <v>390.65</v>
      </c>
      <c r="N1647" s="116">
        <v>396.7</v>
      </c>
      <c r="O1647" s="116">
        <v>381.25</v>
      </c>
      <c r="P1647" s="116">
        <v>396.7</v>
      </c>
      <c r="Q1647" s="116">
        <v>390.65</v>
      </c>
      <c r="R1647">
        <v>5438059</v>
      </c>
    </row>
    <row r="1648" spans="1:18" x14ac:dyDescent="0.25">
      <c r="A1648" s="170">
        <v>44432</v>
      </c>
      <c r="B1648" s="116">
        <v>396</v>
      </c>
      <c r="C1648" s="116">
        <v>395.35</v>
      </c>
      <c r="D1648" s="116">
        <v>386.65</v>
      </c>
      <c r="E1648" s="116">
        <v>394</v>
      </c>
      <c r="F1648" s="116">
        <v>395.35</v>
      </c>
      <c r="G1648">
        <v>768775</v>
      </c>
      <c r="H1648" s="116"/>
      <c r="I1648" s="116"/>
      <c r="L1648" s="170">
        <v>44432</v>
      </c>
      <c r="M1648" s="116">
        <v>395.35</v>
      </c>
      <c r="N1648" s="116">
        <v>396.5</v>
      </c>
      <c r="O1648" s="116">
        <v>386.3</v>
      </c>
      <c r="P1648" s="116">
        <v>392.7</v>
      </c>
      <c r="Q1648" s="116">
        <v>395.35</v>
      </c>
      <c r="R1648">
        <v>3978409</v>
      </c>
    </row>
    <row r="1649" spans="1:18" x14ac:dyDescent="0.25">
      <c r="A1649" s="170">
        <v>44433</v>
      </c>
      <c r="B1649" s="116">
        <v>399.35</v>
      </c>
      <c r="C1649" s="116">
        <v>396.7</v>
      </c>
      <c r="D1649" s="116">
        <v>393.6</v>
      </c>
      <c r="E1649" s="116">
        <v>396</v>
      </c>
      <c r="F1649" s="116">
        <v>396.7</v>
      </c>
      <c r="G1649">
        <v>90879</v>
      </c>
      <c r="H1649" s="116"/>
      <c r="I1649" s="116"/>
      <c r="L1649" s="170">
        <v>44433</v>
      </c>
      <c r="M1649" s="116">
        <v>397.05</v>
      </c>
      <c r="N1649" s="116">
        <v>399.35</v>
      </c>
      <c r="O1649" s="116">
        <v>393</v>
      </c>
      <c r="P1649" s="116">
        <v>396.9</v>
      </c>
      <c r="Q1649" s="116">
        <v>397.05</v>
      </c>
      <c r="R1649">
        <v>2891821</v>
      </c>
    </row>
    <row r="1650" spans="1:18" x14ac:dyDescent="0.25">
      <c r="A1650" s="170">
        <v>44434</v>
      </c>
      <c r="B1650" s="116">
        <v>401</v>
      </c>
      <c r="C1650" s="116">
        <v>397.75</v>
      </c>
      <c r="D1650" s="116">
        <v>391.15</v>
      </c>
      <c r="E1650" s="116">
        <v>401</v>
      </c>
      <c r="F1650" s="116">
        <v>397.75</v>
      </c>
      <c r="G1650">
        <v>120620</v>
      </c>
      <c r="H1650" s="116"/>
      <c r="I1650" s="116"/>
      <c r="L1650" s="170">
        <v>44434</v>
      </c>
      <c r="M1650" s="116">
        <v>398.35</v>
      </c>
      <c r="N1650" s="116">
        <v>400.9</v>
      </c>
      <c r="O1650" s="116">
        <v>391.15</v>
      </c>
      <c r="P1650" s="116">
        <v>398</v>
      </c>
      <c r="Q1650" s="116">
        <v>398.35</v>
      </c>
      <c r="R1650">
        <v>3558058</v>
      </c>
    </row>
    <row r="1651" spans="1:18" x14ac:dyDescent="0.25">
      <c r="A1651" s="170">
        <v>44435</v>
      </c>
      <c r="B1651" s="116">
        <v>411.5</v>
      </c>
      <c r="C1651" s="116">
        <v>409.75</v>
      </c>
      <c r="D1651" s="116">
        <v>397.5</v>
      </c>
      <c r="E1651" s="116">
        <v>400</v>
      </c>
      <c r="F1651" s="116">
        <v>409.75</v>
      </c>
      <c r="G1651">
        <v>181457</v>
      </c>
      <c r="H1651" s="116"/>
      <c r="I1651" s="116"/>
      <c r="L1651" s="170">
        <v>44435</v>
      </c>
      <c r="M1651" s="116">
        <v>410.05</v>
      </c>
      <c r="N1651" s="116">
        <v>411.45</v>
      </c>
      <c r="O1651" s="116">
        <v>397.5</v>
      </c>
      <c r="P1651" s="116">
        <v>401</v>
      </c>
      <c r="Q1651" s="116">
        <v>410.05</v>
      </c>
      <c r="R1651">
        <v>4555890</v>
      </c>
    </row>
    <row r="1652" spans="1:18" x14ac:dyDescent="0.25">
      <c r="A1652" s="170">
        <v>44438</v>
      </c>
      <c r="B1652" s="116">
        <v>420.4</v>
      </c>
      <c r="C1652" s="116">
        <v>417.9</v>
      </c>
      <c r="D1652" s="116">
        <v>410</v>
      </c>
      <c r="E1652" s="116">
        <v>410</v>
      </c>
      <c r="F1652" s="116">
        <v>417.9</v>
      </c>
      <c r="G1652">
        <v>358047</v>
      </c>
      <c r="H1652" s="116"/>
      <c r="I1652" s="116"/>
      <c r="L1652" s="170">
        <v>44438</v>
      </c>
      <c r="M1652" s="116">
        <v>417.7</v>
      </c>
      <c r="N1652" s="116">
        <v>420.4</v>
      </c>
      <c r="O1652" s="116">
        <v>412</v>
      </c>
      <c r="P1652" s="116">
        <v>412.1</v>
      </c>
      <c r="Q1652" s="116">
        <v>417.7</v>
      </c>
      <c r="R1652">
        <v>5235500</v>
      </c>
    </row>
    <row r="1653" spans="1:18" x14ac:dyDescent="0.25">
      <c r="A1653" s="170">
        <v>44439</v>
      </c>
      <c r="B1653" s="116">
        <v>422.2</v>
      </c>
      <c r="C1653" s="116">
        <v>421.4</v>
      </c>
      <c r="D1653" s="116">
        <v>413.45</v>
      </c>
      <c r="E1653" s="116">
        <v>417.9</v>
      </c>
      <c r="F1653" s="116">
        <v>421.4</v>
      </c>
      <c r="G1653">
        <v>818051</v>
      </c>
      <c r="H1653" s="116"/>
      <c r="I1653" s="116"/>
      <c r="L1653" s="170">
        <v>44439</v>
      </c>
      <c r="M1653" s="116">
        <v>421.05</v>
      </c>
      <c r="N1653" s="116">
        <v>422.45</v>
      </c>
      <c r="O1653" s="116">
        <v>413.45</v>
      </c>
      <c r="P1653" s="116">
        <v>417.7</v>
      </c>
      <c r="Q1653" s="116">
        <v>421.05</v>
      </c>
      <c r="R1653">
        <v>6342929</v>
      </c>
    </row>
    <row r="1654" spans="1:18" x14ac:dyDescent="0.25">
      <c r="A1654" s="170">
        <v>44440</v>
      </c>
      <c r="B1654" s="116">
        <v>423.7</v>
      </c>
      <c r="C1654" s="116">
        <v>421.4</v>
      </c>
      <c r="D1654" s="116">
        <v>418.95</v>
      </c>
      <c r="E1654" s="116">
        <v>423</v>
      </c>
      <c r="F1654" s="116">
        <v>421.4</v>
      </c>
      <c r="G1654">
        <v>103200</v>
      </c>
      <c r="H1654" s="116"/>
      <c r="I1654" s="116"/>
      <c r="L1654" s="170">
        <v>44440</v>
      </c>
      <c r="M1654" s="116">
        <v>421.5</v>
      </c>
      <c r="N1654" s="116">
        <v>424.05</v>
      </c>
      <c r="O1654" s="116">
        <v>418.8</v>
      </c>
      <c r="P1654" s="116">
        <v>423</v>
      </c>
      <c r="Q1654" s="116">
        <v>421.5</v>
      </c>
      <c r="R1654">
        <v>1910281</v>
      </c>
    </row>
    <row r="1655" spans="1:18" x14ac:dyDescent="0.25">
      <c r="A1655" s="170">
        <v>44441</v>
      </c>
      <c r="B1655" s="116">
        <v>431.85</v>
      </c>
      <c r="C1655" s="116">
        <v>428.2</v>
      </c>
      <c r="D1655" s="116">
        <v>421.9</v>
      </c>
      <c r="E1655" s="116">
        <v>423.5</v>
      </c>
      <c r="F1655" s="116">
        <v>428.2</v>
      </c>
      <c r="G1655">
        <v>143349</v>
      </c>
      <c r="H1655" s="116"/>
      <c r="I1655" s="116"/>
      <c r="L1655" s="170">
        <v>44441</v>
      </c>
      <c r="M1655" s="116">
        <v>428.7</v>
      </c>
      <c r="N1655" s="116">
        <v>432</v>
      </c>
      <c r="O1655" s="116">
        <v>421.5</v>
      </c>
      <c r="P1655" s="116">
        <v>421.55</v>
      </c>
      <c r="Q1655" s="116">
        <v>428.7</v>
      </c>
      <c r="R1655">
        <v>4193528</v>
      </c>
    </row>
    <row r="1656" spans="1:18" x14ac:dyDescent="0.25">
      <c r="A1656" s="170">
        <v>44442</v>
      </c>
      <c r="B1656" s="116">
        <v>437.95</v>
      </c>
      <c r="C1656" s="116">
        <v>436.95</v>
      </c>
      <c r="D1656" s="116">
        <v>425.6</v>
      </c>
      <c r="E1656" s="116">
        <v>432</v>
      </c>
      <c r="F1656" s="116">
        <v>436.95</v>
      </c>
      <c r="G1656">
        <v>123056</v>
      </c>
      <c r="H1656" s="116"/>
      <c r="I1656" s="116"/>
      <c r="L1656" s="170">
        <v>44442</v>
      </c>
      <c r="M1656" s="116">
        <v>437.1</v>
      </c>
      <c r="N1656" s="116">
        <v>437.85</v>
      </c>
      <c r="O1656" s="116">
        <v>425.5</v>
      </c>
      <c r="P1656" s="116">
        <v>430.85</v>
      </c>
      <c r="Q1656" s="116">
        <v>437.1</v>
      </c>
      <c r="R1656">
        <v>4507212</v>
      </c>
    </row>
    <row r="1657" spans="1:18" x14ac:dyDescent="0.25">
      <c r="A1657" s="170">
        <v>44445</v>
      </c>
      <c r="B1657" s="116">
        <v>442</v>
      </c>
      <c r="C1657" s="116">
        <v>438.15</v>
      </c>
      <c r="D1657" s="116">
        <v>436.9</v>
      </c>
      <c r="E1657" s="116">
        <v>440.1</v>
      </c>
      <c r="F1657" s="116">
        <v>438.15</v>
      </c>
      <c r="G1657">
        <v>79846</v>
      </c>
      <c r="H1657" s="116"/>
      <c r="I1657" s="116"/>
      <c r="L1657" s="170">
        <v>44445</v>
      </c>
      <c r="M1657" s="116">
        <v>438.3</v>
      </c>
      <c r="N1657" s="116">
        <v>442</v>
      </c>
      <c r="O1657" s="116">
        <v>436.65</v>
      </c>
      <c r="P1657" s="116">
        <v>440.85</v>
      </c>
      <c r="Q1657" s="116">
        <v>438.3</v>
      </c>
      <c r="R1657">
        <v>3574072</v>
      </c>
    </row>
    <row r="1658" spans="1:18" x14ac:dyDescent="0.25">
      <c r="A1658" s="170">
        <v>44446</v>
      </c>
      <c r="B1658" s="116">
        <v>442.35</v>
      </c>
      <c r="C1658" s="116">
        <v>441.45</v>
      </c>
      <c r="D1658" s="116">
        <v>434.05</v>
      </c>
      <c r="E1658" s="116">
        <v>440.2</v>
      </c>
      <c r="F1658" s="116">
        <v>441.45</v>
      </c>
      <c r="G1658">
        <v>72833</v>
      </c>
      <c r="H1658" s="116"/>
      <c r="I1658" s="116"/>
      <c r="L1658" s="170">
        <v>44446</v>
      </c>
      <c r="M1658" s="116">
        <v>441.5</v>
      </c>
      <c r="N1658" s="116">
        <v>442.5</v>
      </c>
      <c r="O1658" s="116">
        <v>434</v>
      </c>
      <c r="P1658" s="116">
        <v>437.15</v>
      </c>
      <c r="Q1658" s="116">
        <v>441.5</v>
      </c>
      <c r="R1658">
        <v>2060092</v>
      </c>
    </row>
    <row r="1659" spans="1:18" x14ac:dyDescent="0.25">
      <c r="A1659" s="170">
        <v>44447</v>
      </c>
      <c r="B1659" s="116">
        <v>442.95</v>
      </c>
      <c r="C1659" s="116">
        <v>436</v>
      </c>
      <c r="D1659" s="116">
        <v>433.55</v>
      </c>
      <c r="E1659" s="116">
        <v>442.95</v>
      </c>
      <c r="F1659" s="116">
        <v>436</v>
      </c>
      <c r="G1659">
        <v>86398</v>
      </c>
      <c r="H1659" s="116"/>
      <c r="I1659" s="116"/>
      <c r="L1659" s="170">
        <v>44447</v>
      </c>
      <c r="M1659" s="116">
        <v>435.95</v>
      </c>
      <c r="N1659" s="116">
        <v>441.45</v>
      </c>
      <c r="O1659" s="116">
        <v>433.5</v>
      </c>
      <c r="P1659" s="116">
        <v>441.45</v>
      </c>
      <c r="Q1659" s="116">
        <v>435.95</v>
      </c>
      <c r="R1659">
        <v>3195625</v>
      </c>
    </row>
    <row r="1660" spans="1:18" x14ac:dyDescent="0.25">
      <c r="A1660" s="170">
        <v>44448</v>
      </c>
      <c r="B1660" s="116">
        <v>440.05</v>
      </c>
      <c r="C1660" s="116">
        <v>438.65</v>
      </c>
      <c r="D1660" s="116">
        <v>429.9</v>
      </c>
      <c r="E1660" s="116">
        <v>429.9</v>
      </c>
      <c r="F1660" s="116">
        <v>438.65</v>
      </c>
      <c r="G1660">
        <v>70609</v>
      </c>
      <c r="H1660" s="116"/>
      <c r="I1660" s="116"/>
      <c r="L1660" s="170">
        <v>44448</v>
      </c>
      <c r="M1660" s="116">
        <v>438.35</v>
      </c>
      <c r="N1660" s="116">
        <v>440.35</v>
      </c>
      <c r="O1660" s="116">
        <v>432.1</v>
      </c>
      <c r="P1660" s="116">
        <v>432.95</v>
      </c>
      <c r="Q1660" s="116">
        <v>438.35</v>
      </c>
      <c r="R1660">
        <v>1362416</v>
      </c>
    </row>
    <row r="1661" spans="1:18" x14ac:dyDescent="0.25">
      <c r="A1661" s="170">
        <v>44452</v>
      </c>
      <c r="B1661" s="116">
        <v>439.7</v>
      </c>
      <c r="C1661" s="116">
        <v>436.1</v>
      </c>
      <c r="D1661" s="116">
        <v>434.45</v>
      </c>
      <c r="E1661" s="116">
        <v>438.9</v>
      </c>
      <c r="F1661" s="116">
        <v>436.1</v>
      </c>
      <c r="G1661">
        <v>99797</v>
      </c>
      <c r="H1661" s="116"/>
      <c r="I1661" s="116"/>
      <c r="L1661" s="170">
        <v>44452</v>
      </c>
      <c r="M1661" s="116">
        <v>436.25</v>
      </c>
      <c r="N1661" s="116">
        <v>439.7</v>
      </c>
      <c r="O1661" s="116">
        <v>434.4</v>
      </c>
      <c r="P1661" s="116">
        <v>437.1</v>
      </c>
      <c r="Q1661" s="116">
        <v>436.25</v>
      </c>
      <c r="R1661">
        <v>1790853</v>
      </c>
    </row>
    <row r="1662" spans="1:18" x14ac:dyDescent="0.25">
      <c r="A1662" s="170">
        <v>44453</v>
      </c>
      <c r="B1662" s="116">
        <v>436.8</v>
      </c>
      <c r="C1662" s="116">
        <v>431.9</v>
      </c>
      <c r="D1662" s="116">
        <v>427.7</v>
      </c>
      <c r="E1662" s="116">
        <v>436</v>
      </c>
      <c r="F1662" s="116">
        <v>431.9</v>
      </c>
      <c r="G1662">
        <v>110182</v>
      </c>
      <c r="H1662" s="116"/>
      <c r="I1662" s="116"/>
      <c r="L1662" s="170">
        <v>44453</v>
      </c>
      <c r="M1662" s="116">
        <v>432.45</v>
      </c>
      <c r="N1662" s="116">
        <v>436.85</v>
      </c>
      <c r="O1662" s="116">
        <v>428.5</v>
      </c>
      <c r="P1662" s="116">
        <v>436.55</v>
      </c>
      <c r="Q1662" s="116">
        <v>432.45</v>
      </c>
      <c r="R1662">
        <v>2872240</v>
      </c>
    </row>
    <row r="1663" spans="1:18" x14ac:dyDescent="0.25">
      <c r="A1663" s="170">
        <v>44454</v>
      </c>
      <c r="B1663" s="116">
        <v>438</v>
      </c>
      <c r="C1663" s="116">
        <v>436.9</v>
      </c>
      <c r="D1663" s="116">
        <v>430.15</v>
      </c>
      <c r="E1663" s="116">
        <v>430.15</v>
      </c>
      <c r="F1663" s="116">
        <v>436.9</v>
      </c>
      <c r="G1663">
        <v>92001</v>
      </c>
      <c r="H1663" s="116"/>
      <c r="I1663" s="116"/>
      <c r="L1663" s="170">
        <v>44454</v>
      </c>
      <c r="M1663" s="116">
        <v>437.05</v>
      </c>
      <c r="N1663" s="116">
        <v>438.05</v>
      </c>
      <c r="O1663" s="116">
        <v>431.45</v>
      </c>
      <c r="P1663" s="116">
        <v>432.45</v>
      </c>
      <c r="Q1663" s="116">
        <v>437.05</v>
      </c>
      <c r="R1663">
        <v>2587288</v>
      </c>
    </row>
    <row r="1664" spans="1:18" x14ac:dyDescent="0.25">
      <c r="A1664" s="170">
        <v>44455</v>
      </c>
      <c r="B1664" s="116">
        <v>439.8</v>
      </c>
      <c r="C1664" s="116">
        <v>430.3</v>
      </c>
      <c r="D1664" s="116">
        <v>428</v>
      </c>
      <c r="E1664" s="116">
        <v>439.8</v>
      </c>
      <c r="F1664" s="116">
        <v>430.3</v>
      </c>
      <c r="G1664">
        <v>515252</v>
      </c>
      <c r="H1664" s="116"/>
      <c r="I1664" s="116"/>
      <c r="L1664" s="170">
        <v>44455</v>
      </c>
      <c r="M1664" s="116">
        <v>430.2</v>
      </c>
      <c r="N1664" s="116">
        <v>439.7</v>
      </c>
      <c r="O1664" s="116">
        <v>427.8</v>
      </c>
      <c r="P1664" s="116">
        <v>437.05</v>
      </c>
      <c r="Q1664" s="116">
        <v>430.2</v>
      </c>
      <c r="R1664">
        <v>3329646</v>
      </c>
    </row>
    <row r="1665" spans="1:18" x14ac:dyDescent="0.25">
      <c r="A1665" s="170">
        <v>44456</v>
      </c>
      <c r="B1665" s="116">
        <v>432</v>
      </c>
      <c r="C1665" s="116">
        <v>420</v>
      </c>
      <c r="D1665" s="116">
        <v>418.5</v>
      </c>
      <c r="E1665" s="116">
        <v>432</v>
      </c>
      <c r="F1665" s="116">
        <v>420</v>
      </c>
      <c r="G1665">
        <v>537442</v>
      </c>
      <c r="H1665" s="116"/>
      <c r="I1665" s="116"/>
      <c r="L1665" s="170">
        <v>44456</v>
      </c>
      <c r="M1665" s="116">
        <v>419.8</v>
      </c>
      <c r="N1665" s="116">
        <v>432.35</v>
      </c>
      <c r="O1665" s="116">
        <v>418.45</v>
      </c>
      <c r="P1665" s="116">
        <v>431.9</v>
      </c>
      <c r="Q1665" s="116">
        <v>419.8</v>
      </c>
      <c r="R1665">
        <v>5274442</v>
      </c>
    </row>
    <row r="1666" spans="1:18" x14ac:dyDescent="0.25">
      <c r="A1666" s="170">
        <v>44459</v>
      </c>
      <c r="B1666" s="116">
        <v>419.2</v>
      </c>
      <c r="C1666" s="116">
        <v>410.8</v>
      </c>
      <c r="D1666" s="116">
        <v>408</v>
      </c>
      <c r="E1666" s="116">
        <v>417</v>
      </c>
      <c r="F1666" s="116">
        <v>410.8</v>
      </c>
      <c r="G1666">
        <v>776167</v>
      </c>
      <c r="H1666" s="116"/>
      <c r="I1666" s="116"/>
      <c r="L1666" s="170">
        <v>44459</v>
      </c>
      <c r="M1666" s="116">
        <v>409.8</v>
      </c>
      <c r="N1666" s="116">
        <v>419.2</v>
      </c>
      <c r="O1666" s="116">
        <v>408.25</v>
      </c>
      <c r="P1666" s="116">
        <v>416.9</v>
      </c>
      <c r="Q1666" s="116">
        <v>409.8</v>
      </c>
      <c r="R1666">
        <v>4182620</v>
      </c>
    </row>
    <row r="1667" spans="1:18" x14ac:dyDescent="0.25">
      <c r="A1667" s="170">
        <v>44460</v>
      </c>
      <c r="B1667" s="116">
        <v>414.1</v>
      </c>
      <c r="C1667" s="116">
        <v>413.35</v>
      </c>
      <c r="D1667" s="116">
        <v>402.3</v>
      </c>
      <c r="E1667" s="116">
        <v>405.35</v>
      </c>
      <c r="F1667" s="116">
        <v>413.35</v>
      </c>
      <c r="G1667">
        <v>461112</v>
      </c>
      <c r="H1667" s="116"/>
      <c r="I1667" s="116"/>
      <c r="L1667" s="170">
        <v>44460</v>
      </c>
      <c r="M1667" s="116">
        <v>413.2</v>
      </c>
      <c r="N1667" s="116">
        <v>414</v>
      </c>
      <c r="O1667" s="116">
        <v>402.4</v>
      </c>
      <c r="P1667" s="116">
        <v>407.75</v>
      </c>
      <c r="Q1667" s="116">
        <v>413.2</v>
      </c>
      <c r="R1667">
        <v>4386443</v>
      </c>
    </row>
    <row r="1668" spans="1:18" x14ac:dyDescent="0.25">
      <c r="A1668" s="170">
        <v>44461</v>
      </c>
      <c r="B1668" s="116">
        <v>422.45</v>
      </c>
      <c r="C1668" s="116">
        <v>419.5</v>
      </c>
      <c r="D1668" s="116">
        <v>413.25</v>
      </c>
      <c r="E1668" s="116">
        <v>420</v>
      </c>
      <c r="F1668" s="116">
        <v>419.5</v>
      </c>
      <c r="G1668">
        <v>107016</v>
      </c>
      <c r="H1668" s="116"/>
      <c r="I1668" s="116"/>
      <c r="L1668" s="170">
        <v>44461</v>
      </c>
      <c r="M1668" s="116">
        <v>419.5</v>
      </c>
      <c r="N1668" s="116">
        <v>422.85</v>
      </c>
      <c r="O1668" s="116">
        <v>413.05</v>
      </c>
      <c r="P1668" s="116">
        <v>414.65</v>
      </c>
      <c r="Q1668" s="116">
        <v>419.5</v>
      </c>
      <c r="R1668">
        <v>3233311</v>
      </c>
    </row>
    <row r="1669" spans="1:18" x14ac:dyDescent="0.25">
      <c r="A1669" s="170">
        <v>44462</v>
      </c>
      <c r="B1669" s="116">
        <v>423</v>
      </c>
      <c r="C1669" s="116">
        <v>419.7</v>
      </c>
      <c r="D1669" s="116">
        <v>415</v>
      </c>
      <c r="E1669" s="116">
        <v>423</v>
      </c>
      <c r="F1669" s="116">
        <v>419.7</v>
      </c>
      <c r="G1669">
        <v>973739</v>
      </c>
      <c r="H1669" s="116"/>
      <c r="I1669" s="116"/>
      <c r="L1669" s="170">
        <v>44462</v>
      </c>
      <c r="M1669" s="116">
        <v>419.55</v>
      </c>
      <c r="N1669" s="116">
        <v>422.9</v>
      </c>
      <c r="O1669" s="116">
        <v>415.1</v>
      </c>
      <c r="P1669" s="116">
        <v>421.9</v>
      </c>
      <c r="Q1669" s="116">
        <v>419.55</v>
      </c>
      <c r="R1669">
        <v>2177190</v>
      </c>
    </row>
    <row r="1670" spans="1:18" x14ac:dyDescent="0.25">
      <c r="A1670" s="170">
        <v>44463</v>
      </c>
      <c r="B1670" s="116">
        <v>423.2</v>
      </c>
      <c r="C1670" s="116">
        <v>410.75</v>
      </c>
      <c r="D1670" s="116">
        <v>409.05</v>
      </c>
      <c r="E1670" s="116">
        <v>423.2</v>
      </c>
      <c r="F1670" s="116">
        <v>410.75</v>
      </c>
      <c r="G1670">
        <v>101918</v>
      </c>
      <c r="H1670" s="116"/>
      <c r="I1670" s="116"/>
      <c r="L1670" s="170">
        <v>44463</v>
      </c>
      <c r="M1670" s="116">
        <v>410.7</v>
      </c>
      <c r="N1670" s="116">
        <v>423.5</v>
      </c>
      <c r="O1670" s="116">
        <v>408.85</v>
      </c>
      <c r="P1670" s="116">
        <v>421</v>
      </c>
      <c r="Q1670" s="116">
        <v>410.7</v>
      </c>
      <c r="R1670">
        <v>2871092</v>
      </c>
    </row>
    <row r="1671" spans="1:18" x14ac:dyDescent="0.25">
      <c r="A1671" s="170">
        <v>44466</v>
      </c>
      <c r="B1671" s="116">
        <v>419.95</v>
      </c>
      <c r="C1671" s="116">
        <v>418.1</v>
      </c>
      <c r="D1671" s="116">
        <v>407.5</v>
      </c>
      <c r="E1671" s="116">
        <v>411.05</v>
      </c>
      <c r="F1671" s="116">
        <v>418.1</v>
      </c>
      <c r="G1671">
        <v>144698</v>
      </c>
      <c r="H1671" s="116"/>
      <c r="I1671" s="116"/>
      <c r="L1671" s="170">
        <v>44466</v>
      </c>
      <c r="M1671" s="116">
        <v>418</v>
      </c>
      <c r="N1671" s="116">
        <v>420</v>
      </c>
      <c r="O1671" s="116">
        <v>407.45</v>
      </c>
      <c r="P1671" s="116">
        <v>412</v>
      </c>
      <c r="Q1671" s="116">
        <v>418</v>
      </c>
      <c r="R1671">
        <v>4682546</v>
      </c>
    </row>
    <row r="1672" spans="1:18" x14ac:dyDescent="0.25">
      <c r="A1672" s="170">
        <v>44467</v>
      </c>
      <c r="B1672" s="116">
        <v>424.5</v>
      </c>
      <c r="C1672" s="116">
        <v>413.9</v>
      </c>
      <c r="D1672" s="116">
        <v>411.2</v>
      </c>
      <c r="E1672" s="116">
        <v>419</v>
      </c>
      <c r="F1672" s="116">
        <v>413.9</v>
      </c>
      <c r="G1672">
        <v>509134</v>
      </c>
      <c r="H1672" s="116"/>
      <c r="I1672" s="116"/>
      <c r="L1672" s="170">
        <v>44467</v>
      </c>
      <c r="M1672" s="116">
        <v>413.1</v>
      </c>
      <c r="N1672" s="116">
        <v>424.5</v>
      </c>
      <c r="O1672" s="116">
        <v>411.1</v>
      </c>
      <c r="P1672" s="116">
        <v>421</v>
      </c>
      <c r="Q1672" s="116">
        <v>413.1</v>
      </c>
      <c r="R1672">
        <v>4657118</v>
      </c>
    </row>
    <row r="1673" spans="1:18" x14ac:dyDescent="0.25">
      <c r="A1673" s="170">
        <v>44468</v>
      </c>
      <c r="B1673" s="116">
        <v>410.2</v>
      </c>
      <c r="C1673" s="116">
        <v>406.45</v>
      </c>
      <c r="D1673" s="116">
        <v>401.15</v>
      </c>
      <c r="E1673" s="116">
        <v>410.05</v>
      </c>
      <c r="F1673" s="116">
        <v>406.45</v>
      </c>
      <c r="G1673">
        <v>191312</v>
      </c>
      <c r="H1673" s="116"/>
      <c r="I1673" s="116"/>
      <c r="L1673" s="170">
        <v>44468</v>
      </c>
      <c r="M1673" s="116">
        <v>406.45</v>
      </c>
      <c r="N1673" s="116">
        <v>410</v>
      </c>
      <c r="O1673" s="116">
        <v>401.15</v>
      </c>
      <c r="P1673" s="116">
        <v>410</v>
      </c>
      <c r="Q1673" s="116">
        <v>406.45</v>
      </c>
      <c r="R1673">
        <v>5728780</v>
      </c>
    </row>
    <row r="1674" spans="1:18" x14ac:dyDescent="0.25">
      <c r="A1674" s="170">
        <v>44469</v>
      </c>
      <c r="B1674" s="116">
        <v>409</v>
      </c>
      <c r="C1674" s="116">
        <v>400.75</v>
      </c>
      <c r="D1674" s="116">
        <v>398.5</v>
      </c>
      <c r="E1674" s="116">
        <v>409</v>
      </c>
      <c r="F1674" s="116">
        <v>400.75</v>
      </c>
      <c r="G1674">
        <v>474173</v>
      </c>
      <c r="H1674" s="116"/>
      <c r="I1674" s="116"/>
      <c r="L1674" s="170">
        <v>44469</v>
      </c>
      <c r="M1674" s="116">
        <v>400.2</v>
      </c>
      <c r="N1674" s="116">
        <v>408.35</v>
      </c>
      <c r="O1674" s="116">
        <v>398.4</v>
      </c>
      <c r="P1674" s="116">
        <v>408</v>
      </c>
      <c r="Q1674" s="116">
        <v>400.2</v>
      </c>
      <c r="R1674">
        <v>9312005</v>
      </c>
    </row>
    <row r="1675" spans="1:18" x14ac:dyDescent="0.25">
      <c r="A1675" s="170">
        <v>44470</v>
      </c>
      <c r="B1675" s="116">
        <v>404.55</v>
      </c>
      <c r="C1675" s="116">
        <v>402.1</v>
      </c>
      <c r="D1675" s="116">
        <v>396.1</v>
      </c>
      <c r="E1675" s="116">
        <v>399</v>
      </c>
      <c r="F1675" s="116">
        <v>402.1</v>
      </c>
      <c r="G1675">
        <v>394398</v>
      </c>
      <c r="H1675" s="116"/>
      <c r="I1675" s="116"/>
      <c r="L1675" s="170">
        <v>44470</v>
      </c>
      <c r="M1675" s="116">
        <v>402.25</v>
      </c>
      <c r="N1675" s="116">
        <v>404.8</v>
      </c>
      <c r="O1675" s="116">
        <v>396</v>
      </c>
      <c r="P1675" s="116">
        <v>399.9</v>
      </c>
      <c r="Q1675" s="116">
        <v>402.25</v>
      </c>
      <c r="R1675">
        <v>4662848</v>
      </c>
    </row>
    <row r="1676" spans="1:18" x14ac:dyDescent="0.25">
      <c r="A1676" s="170">
        <v>44473</v>
      </c>
      <c r="B1676" s="116">
        <v>409.9</v>
      </c>
      <c r="C1676" s="116">
        <v>406.65</v>
      </c>
      <c r="D1676" s="116">
        <v>402.65</v>
      </c>
      <c r="E1676" s="116">
        <v>405.7</v>
      </c>
      <c r="F1676" s="116">
        <v>406.65</v>
      </c>
      <c r="G1676">
        <v>357677</v>
      </c>
      <c r="H1676" s="116"/>
      <c r="I1676" s="116"/>
      <c r="L1676" s="170">
        <v>44473</v>
      </c>
      <c r="M1676" s="116">
        <v>406.5</v>
      </c>
      <c r="N1676" s="116">
        <v>409.95</v>
      </c>
      <c r="O1676" s="116">
        <v>402.5</v>
      </c>
      <c r="P1676" s="116">
        <v>404.9</v>
      </c>
      <c r="Q1676" s="116">
        <v>406.5</v>
      </c>
      <c r="R1676">
        <v>4122450</v>
      </c>
    </row>
    <row r="1677" spans="1:18" x14ac:dyDescent="0.25">
      <c r="A1677" s="170">
        <v>44474</v>
      </c>
      <c r="B1677" s="116">
        <v>407.7</v>
      </c>
      <c r="C1677" s="116">
        <v>403.95</v>
      </c>
      <c r="D1677" s="116">
        <v>402.9</v>
      </c>
      <c r="E1677" s="116">
        <v>404.8</v>
      </c>
      <c r="F1677" s="116">
        <v>403.95</v>
      </c>
      <c r="G1677">
        <v>463865</v>
      </c>
      <c r="H1677" s="116"/>
      <c r="I1677" s="116"/>
      <c r="L1677" s="170">
        <v>44474</v>
      </c>
      <c r="M1677" s="116">
        <v>403.65</v>
      </c>
      <c r="N1677" s="116">
        <v>407.6</v>
      </c>
      <c r="O1677" s="116">
        <v>402.8</v>
      </c>
      <c r="P1677" s="116">
        <v>406.45</v>
      </c>
      <c r="Q1677" s="116">
        <v>403.65</v>
      </c>
      <c r="R1677">
        <v>2505330</v>
      </c>
    </row>
    <row r="1678" spans="1:18" x14ac:dyDescent="0.25">
      <c r="A1678" s="170">
        <v>44475</v>
      </c>
      <c r="B1678" s="116">
        <v>406.85</v>
      </c>
      <c r="C1678" s="116">
        <v>395.3</v>
      </c>
      <c r="D1678" s="116">
        <v>393.5</v>
      </c>
      <c r="E1678" s="116">
        <v>406.85</v>
      </c>
      <c r="F1678" s="116">
        <v>395.3</v>
      </c>
      <c r="G1678">
        <v>370874</v>
      </c>
      <c r="H1678" s="116"/>
      <c r="I1678" s="116"/>
      <c r="L1678" s="170">
        <v>44475</v>
      </c>
      <c r="M1678" s="116">
        <v>394.9</v>
      </c>
      <c r="N1678" s="116">
        <v>405.8</v>
      </c>
      <c r="O1678" s="116">
        <v>393.5</v>
      </c>
      <c r="P1678" s="116">
        <v>404</v>
      </c>
      <c r="Q1678" s="116">
        <v>394.9</v>
      </c>
      <c r="R1678">
        <v>4685363</v>
      </c>
    </row>
    <row r="1679" spans="1:18" x14ac:dyDescent="0.25">
      <c r="A1679" s="170">
        <v>44476</v>
      </c>
      <c r="B1679" s="116">
        <v>404.6</v>
      </c>
      <c r="C1679" s="116">
        <v>402.85</v>
      </c>
      <c r="D1679" s="116">
        <v>397.2</v>
      </c>
      <c r="E1679" s="116">
        <v>400</v>
      </c>
      <c r="F1679" s="116">
        <v>402.85</v>
      </c>
      <c r="G1679">
        <v>198065</v>
      </c>
      <c r="H1679" s="116"/>
      <c r="I1679" s="116"/>
      <c r="L1679" s="170">
        <v>44476</v>
      </c>
      <c r="M1679" s="116">
        <v>402.9</v>
      </c>
      <c r="N1679" s="116">
        <v>404.7</v>
      </c>
      <c r="O1679" s="116">
        <v>397.3</v>
      </c>
      <c r="P1679" s="116">
        <v>398.95</v>
      </c>
      <c r="Q1679" s="116">
        <v>402.9</v>
      </c>
      <c r="R1679">
        <v>5508787</v>
      </c>
    </row>
    <row r="1680" spans="1:18" x14ac:dyDescent="0.25">
      <c r="A1680" s="170">
        <v>44477</v>
      </c>
      <c r="B1680" s="116">
        <v>407.5</v>
      </c>
      <c r="C1680" s="116">
        <v>403.05</v>
      </c>
      <c r="D1680" s="116">
        <v>401.55</v>
      </c>
      <c r="E1680" s="116">
        <v>407.5</v>
      </c>
      <c r="F1680" s="116">
        <v>403.05</v>
      </c>
      <c r="G1680">
        <v>114764</v>
      </c>
      <c r="H1680" s="116"/>
      <c r="I1680" s="116"/>
      <c r="L1680" s="170">
        <v>44477</v>
      </c>
      <c r="M1680" s="116">
        <v>403.05</v>
      </c>
      <c r="N1680" s="116">
        <v>406</v>
      </c>
      <c r="O1680" s="116">
        <v>401.25</v>
      </c>
      <c r="P1680" s="116">
        <v>404.9</v>
      </c>
      <c r="Q1680" s="116">
        <v>403.05</v>
      </c>
      <c r="R1680">
        <v>3321119</v>
      </c>
    </row>
    <row r="1681" spans="1:18" x14ac:dyDescent="0.25">
      <c r="A1681" s="170">
        <v>44480</v>
      </c>
      <c r="B1681" s="116">
        <v>406.8</v>
      </c>
      <c r="C1681" s="116">
        <v>402.9</v>
      </c>
      <c r="D1681" s="116">
        <v>400.25</v>
      </c>
      <c r="E1681" s="116">
        <v>402.05</v>
      </c>
      <c r="F1681" s="116">
        <v>402.9</v>
      </c>
      <c r="G1681">
        <v>905699</v>
      </c>
      <c r="H1681" s="116"/>
      <c r="I1681" s="116"/>
      <c r="L1681" s="170">
        <v>44480</v>
      </c>
      <c r="M1681" s="116">
        <v>402.95</v>
      </c>
      <c r="N1681" s="116">
        <v>406.95</v>
      </c>
      <c r="O1681" s="116">
        <v>400.3</v>
      </c>
      <c r="P1681" s="116">
        <v>404</v>
      </c>
      <c r="Q1681" s="116">
        <v>402.95</v>
      </c>
      <c r="R1681">
        <v>3522402</v>
      </c>
    </row>
    <row r="1682" spans="1:18" x14ac:dyDescent="0.25">
      <c r="A1682" s="170">
        <v>44481</v>
      </c>
      <c r="B1682" s="116">
        <v>405</v>
      </c>
      <c r="C1682" s="116">
        <v>403.45</v>
      </c>
      <c r="D1682" s="116">
        <v>398.65</v>
      </c>
      <c r="E1682" s="116">
        <v>403</v>
      </c>
      <c r="F1682" s="116">
        <v>403.45</v>
      </c>
      <c r="G1682">
        <v>112957</v>
      </c>
      <c r="H1682" s="116"/>
      <c r="I1682" s="116"/>
      <c r="L1682" s="170">
        <v>44481</v>
      </c>
      <c r="M1682" s="116">
        <v>403.6</v>
      </c>
      <c r="N1682" s="116">
        <v>405</v>
      </c>
      <c r="O1682" s="116">
        <v>398.55</v>
      </c>
      <c r="P1682" s="116">
        <v>402.85</v>
      </c>
      <c r="Q1682" s="116">
        <v>403.6</v>
      </c>
      <c r="R1682">
        <v>2117480</v>
      </c>
    </row>
    <row r="1683" spans="1:18" x14ac:dyDescent="0.25">
      <c r="A1683" s="170">
        <v>44482</v>
      </c>
      <c r="B1683" s="116">
        <v>407.9</v>
      </c>
      <c r="C1683" s="116">
        <v>404</v>
      </c>
      <c r="D1683" s="116">
        <v>402.9</v>
      </c>
      <c r="E1683" s="116">
        <v>405.35</v>
      </c>
      <c r="F1683" s="116">
        <v>404</v>
      </c>
      <c r="G1683">
        <v>150177</v>
      </c>
      <c r="H1683" s="116"/>
      <c r="I1683" s="116"/>
      <c r="L1683" s="170">
        <v>44482</v>
      </c>
      <c r="M1683" s="116">
        <v>404</v>
      </c>
      <c r="N1683" s="116">
        <v>407.9</v>
      </c>
      <c r="O1683" s="116">
        <v>403.05</v>
      </c>
      <c r="P1683" s="116">
        <v>406</v>
      </c>
      <c r="Q1683" s="116">
        <v>404</v>
      </c>
      <c r="R1683">
        <v>3780216</v>
      </c>
    </row>
    <row r="1684" spans="1:18" x14ac:dyDescent="0.25">
      <c r="A1684" s="170">
        <v>44483</v>
      </c>
      <c r="B1684" s="116">
        <v>414.6</v>
      </c>
      <c r="C1684" s="116">
        <v>408.8</v>
      </c>
      <c r="D1684" s="116">
        <v>404.15</v>
      </c>
      <c r="E1684" s="116">
        <v>404.15</v>
      </c>
      <c r="F1684" s="116">
        <v>408.8</v>
      </c>
      <c r="G1684">
        <v>180693</v>
      </c>
      <c r="H1684" s="116"/>
      <c r="I1684" s="116"/>
      <c r="L1684" s="170">
        <v>44483</v>
      </c>
      <c r="M1684" s="116">
        <v>408.75</v>
      </c>
      <c r="N1684" s="116">
        <v>414.8</v>
      </c>
      <c r="O1684" s="116">
        <v>405.25</v>
      </c>
      <c r="P1684" s="116">
        <v>407</v>
      </c>
      <c r="Q1684" s="116">
        <v>408.75</v>
      </c>
      <c r="R1684">
        <v>5426954</v>
      </c>
    </row>
    <row r="1685" spans="1:18" x14ac:dyDescent="0.25">
      <c r="A1685" s="170">
        <v>44487</v>
      </c>
      <c r="B1685" s="116">
        <v>417.25</v>
      </c>
      <c r="C1685" s="116">
        <v>410.6</v>
      </c>
      <c r="D1685" s="116">
        <v>409.45</v>
      </c>
      <c r="E1685" s="116">
        <v>416</v>
      </c>
      <c r="F1685" s="116">
        <v>410.6</v>
      </c>
      <c r="G1685">
        <v>301667</v>
      </c>
      <c r="H1685" s="116"/>
      <c r="I1685" s="116"/>
      <c r="L1685" s="170">
        <v>44487</v>
      </c>
      <c r="M1685" s="116">
        <v>410.6</v>
      </c>
      <c r="N1685" s="116">
        <v>418</v>
      </c>
      <c r="O1685" s="116">
        <v>409.55</v>
      </c>
      <c r="P1685" s="116">
        <v>418</v>
      </c>
      <c r="Q1685" s="116">
        <v>410.6</v>
      </c>
      <c r="R1685">
        <v>5319195</v>
      </c>
    </row>
    <row r="1686" spans="1:18" x14ac:dyDescent="0.25">
      <c r="A1686" s="170">
        <v>44488</v>
      </c>
      <c r="B1686" s="116">
        <v>412.5</v>
      </c>
      <c r="C1686" s="116">
        <v>389.5</v>
      </c>
      <c r="D1686" s="116">
        <v>387.4</v>
      </c>
      <c r="E1686" s="116">
        <v>410.7</v>
      </c>
      <c r="F1686" s="116">
        <v>389.5</v>
      </c>
      <c r="G1686">
        <v>1523470</v>
      </c>
      <c r="H1686" s="116"/>
      <c r="I1686" s="116"/>
      <c r="L1686" s="170">
        <v>44488</v>
      </c>
      <c r="M1686" s="116">
        <v>389.35</v>
      </c>
      <c r="N1686" s="116">
        <v>412.8</v>
      </c>
      <c r="O1686" s="116">
        <v>387.05</v>
      </c>
      <c r="P1686" s="116">
        <v>412.25</v>
      </c>
      <c r="Q1686" s="116">
        <v>389.35</v>
      </c>
      <c r="R1686">
        <v>8255248</v>
      </c>
    </row>
    <row r="1687" spans="1:18" x14ac:dyDescent="0.25">
      <c r="A1687" s="170">
        <v>44489</v>
      </c>
      <c r="B1687" s="116">
        <v>399.75</v>
      </c>
      <c r="C1687" s="116">
        <v>392.75</v>
      </c>
      <c r="D1687" s="116">
        <v>387.6</v>
      </c>
      <c r="E1687" s="116">
        <v>391.9</v>
      </c>
      <c r="F1687" s="116">
        <v>392.75</v>
      </c>
      <c r="G1687">
        <v>1018880</v>
      </c>
      <c r="H1687" s="116"/>
      <c r="I1687" s="116"/>
      <c r="L1687" s="170">
        <v>44489</v>
      </c>
      <c r="M1687" s="116">
        <v>392.75</v>
      </c>
      <c r="N1687" s="116">
        <v>399.9</v>
      </c>
      <c r="O1687" s="116">
        <v>387.6</v>
      </c>
      <c r="P1687" s="116">
        <v>391</v>
      </c>
      <c r="Q1687" s="116">
        <v>392.75</v>
      </c>
      <c r="R1687">
        <v>5245333</v>
      </c>
    </row>
    <row r="1688" spans="1:18" x14ac:dyDescent="0.25">
      <c r="A1688" s="170">
        <v>44490</v>
      </c>
      <c r="B1688" s="116">
        <v>395.2</v>
      </c>
      <c r="C1688" s="116">
        <v>379.8</v>
      </c>
      <c r="D1688" s="116">
        <v>378.35</v>
      </c>
      <c r="E1688" s="116">
        <v>393</v>
      </c>
      <c r="F1688" s="116">
        <v>379.8</v>
      </c>
      <c r="G1688">
        <v>251176</v>
      </c>
      <c r="H1688" s="116"/>
      <c r="I1688" s="116"/>
      <c r="L1688" s="170">
        <v>44490</v>
      </c>
      <c r="M1688" s="116">
        <v>379.9</v>
      </c>
      <c r="N1688" s="116">
        <v>394.85</v>
      </c>
      <c r="O1688" s="116">
        <v>378.2</v>
      </c>
      <c r="P1688" s="116">
        <v>394.85</v>
      </c>
      <c r="Q1688" s="116">
        <v>379.9</v>
      </c>
      <c r="R1688">
        <v>9834178</v>
      </c>
    </row>
    <row r="1689" spans="1:18" x14ac:dyDescent="0.25">
      <c r="A1689" s="170">
        <v>44491</v>
      </c>
      <c r="B1689" s="116">
        <v>383</v>
      </c>
      <c r="C1689" s="116">
        <v>375.95</v>
      </c>
      <c r="D1689" s="116">
        <v>372</v>
      </c>
      <c r="E1689" s="116">
        <v>383</v>
      </c>
      <c r="F1689" s="116">
        <v>375.95</v>
      </c>
      <c r="G1689">
        <v>167541</v>
      </c>
      <c r="H1689" s="116"/>
      <c r="I1689" s="116"/>
      <c r="L1689" s="170">
        <v>44491</v>
      </c>
      <c r="M1689" s="116">
        <v>376.1</v>
      </c>
      <c r="N1689" s="116">
        <v>381.7</v>
      </c>
      <c r="O1689" s="116">
        <v>372</v>
      </c>
      <c r="P1689" s="116">
        <v>380.2</v>
      </c>
      <c r="Q1689" s="116">
        <v>376.1</v>
      </c>
      <c r="R1689">
        <v>5253226</v>
      </c>
    </row>
    <row r="1690" spans="1:18" x14ac:dyDescent="0.25">
      <c r="A1690" s="170">
        <v>44494</v>
      </c>
      <c r="B1690" s="116">
        <v>378</v>
      </c>
      <c r="C1690" s="116">
        <v>376.1</v>
      </c>
      <c r="D1690" s="116">
        <v>365.95</v>
      </c>
      <c r="E1690" s="116">
        <v>378</v>
      </c>
      <c r="F1690" s="116">
        <v>376.1</v>
      </c>
      <c r="G1690">
        <v>89673</v>
      </c>
      <c r="H1690" s="116"/>
      <c r="I1690" s="116"/>
      <c r="L1690" s="170">
        <v>44494</v>
      </c>
      <c r="M1690" s="116">
        <v>375.9</v>
      </c>
      <c r="N1690" s="116">
        <v>378.2</v>
      </c>
      <c r="O1690" s="116">
        <v>365.75</v>
      </c>
      <c r="P1690" s="116">
        <v>378</v>
      </c>
      <c r="Q1690" s="116">
        <v>375.9</v>
      </c>
      <c r="R1690">
        <v>3368928</v>
      </c>
    </row>
    <row r="1691" spans="1:18" x14ac:dyDescent="0.25">
      <c r="A1691" s="170">
        <v>44495</v>
      </c>
      <c r="B1691" s="116">
        <v>381.25</v>
      </c>
      <c r="C1691" s="116">
        <v>380.2</v>
      </c>
      <c r="D1691" s="116">
        <v>373.15</v>
      </c>
      <c r="E1691" s="116">
        <v>378.9</v>
      </c>
      <c r="F1691" s="116">
        <v>380.2</v>
      </c>
      <c r="G1691">
        <v>153020</v>
      </c>
      <c r="H1691" s="116"/>
      <c r="I1691" s="116"/>
      <c r="L1691" s="170">
        <v>44495</v>
      </c>
      <c r="M1691" s="116">
        <v>380.35</v>
      </c>
      <c r="N1691" s="116">
        <v>381.3</v>
      </c>
      <c r="O1691" s="116">
        <v>373.25</v>
      </c>
      <c r="P1691" s="116">
        <v>377.7</v>
      </c>
      <c r="Q1691" s="116">
        <v>380.35</v>
      </c>
      <c r="R1691">
        <v>3427318</v>
      </c>
    </row>
    <row r="1692" spans="1:18" x14ac:dyDescent="0.25">
      <c r="A1692" s="170">
        <v>44496</v>
      </c>
      <c r="B1692" s="116">
        <v>387.05</v>
      </c>
      <c r="C1692" s="116">
        <v>381.7</v>
      </c>
      <c r="D1692" s="116">
        <v>373.7</v>
      </c>
      <c r="E1692" s="116">
        <v>376</v>
      </c>
      <c r="F1692" s="116">
        <v>381.7</v>
      </c>
      <c r="G1692">
        <v>417433</v>
      </c>
      <c r="H1692" s="116"/>
      <c r="I1692" s="116"/>
      <c r="L1692" s="170">
        <v>44496</v>
      </c>
      <c r="M1692" s="116">
        <v>381.85</v>
      </c>
      <c r="N1692" s="116">
        <v>387.05</v>
      </c>
      <c r="O1692" s="116">
        <v>373.7</v>
      </c>
      <c r="P1692" s="116">
        <v>375</v>
      </c>
      <c r="Q1692" s="116">
        <v>381.85</v>
      </c>
      <c r="R1692">
        <v>5357395</v>
      </c>
    </row>
    <row r="1693" spans="1:18" x14ac:dyDescent="0.25">
      <c r="A1693" s="170">
        <v>44497</v>
      </c>
      <c r="B1693" s="116">
        <v>392.4</v>
      </c>
      <c r="C1693" s="116">
        <v>390.15</v>
      </c>
      <c r="D1693" s="116">
        <v>380.9</v>
      </c>
      <c r="E1693" s="116">
        <v>386.2</v>
      </c>
      <c r="F1693" s="116">
        <v>390.15</v>
      </c>
      <c r="G1693">
        <v>149783</v>
      </c>
      <c r="H1693" s="116"/>
      <c r="I1693" s="116"/>
      <c r="L1693" s="170">
        <v>44497</v>
      </c>
      <c r="M1693" s="116">
        <v>390.05</v>
      </c>
      <c r="N1693" s="116">
        <v>392.5</v>
      </c>
      <c r="O1693" s="116">
        <v>380.8</v>
      </c>
      <c r="P1693" s="116">
        <v>383.6</v>
      </c>
      <c r="Q1693" s="116">
        <v>390.05</v>
      </c>
      <c r="R1693">
        <v>7419992</v>
      </c>
    </row>
    <row r="1694" spans="1:18" x14ac:dyDescent="0.25">
      <c r="A1694" s="170">
        <v>44498</v>
      </c>
      <c r="B1694" s="116">
        <v>406.65</v>
      </c>
      <c r="C1694" s="116">
        <v>404.65</v>
      </c>
      <c r="D1694" s="116">
        <v>382.2</v>
      </c>
      <c r="E1694" s="116">
        <v>393.9</v>
      </c>
      <c r="F1694" s="116">
        <v>404.65</v>
      </c>
      <c r="G1694">
        <v>734308</v>
      </c>
      <c r="H1694" s="116"/>
      <c r="I1694" s="116"/>
      <c r="L1694" s="170">
        <v>44498</v>
      </c>
      <c r="M1694" s="116">
        <v>404.8</v>
      </c>
      <c r="N1694" s="116">
        <v>406.85</v>
      </c>
      <c r="O1694" s="116">
        <v>382.25</v>
      </c>
      <c r="P1694" s="116">
        <v>392</v>
      </c>
      <c r="Q1694" s="116">
        <v>404.8</v>
      </c>
      <c r="R1694">
        <v>10104769</v>
      </c>
    </row>
    <row r="1695" spans="1:18" x14ac:dyDescent="0.25">
      <c r="A1695" s="170">
        <v>44501</v>
      </c>
      <c r="B1695" s="116">
        <v>412.7</v>
      </c>
      <c r="C1695" s="116">
        <v>409.5</v>
      </c>
      <c r="D1695" s="116">
        <v>402.05</v>
      </c>
      <c r="E1695" s="116">
        <v>407</v>
      </c>
      <c r="F1695" s="116">
        <v>409.5</v>
      </c>
      <c r="G1695">
        <v>275265</v>
      </c>
      <c r="H1695" s="116"/>
      <c r="I1695" s="116"/>
      <c r="L1695" s="170">
        <v>44501</v>
      </c>
      <c r="M1695" s="116">
        <v>409.8</v>
      </c>
      <c r="N1695" s="116">
        <v>412.65</v>
      </c>
      <c r="O1695" s="116">
        <v>402.95</v>
      </c>
      <c r="P1695" s="116">
        <v>406</v>
      </c>
      <c r="Q1695" s="116">
        <v>409.8</v>
      </c>
      <c r="R1695">
        <v>3997407</v>
      </c>
    </row>
    <row r="1696" spans="1:18" x14ac:dyDescent="0.25">
      <c r="A1696" s="170">
        <v>44502</v>
      </c>
      <c r="B1696" s="116">
        <v>414.5</v>
      </c>
      <c r="C1696" s="116">
        <v>407.25</v>
      </c>
      <c r="D1696" s="116">
        <v>405.15</v>
      </c>
      <c r="E1696" s="116">
        <v>412</v>
      </c>
      <c r="F1696" s="116">
        <v>407.25</v>
      </c>
      <c r="G1696">
        <v>51267</v>
      </c>
      <c r="H1696" s="116"/>
      <c r="I1696" s="116"/>
      <c r="L1696" s="170">
        <v>44502</v>
      </c>
      <c r="M1696" s="116">
        <v>407.25</v>
      </c>
      <c r="N1696" s="116">
        <v>414.45</v>
      </c>
      <c r="O1696" s="116">
        <v>405.1</v>
      </c>
      <c r="P1696" s="116">
        <v>410</v>
      </c>
      <c r="Q1696" s="116">
        <v>407.25</v>
      </c>
      <c r="R1696">
        <v>1970517</v>
      </c>
    </row>
    <row r="1697" spans="1:18" x14ac:dyDescent="0.25">
      <c r="A1697" s="170">
        <v>44503</v>
      </c>
      <c r="B1697" s="116">
        <v>414.4</v>
      </c>
      <c r="C1697" s="116">
        <v>412.6</v>
      </c>
      <c r="D1697" s="116">
        <v>404.4</v>
      </c>
      <c r="E1697" s="116">
        <v>406.75</v>
      </c>
      <c r="F1697" s="116">
        <v>412.6</v>
      </c>
      <c r="G1697">
        <v>156016</v>
      </c>
      <c r="H1697" s="116"/>
      <c r="I1697" s="116"/>
      <c r="L1697" s="170">
        <v>44503</v>
      </c>
      <c r="M1697" s="116">
        <v>412.9</v>
      </c>
      <c r="N1697" s="116">
        <v>414.7</v>
      </c>
      <c r="O1697" s="116">
        <v>403.5</v>
      </c>
      <c r="P1697" s="116">
        <v>408.75</v>
      </c>
      <c r="Q1697" s="116">
        <v>412.9</v>
      </c>
      <c r="R1697">
        <v>2147236</v>
      </c>
    </row>
    <row r="1698" spans="1:18" x14ac:dyDescent="0.25">
      <c r="A1698" s="170">
        <v>44504</v>
      </c>
      <c r="B1698" s="116">
        <v>414.8</v>
      </c>
      <c r="C1698" s="116">
        <v>413.1</v>
      </c>
      <c r="D1698" s="116">
        <v>412.3</v>
      </c>
      <c r="E1698" s="116">
        <v>414</v>
      </c>
      <c r="F1698" s="116">
        <v>413.1</v>
      </c>
      <c r="G1698">
        <v>11899</v>
      </c>
      <c r="H1698" s="116"/>
      <c r="I1698" s="116"/>
      <c r="L1698" s="170">
        <v>44504</v>
      </c>
      <c r="M1698" s="116">
        <v>413.2</v>
      </c>
      <c r="N1698" s="116">
        <v>414.7</v>
      </c>
      <c r="O1698" s="116">
        <v>412.25</v>
      </c>
      <c r="P1698" s="116">
        <v>413.2</v>
      </c>
      <c r="Q1698" s="116">
        <v>413.2</v>
      </c>
      <c r="R1698">
        <v>320391</v>
      </c>
    </row>
    <row r="1699" spans="1:18" x14ac:dyDescent="0.25">
      <c r="A1699" s="170">
        <v>44508</v>
      </c>
      <c r="B1699" s="116">
        <v>430.3</v>
      </c>
      <c r="C1699" s="116">
        <v>429.4</v>
      </c>
      <c r="D1699" s="116">
        <v>413</v>
      </c>
      <c r="E1699" s="116">
        <v>413</v>
      </c>
      <c r="F1699" s="116">
        <v>429.4</v>
      </c>
      <c r="G1699">
        <v>241031</v>
      </c>
      <c r="H1699" s="116"/>
      <c r="I1699" s="116"/>
      <c r="L1699" s="170">
        <v>44508</v>
      </c>
      <c r="M1699" s="116">
        <v>429.75</v>
      </c>
      <c r="N1699" s="116">
        <v>430.35</v>
      </c>
      <c r="O1699" s="116">
        <v>413.45</v>
      </c>
      <c r="P1699" s="116">
        <v>415</v>
      </c>
      <c r="Q1699" s="116">
        <v>429.75</v>
      </c>
      <c r="R1699">
        <v>7089536</v>
      </c>
    </row>
    <row r="1700" spans="1:18" x14ac:dyDescent="0.25">
      <c r="A1700" s="170">
        <v>44509</v>
      </c>
      <c r="B1700" s="116">
        <v>435.25</v>
      </c>
      <c r="C1700" s="116">
        <v>431.2</v>
      </c>
      <c r="D1700" s="116">
        <v>426.35</v>
      </c>
      <c r="E1700" s="116">
        <v>432</v>
      </c>
      <c r="F1700" s="116">
        <v>431.2</v>
      </c>
      <c r="G1700">
        <v>82029</v>
      </c>
      <c r="H1700" s="116"/>
      <c r="I1700" s="116"/>
      <c r="L1700" s="170">
        <v>44509</v>
      </c>
      <c r="M1700" s="116">
        <v>431.25</v>
      </c>
      <c r="N1700" s="116">
        <v>435</v>
      </c>
      <c r="O1700" s="116">
        <v>426.5</v>
      </c>
      <c r="P1700" s="116">
        <v>430.9</v>
      </c>
      <c r="Q1700" s="116">
        <v>431.25</v>
      </c>
      <c r="R1700">
        <v>2378131</v>
      </c>
    </row>
    <row r="1701" spans="1:18" x14ac:dyDescent="0.25">
      <c r="A1701" s="170">
        <v>44510</v>
      </c>
      <c r="B1701" s="116">
        <v>433.25</v>
      </c>
      <c r="C1701" s="116">
        <v>428.25</v>
      </c>
      <c r="D1701" s="116">
        <v>425.2</v>
      </c>
      <c r="E1701" s="116">
        <v>426.2</v>
      </c>
      <c r="F1701" s="116">
        <v>428.25</v>
      </c>
      <c r="G1701">
        <v>69670</v>
      </c>
      <c r="H1701" s="116"/>
      <c r="I1701" s="116"/>
      <c r="L1701" s="170">
        <v>44510</v>
      </c>
      <c r="M1701" s="116">
        <v>428.35</v>
      </c>
      <c r="N1701" s="116">
        <v>433.4</v>
      </c>
      <c r="O1701" s="116">
        <v>424.8</v>
      </c>
      <c r="P1701" s="116">
        <v>427.6</v>
      </c>
      <c r="Q1701" s="116">
        <v>428.35</v>
      </c>
      <c r="R1701">
        <v>2202717</v>
      </c>
    </row>
    <row r="1702" spans="1:18" x14ac:dyDescent="0.25">
      <c r="A1702" s="170">
        <v>44511</v>
      </c>
      <c r="B1702" s="116">
        <v>426.7</v>
      </c>
      <c r="C1702" s="116">
        <v>421.25</v>
      </c>
      <c r="D1702" s="116">
        <v>417</v>
      </c>
      <c r="E1702" s="116">
        <v>426.4</v>
      </c>
      <c r="F1702" s="116">
        <v>421.25</v>
      </c>
      <c r="G1702">
        <v>56703</v>
      </c>
      <c r="H1702" s="116"/>
      <c r="I1702" s="116"/>
      <c r="L1702" s="170">
        <v>44511</v>
      </c>
      <c r="M1702" s="116">
        <v>421.2</v>
      </c>
      <c r="N1702" s="116">
        <v>426.75</v>
      </c>
      <c r="O1702" s="116">
        <v>416.85</v>
      </c>
      <c r="P1702" s="116">
        <v>426.5</v>
      </c>
      <c r="Q1702" s="116">
        <v>421.2</v>
      </c>
      <c r="R1702">
        <v>1653866</v>
      </c>
    </row>
    <row r="1703" spans="1:18" x14ac:dyDescent="0.25">
      <c r="A1703" s="170">
        <v>44512</v>
      </c>
      <c r="B1703" s="116">
        <v>427</v>
      </c>
      <c r="C1703" s="116">
        <v>422.75</v>
      </c>
      <c r="D1703" s="116">
        <v>419.65</v>
      </c>
      <c r="E1703" s="116">
        <v>423</v>
      </c>
      <c r="F1703" s="116">
        <v>422.75</v>
      </c>
      <c r="G1703">
        <v>91044</v>
      </c>
      <c r="H1703" s="116"/>
      <c r="I1703" s="116"/>
      <c r="L1703" s="170">
        <v>44512</v>
      </c>
      <c r="M1703" s="116">
        <v>422.85</v>
      </c>
      <c r="N1703" s="116">
        <v>427.15</v>
      </c>
      <c r="O1703" s="116">
        <v>419.7</v>
      </c>
      <c r="P1703" s="116">
        <v>424</v>
      </c>
      <c r="Q1703" s="116">
        <v>422.85</v>
      </c>
      <c r="R1703">
        <v>1246774</v>
      </c>
    </row>
    <row r="1704" spans="1:18" x14ac:dyDescent="0.25">
      <c r="A1704" s="170">
        <v>44515</v>
      </c>
      <c r="B1704" s="116">
        <v>425.95</v>
      </c>
      <c r="C1704" s="116">
        <v>420.45</v>
      </c>
      <c r="D1704" s="116">
        <v>418.35</v>
      </c>
      <c r="E1704" s="116">
        <v>425.95</v>
      </c>
      <c r="F1704" s="116">
        <v>420.45</v>
      </c>
      <c r="G1704">
        <v>83789</v>
      </c>
      <c r="H1704" s="116"/>
      <c r="I1704" s="116"/>
      <c r="L1704" s="170">
        <v>44515</v>
      </c>
      <c r="M1704" s="116">
        <v>421.25</v>
      </c>
      <c r="N1704" s="116">
        <v>425.1</v>
      </c>
      <c r="O1704" s="116">
        <v>418.1</v>
      </c>
      <c r="P1704" s="116">
        <v>423</v>
      </c>
      <c r="Q1704" s="116">
        <v>421.25</v>
      </c>
      <c r="R1704">
        <v>1057472</v>
      </c>
    </row>
    <row r="1705" spans="1:18" x14ac:dyDescent="0.25">
      <c r="A1705" s="170">
        <v>44516</v>
      </c>
      <c r="B1705" s="116">
        <v>423.95</v>
      </c>
      <c r="C1705" s="116">
        <v>409.4</v>
      </c>
      <c r="D1705" s="116">
        <v>407.8</v>
      </c>
      <c r="E1705" s="116">
        <v>421</v>
      </c>
      <c r="F1705" s="116">
        <v>409.4</v>
      </c>
      <c r="G1705">
        <v>70028</v>
      </c>
      <c r="H1705" s="116"/>
      <c r="I1705" s="116"/>
      <c r="L1705" s="170">
        <v>44516</v>
      </c>
      <c r="M1705" s="116">
        <v>409.8</v>
      </c>
      <c r="N1705" s="116">
        <v>424</v>
      </c>
      <c r="O1705" s="116">
        <v>407.75</v>
      </c>
      <c r="P1705" s="116">
        <v>421.3</v>
      </c>
      <c r="Q1705" s="116">
        <v>409.8</v>
      </c>
      <c r="R1705">
        <v>1933354</v>
      </c>
    </row>
    <row r="1706" spans="1:18" x14ac:dyDescent="0.25">
      <c r="A1706" s="170">
        <v>44517</v>
      </c>
      <c r="B1706" s="116">
        <v>411</v>
      </c>
      <c r="C1706" s="116">
        <v>409.25</v>
      </c>
      <c r="D1706" s="116">
        <v>405.05</v>
      </c>
      <c r="E1706" s="116">
        <v>409</v>
      </c>
      <c r="F1706" s="116">
        <v>409.25</v>
      </c>
      <c r="G1706">
        <v>47397</v>
      </c>
      <c r="H1706" s="116"/>
      <c r="I1706" s="116"/>
      <c r="L1706" s="170">
        <v>44517</v>
      </c>
      <c r="M1706" s="116">
        <v>409.15</v>
      </c>
      <c r="N1706" s="116">
        <v>410.95</v>
      </c>
      <c r="O1706" s="116">
        <v>405.05</v>
      </c>
      <c r="P1706" s="116">
        <v>407.8</v>
      </c>
      <c r="Q1706" s="116">
        <v>409.15</v>
      </c>
      <c r="R1706">
        <v>1448686</v>
      </c>
    </row>
    <row r="1707" spans="1:18" x14ac:dyDescent="0.25">
      <c r="A1707" s="170">
        <v>44518</v>
      </c>
      <c r="B1707" s="116">
        <v>411.75</v>
      </c>
      <c r="C1707" s="116">
        <v>400.75</v>
      </c>
      <c r="D1707" s="116">
        <v>396.75</v>
      </c>
      <c r="E1707" s="116">
        <v>408.2</v>
      </c>
      <c r="F1707" s="116">
        <v>400.75</v>
      </c>
      <c r="G1707">
        <v>109759</v>
      </c>
      <c r="H1707" s="116"/>
      <c r="I1707" s="116"/>
      <c r="L1707" s="170">
        <v>44518</v>
      </c>
      <c r="M1707" s="116">
        <v>400.85</v>
      </c>
      <c r="N1707" s="116">
        <v>411.85</v>
      </c>
      <c r="O1707" s="116">
        <v>396.5</v>
      </c>
      <c r="P1707" s="116">
        <v>408</v>
      </c>
      <c r="Q1707" s="116">
        <v>400.85</v>
      </c>
      <c r="R1707">
        <v>1868114</v>
      </c>
    </row>
    <row r="1708" spans="1:18" x14ac:dyDescent="0.25">
      <c r="A1708" s="170">
        <v>44522</v>
      </c>
      <c r="B1708" s="116">
        <v>403.5</v>
      </c>
      <c r="C1708" s="116">
        <v>388.95</v>
      </c>
      <c r="D1708" s="116">
        <v>385.1</v>
      </c>
      <c r="E1708" s="116">
        <v>403.5</v>
      </c>
      <c r="F1708" s="116">
        <v>388.95</v>
      </c>
      <c r="G1708">
        <v>75015</v>
      </c>
      <c r="H1708" s="116"/>
      <c r="I1708" s="116"/>
      <c r="L1708" s="170">
        <v>44522</v>
      </c>
      <c r="M1708" s="116">
        <v>388.7</v>
      </c>
      <c r="N1708" s="116">
        <v>402.85</v>
      </c>
      <c r="O1708" s="116">
        <v>385</v>
      </c>
      <c r="P1708" s="116">
        <v>400.85</v>
      </c>
      <c r="Q1708" s="116">
        <v>388.7</v>
      </c>
      <c r="R1708">
        <v>3484890</v>
      </c>
    </row>
    <row r="1709" spans="1:18" x14ac:dyDescent="0.25">
      <c r="A1709" s="170">
        <v>44523</v>
      </c>
      <c r="B1709" s="116">
        <v>396.55</v>
      </c>
      <c r="C1709" s="116">
        <v>395.8</v>
      </c>
      <c r="D1709" s="116">
        <v>383.35</v>
      </c>
      <c r="E1709" s="116">
        <v>389.7</v>
      </c>
      <c r="F1709" s="116">
        <v>395.8</v>
      </c>
      <c r="G1709">
        <v>84218</v>
      </c>
      <c r="H1709" s="116"/>
      <c r="I1709" s="116"/>
      <c r="L1709" s="170">
        <v>44523</v>
      </c>
      <c r="M1709" s="116">
        <v>395.8</v>
      </c>
      <c r="N1709" s="116">
        <v>396.8</v>
      </c>
      <c r="O1709" s="116">
        <v>383.2</v>
      </c>
      <c r="P1709" s="116">
        <v>387</v>
      </c>
      <c r="Q1709" s="116">
        <v>395.8</v>
      </c>
      <c r="R1709">
        <v>2061119</v>
      </c>
    </row>
    <row r="1710" spans="1:18" x14ac:dyDescent="0.25">
      <c r="A1710" s="170">
        <v>44524</v>
      </c>
      <c r="B1710" s="116">
        <v>398.3</v>
      </c>
      <c r="C1710" s="116">
        <v>393.35</v>
      </c>
      <c r="D1710" s="116">
        <v>391</v>
      </c>
      <c r="E1710" s="116">
        <v>394.25</v>
      </c>
      <c r="F1710" s="116">
        <v>393.35</v>
      </c>
      <c r="G1710">
        <v>86029</v>
      </c>
      <c r="H1710" s="116"/>
      <c r="I1710" s="116"/>
      <c r="L1710" s="170">
        <v>44524</v>
      </c>
      <c r="M1710" s="116">
        <v>393.5</v>
      </c>
      <c r="N1710" s="116">
        <v>398.55</v>
      </c>
      <c r="O1710" s="116">
        <v>390.8</v>
      </c>
      <c r="P1710" s="116">
        <v>397.05</v>
      </c>
      <c r="Q1710" s="116">
        <v>393.5</v>
      </c>
      <c r="R1710">
        <v>2461617</v>
      </c>
    </row>
    <row r="1711" spans="1:18" x14ac:dyDescent="0.25">
      <c r="A1711" s="170">
        <v>44525</v>
      </c>
      <c r="B1711" s="116">
        <v>395.75</v>
      </c>
      <c r="C1711" s="116">
        <v>390.65</v>
      </c>
      <c r="D1711" s="116">
        <v>389.25</v>
      </c>
      <c r="E1711" s="116">
        <v>395.75</v>
      </c>
      <c r="F1711" s="116">
        <v>390.65</v>
      </c>
      <c r="G1711">
        <v>40514</v>
      </c>
      <c r="H1711" s="116"/>
      <c r="I1711" s="116"/>
      <c r="L1711" s="170">
        <v>44525</v>
      </c>
      <c r="M1711" s="116">
        <v>390.6</v>
      </c>
      <c r="N1711" s="116">
        <v>393.5</v>
      </c>
      <c r="O1711" s="116">
        <v>389</v>
      </c>
      <c r="P1711" s="116">
        <v>392.9</v>
      </c>
      <c r="Q1711" s="116">
        <v>390.6</v>
      </c>
      <c r="R1711">
        <v>997067</v>
      </c>
    </row>
    <row r="1712" spans="1:18" x14ac:dyDescent="0.25">
      <c r="A1712" s="170">
        <v>44526</v>
      </c>
      <c r="B1712" s="116">
        <v>387</v>
      </c>
      <c r="C1712" s="116">
        <v>372.4</v>
      </c>
      <c r="D1712" s="116">
        <v>370.75</v>
      </c>
      <c r="E1712" s="116">
        <v>387</v>
      </c>
      <c r="F1712" s="116">
        <v>372.4</v>
      </c>
      <c r="G1712">
        <v>204130</v>
      </c>
      <c r="H1712" s="116"/>
      <c r="I1712" s="116"/>
      <c r="L1712" s="170">
        <v>44526</v>
      </c>
      <c r="M1712" s="116">
        <v>372.35</v>
      </c>
      <c r="N1712" s="116">
        <v>387.75</v>
      </c>
      <c r="O1712" s="116">
        <v>370.9</v>
      </c>
      <c r="P1712" s="116">
        <v>386</v>
      </c>
      <c r="Q1712" s="116">
        <v>372.35</v>
      </c>
      <c r="R1712">
        <v>5577674</v>
      </c>
    </row>
    <row r="1713" spans="1:18" x14ac:dyDescent="0.25">
      <c r="A1713" s="170">
        <v>44529</v>
      </c>
      <c r="B1713" s="116">
        <v>375.3</v>
      </c>
      <c r="C1713" s="116">
        <v>369.05</v>
      </c>
      <c r="D1713" s="116">
        <v>359.9</v>
      </c>
      <c r="E1713" s="116">
        <v>365</v>
      </c>
      <c r="F1713" s="116">
        <v>369.05</v>
      </c>
      <c r="G1713">
        <v>180021</v>
      </c>
      <c r="H1713" s="116"/>
      <c r="I1713" s="116"/>
      <c r="L1713" s="170">
        <v>44529</v>
      </c>
      <c r="M1713" s="116">
        <v>369.15</v>
      </c>
      <c r="N1713" s="116">
        <v>375.4</v>
      </c>
      <c r="O1713" s="116">
        <v>360.05</v>
      </c>
      <c r="P1713" s="116">
        <v>370</v>
      </c>
      <c r="Q1713" s="116">
        <v>369.15</v>
      </c>
      <c r="R1713">
        <v>2691096</v>
      </c>
    </row>
    <row r="1714" spans="1:18" x14ac:dyDescent="0.25">
      <c r="A1714" s="170">
        <v>44530</v>
      </c>
      <c r="B1714" s="116">
        <v>377.9</v>
      </c>
      <c r="C1714" s="116">
        <v>374.35</v>
      </c>
      <c r="D1714" s="116">
        <v>367</v>
      </c>
      <c r="E1714" s="116">
        <v>367.3</v>
      </c>
      <c r="F1714" s="116">
        <v>374.35</v>
      </c>
      <c r="G1714">
        <v>50357</v>
      </c>
      <c r="H1714" s="116"/>
      <c r="I1714" s="116"/>
      <c r="L1714" s="170">
        <v>44530</v>
      </c>
      <c r="M1714" s="116">
        <v>374.6</v>
      </c>
      <c r="N1714" s="116">
        <v>378.1</v>
      </c>
      <c r="O1714" s="116">
        <v>367</v>
      </c>
      <c r="P1714" s="116">
        <v>370</v>
      </c>
      <c r="Q1714" s="116">
        <v>374.6</v>
      </c>
      <c r="R1714">
        <v>4809537</v>
      </c>
    </row>
    <row r="1715" spans="1:18" x14ac:dyDescent="0.25">
      <c r="A1715" s="170">
        <v>44531</v>
      </c>
      <c r="B1715" s="116">
        <v>385.95</v>
      </c>
      <c r="C1715" s="116">
        <v>371.15</v>
      </c>
      <c r="D1715" s="116">
        <v>368.1</v>
      </c>
      <c r="E1715" s="116">
        <v>385.95</v>
      </c>
      <c r="F1715" s="116">
        <v>371.15</v>
      </c>
      <c r="G1715">
        <v>83064</v>
      </c>
      <c r="H1715" s="116"/>
      <c r="I1715" s="116"/>
      <c r="L1715" s="170">
        <v>44531</v>
      </c>
      <c r="M1715" s="116">
        <v>371.4</v>
      </c>
      <c r="N1715" s="116">
        <v>380.45</v>
      </c>
      <c r="O1715" s="116">
        <v>368.05</v>
      </c>
      <c r="P1715" s="116">
        <v>379.6</v>
      </c>
      <c r="Q1715" s="116">
        <v>371.4</v>
      </c>
      <c r="R1715">
        <v>4416048</v>
      </c>
    </row>
    <row r="1716" spans="1:18" x14ac:dyDescent="0.25">
      <c r="A1716" s="170">
        <v>44532</v>
      </c>
      <c r="B1716" s="116">
        <v>378.5</v>
      </c>
      <c r="C1716" s="116">
        <v>377.75</v>
      </c>
      <c r="D1716" s="116">
        <v>368.1</v>
      </c>
      <c r="E1716" s="116">
        <v>374.5</v>
      </c>
      <c r="F1716" s="116">
        <v>377.75</v>
      </c>
      <c r="G1716">
        <v>42124</v>
      </c>
      <c r="H1716" s="116"/>
      <c r="I1716" s="116"/>
      <c r="L1716" s="170">
        <v>44532</v>
      </c>
      <c r="M1716" s="116">
        <v>377.35</v>
      </c>
      <c r="N1716" s="116">
        <v>379.4</v>
      </c>
      <c r="O1716" s="116">
        <v>368</v>
      </c>
      <c r="P1716" s="116">
        <v>371.9</v>
      </c>
      <c r="Q1716" s="116">
        <v>377.35</v>
      </c>
      <c r="R1716">
        <v>2307562</v>
      </c>
    </row>
    <row r="1717" spans="1:18" x14ac:dyDescent="0.25">
      <c r="A1717" s="170">
        <v>44533</v>
      </c>
      <c r="B1717" s="116">
        <v>387.3</v>
      </c>
      <c r="C1717" s="116">
        <v>376.7</v>
      </c>
      <c r="D1717" s="116">
        <v>376</v>
      </c>
      <c r="E1717" s="116">
        <v>377.75</v>
      </c>
      <c r="F1717" s="116">
        <v>376.7</v>
      </c>
      <c r="G1717">
        <v>162313</v>
      </c>
      <c r="H1717" s="116"/>
      <c r="I1717" s="116"/>
      <c r="L1717" s="170">
        <v>44533</v>
      </c>
      <c r="M1717" s="116">
        <v>376.6</v>
      </c>
      <c r="N1717" s="116">
        <v>387.4</v>
      </c>
      <c r="O1717" s="116">
        <v>375.8</v>
      </c>
      <c r="P1717" s="116">
        <v>377.3</v>
      </c>
      <c r="Q1717" s="116">
        <v>376.6</v>
      </c>
      <c r="R1717">
        <v>5101471</v>
      </c>
    </row>
    <row r="1718" spans="1:18" x14ac:dyDescent="0.25">
      <c r="A1718" s="170">
        <v>44536</v>
      </c>
      <c r="B1718" s="116">
        <v>378.65</v>
      </c>
      <c r="C1718" s="116">
        <v>370.05</v>
      </c>
      <c r="D1718" s="116">
        <v>368.25</v>
      </c>
      <c r="E1718" s="116">
        <v>376.7</v>
      </c>
      <c r="F1718" s="116">
        <v>370.05</v>
      </c>
      <c r="G1718">
        <v>113226</v>
      </c>
      <c r="H1718" s="116"/>
      <c r="I1718" s="116"/>
      <c r="L1718" s="170">
        <v>44536</v>
      </c>
      <c r="M1718" s="116">
        <v>370.15</v>
      </c>
      <c r="N1718" s="116">
        <v>378.95</v>
      </c>
      <c r="O1718" s="116">
        <v>368.3</v>
      </c>
      <c r="P1718" s="116">
        <v>378.6</v>
      </c>
      <c r="Q1718" s="116">
        <v>370.15</v>
      </c>
      <c r="R1718">
        <v>1157264</v>
      </c>
    </row>
    <row r="1719" spans="1:18" x14ac:dyDescent="0.25">
      <c r="A1719" s="170">
        <v>44537</v>
      </c>
      <c r="B1719" s="116">
        <v>377</v>
      </c>
      <c r="C1719" s="116">
        <v>372.75</v>
      </c>
      <c r="D1719" s="116">
        <v>371</v>
      </c>
      <c r="E1719" s="116">
        <v>376.9</v>
      </c>
      <c r="F1719" s="116">
        <v>372.75</v>
      </c>
      <c r="G1719">
        <v>54359</v>
      </c>
      <c r="H1719" s="116"/>
      <c r="I1719" s="116"/>
      <c r="L1719" s="170">
        <v>44537</v>
      </c>
      <c r="M1719" s="116">
        <v>372.75</v>
      </c>
      <c r="N1719" s="116">
        <v>377.25</v>
      </c>
      <c r="O1719" s="116">
        <v>370.9</v>
      </c>
      <c r="P1719" s="116">
        <v>372.9</v>
      </c>
      <c r="Q1719" s="116">
        <v>372.75</v>
      </c>
      <c r="R1719">
        <v>1229614</v>
      </c>
    </row>
    <row r="1720" spans="1:18" x14ac:dyDescent="0.25">
      <c r="A1720" s="170">
        <v>44538</v>
      </c>
      <c r="B1720" s="116">
        <v>380.45</v>
      </c>
      <c r="C1720" s="116">
        <v>376.95</v>
      </c>
      <c r="D1720" s="116">
        <v>375.2</v>
      </c>
      <c r="E1720" s="116">
        <v>379</v>
      </c>
      <c r="F1720" s="116">
        <v>376.95</v>
      </c>
      <c r="G1720">
        <v>84225</v>
      </c>
      <c r="H1720" s="116"/>
      <c r="I1720" s="116"/>
      <c r="L1720" s="170">
        <v>44538</v>
      </c>
      <c r="M1720" s="116">
        <v>376.95</v>
      </c>
      <c r="N1720" s="116">
        <v>380.4</v>
      </c>
      <c r="O1720" s="116">
        <v>375.2</v>
      </c>
      <c r="P1720" s="116">
        <v>376.4</v>
      </c>
      <c r="Q1720" s="116">
        <v>376.95</v>
      </c>
      <c r="R1720">
        <v>1526507</v>
      </c>
    </row>
    <row r="1721" spans="1:18" x14ac:dyDescent="0.25">
      <c r="A1721" s="170">
        <v>44539</v>
      </c>
      <c r="B1721" s="116">
        <v>380.85</v>
      </c>
      <c r="C1721" s="116">
        <v>377.6</v>
      </c>
      <c r="D1721" s="116">
        <v>375.15</v>
      </c>
      <c r="E1721" s="116">
        <v>378</v>
      </c>
      <c r="F1721" s="116">
        <v>377.6</v>
      </c>
      <c r="G1721">
        <v>79963</v>
      </c>
      <c r="H1721" s="116"/>
      <c r="I1721" s="116"/>
      <c r="L1721" s="170">
        <v>44539</v>
      </c>
      <c r="M1721" s="116">
        <v>377.55</v>
      </c>
      <c r="N1721" s="116">
        <v>381</v>
      </c>
      <c r="O1721" s="116">
        <v>375.1</v>
      </c>
      <c r="P1721" s="116">
        <v>379.4</v>
      </c>
      <c r="Q1721" s="116">
        <v>377.55</v>
      </c>
      <c r="R1721">
        <v>1862168</v>
      </c>
    </row>
    <row r="1722" spans="1:18" x14ac:dyDescent="0.25">
      <c r="A1722" s="170">
        <v>44540</v>
      </c>
      <c r="B1722" s="116">
        <v>381.2</v>
      </c>
      <c r="C1722" s="116">
        <v>377.6</v>
      </c>
      <c r="D1722" s="116">
        <v>376.65</v>
      </c>
      <c r="E1722" s="116">
        <v>378</v>
      </c>
      <c r="F1722" s="116">
        <v>377.6</v>
      </c>
      <c r="G1722">
        <v>80989</v>
      </c>
      <c r="H1722" s="116"/>
      <c r="I1722" s="116"/>
      <c r="L1722" s="170">
        <v>44540</v>
      </c>
      <c r="M1722" s="116">
        <v>377.65</v>
      </c>
      <c r="N1722" s="116">
        <v>381.35</v>
      </c>
      <c r="O1722" s="116">
        <v>376.65</v>
      </c>
      <c r="P1722" s="116">
        <v>377.6</v>
      </c>
      <c r="Q1722" s="116">
        <v>377.65</v>
      </c>
      <c r="R1722">
        <v>1486593</v>
      </c>
    </row>
    <row r="1723" spans="1:18" x14ac:dyDescent="0.25">
      <c r="A1723" s="170">
        <v>44543</v>
      </c>
      <c r="B1723" s="116">
        <v>381.9</v>
      </c>
      <c r="C1723" s="116">
        <v>379.8</v>
      </c>
      <c r="D1723" s="116">
        <v>378.65</v>
      </c>
      <c r="E1723" s="116">
        <v>380</v>
      </c>
      <c r="F1723" s="116">
        <v>379.8</v>
      </c>
      <c r="G1723">
        <v>44081</v>
      </c>
      <c r="H1723" s="116"/>
      <c r="I1723" s="116"/>
      <c r="L1723" s="170">
        <v>44543</v>
      </c>
      <c r="M1723" s="116">
        <v>379.85</v>
      </c>
      <c r="N1723" s="116">
        <v>382.65</v>
      </c>
      <c r="O1723" s="116">
        <v>378.6</v>
      </c>
      <c r="P1723" s="116">
        <v>382.65</v>
      </c>
      <c r="Q1723" s="116">
        <v>379.85</v>
      </c>
      <c r="R1723">
        <v>2654339</v>
      </c>
    </row>
    <row r="1724" spans="1:18" x14ac:dyDescent="0.25">
      <c r="A1724" s="170">
        <v>44544</v>
      </c>
      <c r="B1724" s="116">
        <v>380.95</v>
      </c>
      <c r="C1724" s="116">
        <v>378.05</v>
      </c>
      <c r="D1724" s="116">
        <v>374</v>
      </c>
      <c r="E1724" s="116">
        <v>380.95</v>
      </c>
      <c r="F1724" s="116">
        <v>378.05</v>
      </c>
      <c r="G1724">
        <v>107498</v>
      </c>
      <c r="H1724" s="116"/>
      <c r="I1724" s="116"/>
      <c r="L1724" s="170">
        <v>44544</v>
      </c>
      <c r="M1724" s="116">
        <v>378.55</v>
      </c>
      <c r="N1724" s="116">
        <v>380.85</v>
      </c>
      <c r="O1724" s="116">
        <v>374</v>
      </c>
      <c r="P1724" s="116">
        <v>377.9</v>
      </c>
      <c r="Q1724" s="116">
        <v>378.55</v>
      </c>
      <c r="R1724">
        <v>1789446</v>
      </c>
    </row>
    <row r="1725" spans="1:18" x14ac:dyDescent="0.25">
      <c r="A1725" s="170">
        <v>44545</v>
      </c>
      <c r="B1725" s="116">
        <v>381.55</v>
      </c>
      <c r="C1725" s="116">
        <v>378.8</v>
      </c>
      <c r="D1725" s="116">
        <v>375.4</v>
      </c>
      <c r="E1725" s="116">
        <v>379.3</v>
      </c>
      <c r="F1725" s="116">
        <v>378.8</v>
      </c>
      <c r="G1725">
        <v>43113</v>
      </c>
      <c r="H1725" s="116"/>
      <c r="I1725" s="116"/>
      <c r="L1725" s="170">
        <v>44545</v>
      </c>
      <c r="M1725" s="116">
        <v>378.9</v>
      </c>
      <c r="N1725" s="116">
        <v>381.9</v>
      </c>
      <c r="O1725" s="116">
        <v>375.3</v>
      </c>
      <c r="P1725" s="116">
        <v>378.6</v>
      </c>
      <c r="Q1725" s="116">
        <v>378.9</v>
      </c>
      <c r="R1725">
        <v>1796520</v>
      </c>
    </row>
    <row r="1726" spans="1:18" x14ac:dyDescent="0.25">
      <c r="A1726" s="170">
        <v>44546</v>
      </c>
      <c r="B1726" s="116">
        <v>381</v>
      </c>
      <c r="C1726" s="116">
        <v>375.3</v>
      </c>
      <c r="D1726" s="116">
        <v>374.6</v>
      </c>
      <c r="E1726" s="116">
        <v>378.35</v>
      </c>
      <c r="F1726" s="116">
        <v>375.3</v>
      </c>
      <c r="G1726">
        <v>45569</v>
      </c>
      <c r="H1726" s="116"/>
      <c r="I1726" s="116"/>
      <c r="L1726" s="170">
        <v>44546</v>
      </c>
      <c r="M1726" s="116">
        <v>375.7</v>
      </c>
      <c r="N1726" s="116">
        <v>381.6</v>
      </c>
      <c r="O1726" s="116">
        <v>374.6</v>
      </c>
      <c r="P1726" s="116">
        <v>380</v>
      </c>
      <c r="Q1726" s="116">
        <v>375.7</v>
      </c>
      <c r="R1726">
        <v>2366346</v>
      </c>
    </row>
    <row r="1727" spans="1:18" x14ac:dyDescent="0.25">
      <c r="A1727" s="170">
        <v>44547</v>
      </c>
      <c r="B1727" s="116">
        <v>376.85</v>
      </c>
      <c r="C1727" s="116">
        <v>368.4</v>
      </c>
      <c r="D1727" s="116">
        <v>367.05</v>
      </c>
      <c r="E1727" s="116">
        <v>375</v>
      </c>
      <c r="F1727" s="116">
        <v>368.4</v>
      </c>
      <c r="G1727">
        <v>63439</v>
      </c>
      <c r="H1727" s="116"/>
      <c r="I1727" s="116"/>
      <c r="L1727" s="170">
        <v>44547</v>
      </c>
      <c r="M1727" s="116">
        <v>368.6</v>
      </c>
      <c r="N1727" s="116">
        <v>377.2</v>
      </c>
      <c r="O1727" s="116">
        <v>367</v>
      </c>
      <c r="P1727" s="116">
        <v>375.6</v>
      </c>
      <c r="Q1727" s="116">
        <v>368.6</v>
      </c>
      <c r="R1727">
        <v>1784077</v>
      </c>
    </row>
    <row r="1728" spans="1:18" x14ac:dyDescent="0.25">
      <c r="A1728" s="170">
        <v>44550</v>
      </c>
      <c r="B1728" s="116">
        <v>363.05</v>
      </c>
      <c r="C1728" s="116">
        <v>350.45</v>
      </c>
      <c r="D1728" s="116">
        <v>345</v>
      </c>
      <c r="E1728" s="116">
        <v>362</v>
      </c>
      <c r="F1728" s="116">
        <v>350.45</v>
      </c>
      <c r="G1728">
        <v>1015528</v>
      </c>
      <c r="H1728" s="116"/>
      <c r="I1728" s="116"/>
      <c r="L1728" s="170">
        <v>44550</v>
      </c>
      <c r="M1728" s="116">
        <v>350.3</v>
      </c>
      <c r="N1728" s="116">
        <v>364.2</v>
      </c>
      <c r="O1728" s="116">
        <v>347</v>
      </c>
      <c r="P1728" s="116">
        <v>361.2</v>
      </c>
      <c r="Q1728" s="116">
        <v>350.3</v>
      </c>
      <c r="R1728">
        <v>6661464</v>
      </c>
    </row>
    <row r="1729" spans="1:18" x14ac:dyDescent="0.25">
      <c r="A1729" s="170">
        <v>44551</v>
      </c>
      <c r="B1729" s="116">
        <v>364.05</v>
      </c>
      <c r="C1729" s="116">
        <v>361.1</v>
      </c>
      <c r="D1729" s="116">
        <v>351.45</v>
      </c>
      <c r="E1729" s="116">
        <v>353</v>
      </c>
      <c r="F1729" s="116">
        <v>361.1</v>
      </c>
      <c r="G1729">
        <v>115820</v>
      </c>
      <c r="H1729" s="116"/>
      <c r="I1729" s="116"/>
      <c r="L1729" s="170">
        <v>44551</v>
      </c>
      <c r="M1729" s="116">
        <v>361.45</v>
      </c>
      <c r="N1729" s="116">
        <v>363.8</v>
      </c>
      <c r="O1729" s="116">
        <v>351.25</v>
      </c>
      <c r="P1729" s="116">
        <v>353.05</v>
      </c>
      <c r="Q1729" s="116">
        <v>361.45</v>
      </c>
      <c r="R1729">
        <v>2065774</v>
      </c>
    </row>
    <row r="1730" spans="1:18" x14ac:dyDescent="0.25">
      <c r="A1730" s="170">
        <v>44552</v>
      </c>
      <c r="B1730" s="116">
        <v>366.95</v>
      </c>
      <c r="C1730" s="116">
        <v>364.1</v>
      </c>
      <c r="D1730" s="116">
        <v>360.85</v>
      </c>
      <c r="E1730" s="116">
        <v>362</v>
      </c>
      <c r="F1730" s="116">
        <v>364.1</v>
      </c>
      <c r="G1730">
        <v>40424</v>
      </c>
      <c r="H1730" s="116"/>
      <c r="I1730" s="116"/>
      <c r="L1730" s="170">
        <v>44552</v>
      </c>
      <c r="M1730" s="116">
        <v>363.75</v>
      </c>
      <c r="N1730" s="116">
        <v>367</v>
      </c>
      <c r="O1730" s="116">
        <v>359.7</v>
      </c>
      <c r="P1730" s="116">
        <v>361.25</v>
      </c>
      <c r="Q1730" s="116">
        <v>363.75</v>
      </c>
      <c r="R1730">
        <v>1383949</v>
      </c>
    </row>
    <row r="1731" spans="1:18" x14ac:dyDescent="0.25">
      <c r="A1731" s="170">
        <v>44553</v>
      </c>
      <c r="B1731" s="116">
        <v>372</v>
      </c>
      <c r="C1731" s="116">
        <v>369.85</v>
      </c>
      <c r="D1731" s="116">
        <v>365.45</v>
      </c>
      <c r="E1731" s="116">
        <v>366</v>
      </c>
      <c r="F1731" s="116">
        <v>369.85</v>
      </c>
      <c r="G1731">
        <v>59451</v>
      </c>
      <c r="H1731" s="116"/>
      <c r="I1731" s="116"/>
      <c r="L1731" s="170">
        <v>44553</v>
      </c>
      <c r="M1731" s="116">
        <v>369.4</v>
      </c>
      <c r="N1731" s="116">
        <v>370.5</v>
      </c>
      <c r="O1731" s="116">
        <v>365</v>
      </c>
      <c r="P1731" s="116">
        <v>367</v>
      </c>
      <c r="Q1731" s="116">
        <v>369.4</v>
      </c>
      <c r="R1731">
        <v>1546807</v>
      </c>
    </row>
    <row r="1732" spans="1:18" x14ac:dyDescent="0.25">
      <c r="A1732" s="170">
        <v>44554</v>
      </c>
      <c r="B1732" s="116">
        <v>370.85</v>
      </c>
      <c r="C1732" s="116">
        <v>367.75</v>
      </c>
      <c r="D1732" s="116">
        <v>363.35</v>
      </c>
      <c r="E1732" s="116">
        <v>370</v>
      </c>
      <c r="F1732" s="116">
        <v>367.75</v>
      </c>
      <c r="G1732">
        <v>47930</v>
      </c>
      <c r="H1732" s="116"/>
      <c r="I1732" s="116"/>
      <c r="L1732" s="170">
        <v>44554</v>
      </c>
      <c r="M1732" s="116">
        <v>367.9</v>
      </c>
      <c r="N1732" s="116">
        <v>370.8</v>
      </c>
      <c r="O1732" s="116">
        <v>363.2</v>
      </c>
      <c r="P1732" s="116">
        <v>369.5</v>
      </c>
      <c r="Q1732" s="116">
        <v>367.9</v>
      </c>
      <c r="R1732">
        <v>1174085</v>
      </c>
    </row>
    <row r="1733" spans="1:18" x14ac:dyDescent="0.25">
      <c r="A1733" s="170">
        <v>44557</v>
      </c>
      <c r="B1733" s="116">
        <v>370.55</v>
      </c>
      <c r="C1733" s="116">
        <v>369.75</v>
      </c>
      <c r="D1733" s="116">
        <v>364.15</v>
      </c>
      <c r="E1733" s="116">
        <v>365</v>
      </c>
      <c r="F1733" s="116">
        <v>369.75</v>
      </c>
      <c r="G1733">
        <v>24016</v>
      </c>
      <c r="H1733" s="116"/>
      <c r="I1733" s="116"/>
      <c r="L1733" s="170">
        <v>44557</v>
      </c>
      <c r="M1733" s="116">
        <v>369.95</v>
      </c>
      <c r="N1733" s="116">
        <v>370.75</v>
      </c>
      <c r="O1733" s="116">
        <v>364</v>
      </c>
      <c r="P1733" s="116">
        <v>367</v>
      </c>
      <c r="Q1733" s="116">
        <v>369.95</v>
      </c>
      <c r="R1733">
        <v>635418</v>
      </c>
    </row>
    <row r="1734" spans="1:18" x14ac:dyDescent="0.25">
      <c r="A1734" s="170">
        <v>44558</v>
      </c>
      <c r="B1734" s="116">
        <v>381</v>
      </c>
      <c r="C1734" s="116">
        <v>380.1</v>
      </c>
      <c r="D1734" s="116">
        <v>369.3</v>
      </c>
      <c r="E1734" s="116">
        <v>369.75</v>
      </c>
      <c r="F1734" s="116">
        <v>380.1</v>
      </c>
      <c r="G1734">
        <v>45659</v>
      </c>
      <c r="H1734" s="116"/>
      <c r="I1734" s="116"/>
      <c r="L1734" s="170">
        <v>44558</v>
      </c>
      <c r="M1734" s="116">
        <v>380.2</v>
      </c>
      <c r="N1734" s="116">
        <v>381.2</v>
      </c>
      <c r="O1734" s="116">
        <v>368.7</v>
      </c>
      <c r="P1734" s="116">
        <v>370.2</v>
      </c>
      <c r="Q1734" s="116">
        <v>380.2</v>
      </c>
      <c r="R1734">
        <v>2526008</v>
      </c>
    </row>
    <row r="1735" spans="1:18" x14ac:dyDescent="0.25">
      <c r="A1735" s="170">
        <v>44559</v>
      </c>
      <c r="B1735" s="116">
        <v>383</v>
      </c>
      <c r="C1735" s="116">
        <v>375.5</v>
      </c>
      <c r="D1735" s="116">
        <v>374.45</v>
      </c>
      <c r="E1735" s="116">
        <v>383</v>
      </c>
      <c r="F1735" s="116">
        <v>375.5</v>
      </c>
      <c r="G1735">
        <v>32684</v>
      </c>
      <c r="H1735" s="116"/>
      <c r="I1735" s="116"/>
      <c r="L1735" s="170">
        <v>44559</v>
      </c>
      <c r="M1735" s="116">
        <v>375.8</v>
      </c>
      <c r="N1735" s="116">
        <v>382.15</v>
      </c>
      <c r="O1735" s="116">
        <v>374.5</v>
      </c>
      <c r="P1735" s="116">
        <v>380.75</v>
      </c>
      <c r="Q1735" s="116">
        <v>375.8</v>
      </c>
      <c r="R1735">
        <v>935759</v>
      </c>
    </row>
    <row r="1736" spans="1:18" x14ac:dyDescent="0.25">
      <c r="A1736" s="170">
        <v>44560</v>
      </c>
      <c r="B1736" s="116">
        <v>378.45</v>
      </c>
      <c r="C1736" s="116">
        <v>370.95</v>
      </c>
      <c r="D1736" s="116">
        <v>369.8</v>
      </c>
      <c r="E1736" s="116">
        <v>378.45</v>
      </c>
      <c r="F1736" s="116">
        <v>370.95</v>
      </c>
      <c r="G1736">
        <v>42469</v>
      </c>
      <c r="H1736" s="116"/>
      <c r="I1736" s="116"/>
      <c r="L1736" s="170">
        <v>44560</v>
      </c>
      <c r="M1736" s="116">
        <v>370.95</v>
      </c>
      <c r="N1736" s="116">
        <v>377.95</v>
      </c>
      <c r="O1736" s="116">
        <v>369.6</v>
      </c>
      <c r="P1736" s="116">
        <v>375.7</v>
      </c>
      <c r="Q1736" s="116">
        <v>370.95</v>
      </c>
      <c r="R1736">
        <v>2179706</v>
      </c>
    </row>
    <row r="1737" spans="1:18" x14ac:dyDescent="0.25">
      <c r="A1737" s="170">
        <v>44561</v>
      </c>
      <c r="B1737" s="116">
        <v>384.2</v>
      </c>
      <c r="C1737" s="116">
        <v>377.55</v>
      </c>
      <c r="D1737" s="116">
        <v>372.25</v>
      </c>
      <c r="E1737" s="116">
        <v>378</v>
      </c>
      <c r="F1737" s="116">
        <v>377.55</v>
      </c>
      <c r="G1737">
        <v>84671</v>
      </c>
      <c r="H1737" s="116"/>
      <c r="I1737" s="116"/>
      <c r="L1737" s="170">
        <v>44561</v>
      </c>
      <c r="M1737" s="116">
        <v>377.5</v>
      </c>
      <c r="N1737" s="116">
        <v>384.3</v>
      </c>
      <c r="O1737" s="116">
        <v>372</v>
      </c>
      <c r="P1737" s="116">
        <v>372.4</v>
      </c>
      <c r="Q1737" s="116">
        <v>377.5</v>
      </c>
      <c r="R1737">
        <v>1907096</v>
      </c>
    </row>
    <row r="1738" spans="1:18" x14ac:dyDescent="0.25">
      <c r="A1738" s="170">
        <v>44564</v>
      </c>
      <c r="B1738" s="116">
        <v>389.4</v>
      </c>
      <c r="C1738" s="116">
        <v>386.95</v>
      </c>
      <c r="D1738" s="116">
        <v>377.85</v>
      </c>
      <c r="E1738" s="116">
        <v>378</v>
      </c>
      <c r="F1738" s="116">
        <v>386.95</v>
      </c>
      <c r="G1738">
        <v>112524</v>
      </c>
      <c r="H1738" s="116"/>
      <c r="I1738" s="116"/>
      <c r="L1738" s="170">
        <v>44564</v>
      </c>
      <c r="M1738" s="116">
        <v>387</v>
      </c>
      <c r="N1738" s="116">
        <v>389.45</v>
      </c>
      <c r="O1738" s="116">
        <v>378.2</v>
      </c>
      <c r="P1738" s="116">
        <v>378.75</v>
      </c>
      <c r="Q1738" s="116">
        <v>387</v>
      </c>
      <c r="R1738">
        <v>1643912</v>
      </c>
    </row>
    <row r="1739" spans="1:18" x14ac:dyDescent="0.25">
      <c r="A1739" s="170">
        <v>44565</v>
      </c>
      <c r="B1739" s="116">
        <v>391.4</v>
      </c>
      <c r="C1739" s="116">
        <v>390.25</v>
      </c>
      <c r="D1739" s="116">
        <v>383.35</v>
      </c>
      <c r="E1739" s="116">
        <v>387.5</v>
      </c>
      <c r="F1739" s="116">
        <v>390.25</v>
      </c>
      <c r="G1739">
        <v>81582</v>
      </c>
      <c r="H1739" s="116"/>
      <c r="I1739" s="116"/>
      <c r="L1739" s="170">
        <v>44565</v>
      </c>
      <c r="M1739" s="116">
        <v>390.45</v>
      </c>
      <c r="N1739" s="116">
        <v>391.7</v>
      </c>
      <c r="O1739" s="116">
        <v>383.3</v>
      </c>
      <c r="P1739" s="116">
        <v>387.55</v>
      </c>
      <c r="Q1739" s="116">
        <v>390.45</v>
      </c>
      <c r="R1739">
        <v>3034913</v>
      </c>
    </row>
    <row r="1740" spans="1:18" x14ac:dyDescent="0.25">
      <c r="A1740" s="170">
        <v>44566</v>
      </c>
      <c r="B1740" s="116">
        <v>394.4</v>
      </c>
      <c r="C1740" s="116">
        <v>393.85</v>
      </c>
      <c r="D1740" s="116">
        <v>388.9</v>
      </c>
      <c r="E1740" s="116">
        <v>390.95</v>
      </c>
      <c r="F1740" s="116">
        <v>393.85</v>
      </c>
      <c r="G1740">
        <v>89311</v>
      </c>
      <c r="H1740" s="116"/>
      <c r="I1740" s="116"/>
      <c r="L1740" s="170">
        <v>44566</v>
      </c>
      <c r="M1740" s="116">
        <v>393.7</v>
      </c>
      <c r="N1740" s="116">
        <v>394.65</v>
      </c>
      <c r="O1740" s="116">
        <v>388.75</v>
      </c>
      <c r="P1740" s="116">
        <v>389.95</v>
      </c>
      <c r="Q1740" s="116">
        <v>393.7</v>
      </c>
      <c r="R1740">
        <v>1521048</v>
      </c>
    </row>
    <row r="1741" spans="1:18" x14ac:dyDescent="0.25">
      <c r="A1741" s="170">
        <v>44567</v>
      </c>
      <c r="B1741" s="116">
        <v>392.95</v>
      </c>
      <c r="C1741" s="116">
        <v>387.55</v>
      </c>
      <c r="D1741" s="116">
        <v>383.85</v>
      </c>
      <c r="E1741" s="116">
        <v>387.35</v>
      </c>
      <c r="F1741" s="116">
        <v>387.55</v>
      </c>
      <c r="G1741">
        <v>94435</v>
      </c>
      <c r="H1741" s="116"/>
      <c r="I1741" s="116"/>
      <c r="L1741" s="170">
        <v>44567</v>
      </c>
      <c r="M1741" s="116">
        <v>387.05</v>
      </c>
      <c r="N1741" s="116">
        <v>393</v>
      </c>
      <c r="O1741" s="116">
        <v>383.55</v>
      </c>
      <c r="P1741" s="116">
        <v>390.1</v>
      </c>
      <c r="Q1741" s="116">
        <v>387.05</v>
      </c>
      <c r="R1741">
        <v>2579347</v>
      </c>
    </row>
    <row r="1742" spans="1:18" x14ac:dyDescent="0.25">
      <c r="A1742" s="170">
        <v>44568</v>
      </c>
      <c r="B1742" s="116">
        <v>401.8</v>
      </c>
      <c r="C1742" s="116">
        <v>397.3</v>
      </c>
      <c r="D1742" s="116">
        <v>387.55</v>
      </c>
      <c r="E1742" s="116">
        <v>388.5</v>
      </c>
      <c r="F1742" s="116">
        <v>397.3</v>
      </c>
      <c r="G1742">
        <v>210788</v>
      </c>
      <c r="H1742" s="116"/>
      <c r="I1742" s="116"/>
      <c r="L1742" s="170">
        <v>44568</v>
      </c>
      <c r="M1742" s="116">
        <v>397.25</v>
      </c>
      <c r="N1742" s="116">
        <v>401.95</v>
      </c>
      <c r="O1742" s="116">
        <v>387.05</v>
      </c>
      <c r="P1742" s="116">
        <v>387.05</v>
      </c>
      <c r="Q1742" s="116">
        <v>397.25</v>
      </c>
      <c r="R1742">
        <v>2731750</v>
      </c>
    </row>
    <row r="1743" spans="1:18" x14ac:dyDescent="0.25">
      <c r="A1743" s="170">
        <v>44571</v>
      </c>
      <c r="B1743" s="116">
        <v>401.9</v>
      </c>
      <c r="C1743" s="116">
        <v>399.05</v>
      </c>
      <c r="D1743" s="116">
        <v>397.2</v>
      </c>
      <c r="E1743" s="116">
        <v>397.2</v>
      </c>
      <c r="F1743" s="116">
        <v>399.05</v>
      </c>
      <c r="G1743">
        <v>117419</v>
      </c>
      <c r="H1743" s="116"/>
      <c r="I1743" s="116"/>
      <c r="L1743" s="170">
        <v>44571</v>
      </c>
      <c r="M1743" s="116">
        <v>399.35</v>
      </c>
      <c r="N1743" s="116">
        <v>401.95</v>
      </c>
      <c r="O1743" s="116">
        <v>397.3</v>
      </c>
      <c r="P1743" s="116">
        <v>400</v>
      </c>
      <c r="Q1743" s="116">
        <v>399.35</v>
      </c>
      <c r="R1743">
        <v>2408661</v>
      </c>
    </row>
    <row r="1744" spans="1:18" x14ac:dyDescent="0.25">
      <c r="A1744" s="170">
        <v>44572</v>
      </c>
      <c r="B1744" s="116">
        <v>404.95</v>
      </c>
      <c r="C1744" s="116">
        <v>397.45</v>
      </c>
      <c r="D1744" s="116">
        <v>393.7</v>
      </c>
      <c r="E1744" s="116">
        <v>400</v>
      </c>
      <c r="F1744" s="116">
        <v>397.45</v>
      </c>
      <c r="G1744">
        <v>47132</v>
      </c>
      <c r="H1744" s="116"/>
      <c r="I1744" s="116"/>
      <c r="L1744" s="170">
        <v>44572</v>
      </c>
      <c r="M1744" s="116">
        <v>397.65</v>
      </c>
      <c r="N1744" s="116">
        <v>405</v>
      </c>
      <c r="O1744" s="116">
        <v>393.35</v>
      </c>
      <c r="P1744" s="116">
        <v>401</v>
      </c>
      <c r="Q1744" s="116">
        <v>397.65</v>
      </c>
      <c r="R1744">
        <v>2105501</v>
      </c>
    </row>
    <row r="1745" spans="1:18" x14ac:dyDescent="0.25">
      <c r="A1745" s="170">
        <v>44573</v>
      </c>
      <c r="B1745" s="116">
        <v>402.5</v>
      </c>
      <c r="C1745" s="116">
        <v>397.9</v>
      </c>
      <c r="D1745" s="116">
        <v>395.85</v>
      </c>
      <c r="E1745" s="116">
        <v>401.05</v>
      </c>
      <c r="F1745" s="116">
        <v>397.9</v>
      </c>
      <c r="G1745">
        <v>30883</v>
      </c>
      <c r="H1745" s="116"/>
      <c r="I1745" s="116"/>
      <c r="L1745" s="170">
        <v>44573</v>
      </c>
      <c r="M1745" s="116">
        <v>397.9</v>
      </c>
      <c r="N1745" s="116">
        <v>402.7</v>
      </c>
      <c r="O1745" s="116">
        <v>395.65</v>
      </c>
      <c r="P1745" s="116">
        <v>398.25</v>
      </c>
      <c r="Q1745" s="116">
        <v>397.9</v>
      </c>
      <c r="R1745">
        <v>1370663</v>
      </c>
    </row>
    <row r="1746" spans="1:18" x14ac:dyDescent="0.25">
      <c r="A1746" s="170">
        <v>44574</v>
      </c>
      <c r="B1746" s="116">
        <v>400.4</v>
      </c>
      <c r="C1746" s="116">
        <v>396.4</v>
      </c>
      <c r="D1746" s="116">
        <v>395.2</v>
      </c>
      <c r="E1746" s="116">
        <v>398</v>
      </c>
      <c r="F1746" s="116">
        <v>396.4</v>
      </c>
      <c r="G1746">
        <v>46890</v>
      </c>
      <c r="H1746" s="116"/>
      <c r="I1746" s="116"/>
      <c r="L1746" s="170">
        <v>44574</v>
      </c>
      <c r="M1746" s="116">
        <v>396.4</v>
      </c>
      <c r="N1746" s="116">
        <v>400.5</v>
      </c>
      <c r="O1746" s="116">
        <v>394.65</v>
      </c>
      <c r="P1746" s="116">
        <v>399</v>
      </c>
      <c r="Q1746" s="116">
        <v>396.4</v>
      </c>
      <c r="R1746">
        <v>2490304</v>
      </c>
    </row>
    <row r="1747" spans="1:18" x14ac:dyDescent="0.25">
      <c r="A1747" s="170">
        <v>44575</v>
      </c>
      <c r="B1747" s="116">
        <v>404.95</v>
      </c>
      <c r="C1747" s="116">
        <v>402.65</v>
      </c>
      <c r="D1747" s="116">
        <v>394.15</v>
      </c>
      <c r="E1747" s="116">
        <v>396.65</v>
      </c>
      <c r="F1747" s="116">
        <v>402.65</v>
      </c>
      <c r="G1747">
        <v>429088</v>
      </c>
      <c r="H1747" s="116"/>
      <c r="I1747" s="116"/>
      <c r="L1747" s="170">
        <v>44575</v>
      </c>
      <c r="M1747" s="116">
        <v>402.7</v>
      </c>
      <c r="N1747" s="116">
        <v>405</v>
      </c>
      <c r="O1747" s="116">
        <v>394.2</v>
      </c>
      <c r="P1747" s="116">
        <v>395.1</v>
      </c>
      <c r="Q1747" s="116">
        <v>402.7</v>
      </c>
      <c r="R1747">
        <v>2146874</v>
      </c>
    </row>
    <row r="1748" spans="1:18" x14ac:dyDescent="0.25">
      <c r="A1748" s="170">
        <v>44578</v>
      </c>
      <c r="B1748" s="116">
        <v>408.8</v>
      </c>
      <c r="C1748" s="116">
        <v>407.85</v>
      </c>
      <c r="D1748" s="116">
        <v>395</v>
      </c>
      <c r="E1748" s="116">
        <v>404.8</v>
      </c>
      <c r="F1748" s="116">
        <v>407.85</v>
      </c>
      <c r="G1748">
        <v>117135</v>
      </c>
      <c r="H1748" s="116"/>
      <c r="I1748" s="116"/>
      <c r="L1748" s="170">
        <v>44578</v>
      </c>
      <c r="M1748" s="116">
        <v>407.8</v>
      </c>
      <c r="N1748" s="116">
        <v>408.7</v>
      </c>
      <c r="O1748" s="116">
        <v>395</v>
      </c>
      <c r="P1748" s="116">
        <v>403.5</v>
      </c>
      <c r="Q1748" s="116">
        <v>407.8</v>
      </c>
      <c r="R1748">
        <v>3057067</v>
      </c>
    </row>
    <row r="1749" spans="1:18" x14ac:dyDescent="0.25">
      <c r="A1749" s="170">
        <v>44579</v>
      </c>
      <c r="B1749" s="116">
        <v>409.05</v>
      </c>
      <c r="C1749" s="116">
        <v>381.4</v>
      </c>
      <c r="D1749" s="116">
        <v>379.05</v>
      </c>
      <c r="E1749" s="116">
        <v>408.2</v>
      </c>
      <c r="F1749" s="116">
        <v>381.4</v>
      </c>
      <c r="G1749">
        <v>330456</v>
      </c>
      <c r="H1749" s="116"/>
      <c r="I1749" s="116"/>
      <c r="L1749" s="170">
        <v>44579</v>
      </c>
      <c r="M1749" s="116">
        <v>380.65</v>
      </c>
      <c r="N1749" s="116">
        <v>410</v>
      </c>
      <c r="O1749" s="116">
        <v>379</v>
      </c>
      <c r="P1749" s="116">
        <v>410</v>
      </c>
      <c r="Q1749" s="116">
        <v>380.65</v>
      </c>
      <c r="R1749">
        <v>7265319</v>
      </c>
    </row>
    <row r="1750" spans="1:18" x14ac:dyDescent="0.25">
      <c r="A1750" s="170">
        <v>44580</v>
      </c>
      <c r="B1750" s="116">
        <v>384.4</v>
      </c>
      <c r="C1750" s="116">
        <v>374.8</v>
      </c>
      <c r="D1750" s="116">
        <v>373.2</v>
      </c>
      <c r="E1750" s="116">
        <v>384.4</v>
      </c>
      <c r="F1750" s="116">
        <v>374.8</v>
      </c>
      <c r="G1750">
        <v>182141</v>
      </c>
      <c r="H1750" s="116"/>
      <c r="I1750" s="116"/>
      <c r="L1750" s="170">
        <v>44580</v>
      </c>
      <c r="M1750" s="116">
        <v>374.85</v>
      </c>
      <c r="N1750" s="116">
        <v>382</v>
      </c>
      <c r="O1750" s="116">
        <v>373.1</v>
      </c>
      <c r="P1750" s="116">
        <v>381.95</v>
      </c>
      <c r="Q1750" s="116">
        <v>374.85</v>
      </c>
      <c r="R1750">
        <v>3999114</v>
      </c>
    </row>
    <row r="1751" spans="1:18" x14ac:dyDescent="0.25">
      <c r="A1751" s="170">
        <v>44581</v>
      </c>
      <c r="B1751" s="116">
        <v>379.5</v>
      </c>
      <c r="C1751" s="116">
        <v>375.25</v>
      </c>
      <c r="D1751" s="116">
        <v>372.5</v>
      </c>
      <c r="E1751" s="116">
        <v>374.25</v>
      </c>
      <c r="F1751" s="116">
        <v>375.25</v>
      </c>
      <c r="G1751">
        <v>90347</v>
      </c>
      <c r="H1751" s="116"/>
      <c r="I1751" s="116"/>
      <c r="L1751" s="170">
        <v>44581</v>
      </c>
      <c r="M1751" s="116">
        <v>375.1</v>
      </c>
      <c r="N1751" s="116">
        <v>379.8</v>
      </c>
      <c r="O1751" s="116">
        <v>372.45</v>
      </c>
      <c r="P1751" s="116">
        <v>375.25</v>
      </c>
      <c r="Q1751" s="116">
        <v>375.1</v>
      </c>
      <c r="R1751">
        <v>3354873</v>
      </c>
    </row>
    <row r="1752" spans="1:18" x14ac:dyDescent="0.25">
      <c r="A1752" s="170">
        <v>44582</v>
      </c>
      <c r="B1752" s="116">
        <v>373.6</v>
      </c>
      <c r="C1752" s="116">
        <v>368.4</v>
      </c>
      <c r="D1752" s="116">
        <v>364.25</v>
      </c>
      <c r="E1752" s="116">
        <v>372.15</v>
      </c>
      <c r="F1752" s="116">
        <v>368.4</v>
      </c>
      <c r="G1752">
        <v>106439</v>
      </c>
      <c r="H1752" s="116"/>
      <c r="I1752" s="116"/>
      <c r="L1752" s="170">
        <v>44582</v>
      </c>
      <c r="M1752" s="116">
        <v>368.65</v>
      </c>
      <c r="N1752" s="116">
        <v>374.6</v>
      </c>
      <c r="O1752" s="116">
        <v>364.05</v>
      </c>
      <c r="P1752" s="116">
        <v>374.6</v>
      </c>
      <c r="Q1752" s="116">
        <v>368.65</v>
      </c>
      <c r="R1752">
        <v>1426135</v>
      </c>
    </row>
    <row r="1753" spans="1:18" x14ac:dyDescent="0.25">
      <c r="A1753" s="170">
        <v>44585</v>
      </c>
      <c r="B1753" s="116">
        <v>370.9</v>
      </c>
      <c r="C1753" s="116">
        <v>352.75</v>
      </c>
      <c r="D1753" s="116">
        <v>349.1</v>
      </c>
      <c r="E1753" s="116">
        <v>369.45</v>
      </c>
      <c r="F1753" s="116">
        <v>352.75</v>
      </c>
      <c r="G1753">
        <v>98553</v>
      </c>
      <c r="H1753" s="116"/>
      <c r="I1753" s="116"/>
      <c r="L1753" s="170">
        <v>44585</v>
      </c>
      <c r="M1753" s="116">
        <v>352.85</v>
      </c>
      <c r="N1753" s="116">
        <v>371.2</v>
      </c>
      <c r="O1753" s="116">
        <v>349</v>
      </c>
      <c r="P1753" s="116">
        <v>368</v>
      </c>
      <c r="Q1753" s="116">
        <v>352.85</v>
      </c>
      <c r="R1753">
        <v>4250468</v>
      </c>
    </row>
    <row r="1754" spans="1:18" x14ac:dyDescent="0.25">
      <c r="A1754" s="170">
        <v>44586</v>
      </c>
      <c r="B1754" s="116">
        <v>356.25</v>
      </c>
      <c r="C1754" s="116">
        <v>351.55</v>
      </c>
      <c r="D1754" s="116">
        <v>343.65</v>
      </c>
      <c r="E1754" s="116">
        <v>350.5</v>
      </c>
      <c r="F1754" s="116">
        <v>351.55</v>
      </c>
      <c r="G1754">
        <v>88933</v>
      </c>
      <c r="H1754" s="116"/>
      <c r="I1754" s="116"/>
      <c r="L1754" s="170">
        <v>44586</v>
      </c>
      <c r="M1754" s="116">
        <v>351.5</v>
      </c>
      <c r="N1754" s="116">
        <v>356.5</v>
      </c>
      <c r="O1754" s="116">
        <v>343.45</v>
      </c>
      <c r="P1754" s="116">
        <v>351.95</v>
      </c>
      <c r="Q1754" s="116">
        <v>351.5</v>
      </c>
      <c r="R1754">
        <v>3178488</v>
      </c>
    </row>
    <row r="1755" spans="1:18" x14ac:dyDescent="0.25">
      <c r="A1755" s="170">
        <v>44588</v>
      </c>
      <c r="B1755" s="116">
        <v>355.8</v>
      </c>
      <c r="C1755" s="116">
        <v>351.8</v>
      </c>
      <c r="D1755" s="116">
        <v>340.35</v>
      </c>
      <c r="E1755" s="116">
        <v>355.8</v>
      </c>
      <c r="F1755" s="116">
        <v>351.8</v>
      </c>
      <c r="G1755">
        <v>146659</v>
      </c>
      <c r="H1755" s="116"/>
      <c r="I1755" s="116"/>
      <c r="L1755" s="170">
        <v>44588</v>
      </c>
      <c r="M1755" s="116">
        <v>351.65</v>
      </c>
      <c r="N1755" s="116">
        <v>354.3</v>
      </c>
      <c r="O1755" s="116">
        <v>340.45</v>
      </c>
      <c r="P1755" s="116">
        <v>350.9</v>
      </c>
      <c r="Q1755" s="116">
        <v>351.65</v>
      </c>
      <c r="R1755">
        <v>2852549</v>
      </c>
    </row>
    <row r="1756" spans="1:18" x14ac:dyDescent="0.25">
      <c r="A1756" s="170">
        <v>44589</v>
      </c>
      <c r="B1756" s="116">
        <v>367</v>
      </c>
      <c r="C1756" s="116">
        <v>360.7</v>
      </c>
      <c r="D1756" s="116">
        <v>351.9</v>
      </c>
      <c r="E1756" s="116">
        <v>351.9</v>
      </c>
      <c r="F1756" s="116">
        <v>360.7</v>
      </c>
      <c r="G1756">
        <v>125854</v>
      </c>
      <c r="H1756" s="116"/>
      <c r="I1756" s="116"/>
      <c r="L1756" s="170">
        <v>44589</v>
      </c>
      <c r="M1756" s="116">
        <v>360.7</v>
      </c>
      <c r="N1756" s="116">
        <v>367.1</v>
      </c>
      <c r="O1756" s="116">
        <v>353</v>
      </c>
      <c r="P1756" s="116">
        <v>354.4</v>
      </c>
      <c r="Q1756" s="116">
        <v>360.7</v>
      </c>
      <c r="R1756">
        <v>3157848</v>
      </c>
    </row>
    <row r="1757" spans="1:18" x14ac:dyDescent="0.25">
      <c r="A1757" s="170">
        <v>44592</v>
      </c>
      <c r="B1757" s="116">
        <v>369.3</v>
      </c>
      <c r="C1757" s="116">
        <v>365.2</v>
      </c>
      <c r="D1757" s="116">
        <v>363</v>
      </c>
      <c r="E1757" s="116">
        <v>363</v>
      </c>
      <c r="F1757" s="116">
        <v>365.2</v>
      </c>
      <c r="G1757">
        <v>109559</v>
      </c>
      <c r="H1757" s="116"/>
      <c r="I1757" s="116"/>
      <c r="L1757" s="170">
        <v>44592</v>
      </c>
      <c r="M1757" s="116">
        <v>365.15</v>
      </c>
      <c r="N1757" s="116">
        <v>369.25</v>
      </c>
      <c r="O1757" s="116">
        <v>363</v>
      </c>
      <c r="P1757" s="116">
        <v>364.6</v>
      </c>
      <c r="Q1757" s="116">
        <v>365.15</v>
      </c>
      <c r="R1757">
        <v>1955762</v>
      </c>
    </row>
    <row r="1758" spans="1:18" x14ac:dyDescent="0.25">
      <c r="A1758" s="170">
        <v>44593</v>
      </c>
      <c r="B1758" s="116">
        <v>382.5</v>
      </c>
      <c r="C1758" s="116">
        <v>380.5</v>
      </c>
      <c r="D1758" s="116">
        <v>366.55</v>
      </c>
      <c r="E1758" s="116">
        <v>371.4</v>
      </c>
      <c r="F1758" s="116">
        <v>380.5</v>
      </c>
      <c r="G1758">
        <v>306320</v>
      </c>
      <c r="H1758" s="116"/>
      <c r="I1758" s="116"/>
      <c r="L1758" s="170">
        <v>44593</v>
      </c>
      <c r="M1758" s="116">
        <v>380.4</v>
      </c>
      <c r="N1758" s="116">
        <v>382.85</v>
      </c>
      <c r="O1758" s="116">
        <v>366.5</v>
      </c>
      <c r="P1758" s="116">
        <v>370</v>
      </c>
      <c r="Q1758" s="116">
        <v>380.4</v>
      </c>
      <c r="R1758">
        <v>6354846</v>
      </c>
    </row>
    <row r="1759" spans="1:18" x14ac:dyDescent="0.25">
      <c r="A1759" s="170">
        <v>44594</v>
      </c>
      <c r="B1759" s="116">
        <v>386.05</v>
      </c>
      <c r="C1759" s="116">
        <v>379.95</v>
      </c>
      <c r="D1759" s="116">
        <v>378</v>
      </c>
      <c r="E1759" s="116">
        <v>382.6</v>
      </c>
      <c r="F1759" s="116">
        <v>379.95</v>
      </c>
      <c r="G1759">
        <v>169674</v>
      </c>
      <c r="H1759" s="116"/>
      <c r="I1759" s="116"/>
      <c r="L1759" s="170">
        <v>44594</v>
      </c>
      <c r="M1759" s="116">
        <v>380</v>
      </c>
      <c r="N1759" s="116">
        <v>386.3</v>
      </c>
      <c r="O1759" s="116">
        <v>377.85</v>
      </c>
      <c r="P1759" s="116">
        <v>383.7</v>
      </c>
      <c r="Q1759" s="116">
        <v>380</v>
      </c>
      <c r="R1759">
        <v>3322525</v>
      </c>
    </row>
    <row r="1760" spans="1:18" x14ac:dyDescent="0.25">
      <c r="A1760" s="170">
        <v>44595</v>
      </c>
      <c r="B1760" s="116">
        <v>384.1</v>
      </c>
      <c r="C1760" s="116">
        <v>382.05</v>
      </c>
      <c r="D1760" s="116">
        <v>379.95</v>
      </c>
      <c r="E1760" s="116">
        <v>380</v>
      </c>
      <c r="F1760" s="116">
        <v>382.05</v>
      </c>
      <c r="G1760">
        <v>74921</v>
      </c>
      <c r="H1760" s="116"/>
      <c r="I1760" s="116"/>
      <c r="L1760" s="170">
        <v>44595</v>
      </c>
      <c r="M1760" s="116">
        <v>381.9</v>
      </c>
      <c r="N1760" s="116">
        <v>384.3</v>
      </c>
      <c r="O1760" s="116">
        <v>377.3</v>
      </c>
      <c r="P1760" s="116">
        <v>377.3</v>
      </c>
      <c r="Q1760" s="116">
        <v>381.9</v>
      </c>
      <c r="R1760">
        <v>3772405</v>
      </c>
    </row>
    <row r="1761" spans="1:18" x14ac:dyDescent="0.25">
      <c r="A1761" s="170">
        <v>44596</v>
      </c>
      <c r="B1761" s="116">
        <v>384.75</v>
      </c>
      <c r="C1761" s="116">
        <v>380.15</v>
      </c>
      <c r="D1761" s="116">
        <v>378.15</v>
      </c>
      <c r="E1761" s="116">
        <v>382</v>
      </c>
      <c r="F1761" s="116">
        <v>380.15</v>
      </c>
      <c r="G1761">
        <v>119489</v>
      </c>
      <c r="H1761" s="116"/>
      <c r="I1761" s="116"/>
      <c r="L1761" s="170">
        <v>44596</v>
      </c>
      <c r="M1761" s="116">
        <v>380.4</v>
      </c>
      <c r="N1761" s="116">
        <v>384.9</v>
      </c>
      <c r="O1761" s="116">
        <v>378</v>
      </c>
      <c r="P1761" s="116">
        <v>383</v>
      </c>
      <c r="Q1761" s="116">
        <v>380.4</v>
      </c>
      <c r="R1761">
        <v>5637748</v>
      </c>
    </row>
    <row r="1762" spans="1:18" x14ac:dyDescent="0.25">
      <c r="A1762" s="170">
        <v>44599</v>
      </c>
      <c r="B1762" s="116">
        <v>383.8</v>
      </c>
      <c r="C1762" s="116">
        <v>382.65</v>
      </c>
      <c r="D1762" s="116">
        <v>374.45</v>
      </c>
      <c r="E1762" s="116">
        <v>383.7</v>
      </c>
      <c r="F1762" s="116">
        <v>382.65</v>
      </c>
      <c r="G1762">
        <v>49082</v>
      </c>
      <c r="H1762" s="116"/>
      <c r="I1762" s="116"/>
      <c r="L1762" s="170">
        <v>44599</v>
      </c>
      <c r="M1762" s="116">
        <v>382.65</v>
      </c>
      <c r="N1762" s="116">
        <v>383.9</v>
      </c>
      <c r="O1762" s="116">
        <v>374.2</v>
      </c>
      <c r="P1762" s="116">
        <v>380</v>
      </c>
      <c r="Q1762" s="116">
        <v>382.65</v>
      </c>
      <c r="R1762">
        <v>2535377</v>
      </c>
    </row>
    <row r="1763" spans="1:18" x14ac:dyDescent="0.25">
      <c r="A1763" s="170">
        <v>44600</v>
      </c>
      <c r="B1763" s="116">
        <v>386</v>
      </c>
      <c r="C1763" s="116">
        <v>376.4</v>
      </c>
      <c r="D1763" s="116">
        <v>373.75</v>
      </c>
      <c r="E1763" s="116">
        <v>382.65</v>
      </c>
      <c r="F1763" s="116">
        <v>376.4</v>
      </c>
      <c r="G1763">
        <v>89185</v>
      </c>
      <c r="H1763" s="116"/>
      <c r="I1763" s="116"/>
      <c r="L1763" s="170">
        <v>44600</v>
      </c>
      <c r="M1763" s="116">
        <v>376.3</v>
      </c>
      <c r="N1763" s="116">
        <v>386.1</v>
      </c>
      <c r="O1763" s="116">
        <v>373.25</v>
      </c>
      <c r="P1763" s="116">
        <v>383</v>
      </c>
      <c r="Q1763" s="116">
        <v>376.3</v>
      </c>
      <c r="R1763">
        <v>2089451</v>
      </c>
    </row>
    <row r="1764" spans="1:18" x14ac:dyDescent="0.25">
      <c r="A1764" s="170">
        <v>44601</v>
      </c>
      <c r="B1764" s="116">
        <v>385.65</v>
      </c>
      <c r="C1764" s="116">
        <v>382.8</v>
      </c>
      <c r="D1764" s="116">
        <v>376.7</v>
      </c>
      <c r="E1764" s="116">
        <v>376.7</v>
      </c>
      <c r="F1764" s="116">
        <v>382.8</v>
      </c>
      <c r="G1764">
        <v>76937</v>
      </c>
      <c r="H1764" s="116"/>
      <c r="I1764" s="116"/>
      <c r="L1764" s="170">
        <v>44601</v>
      </c>
      <c r="M1764" s="116">
        <v>382.8</v>
      </c>
      <c r="N1764" s="116">
        <v>385.9</v>
      </c>
      <c r="O1764" s="116">
        <v>376.85</v>
      </c>
      <c r="P1764" s="116">
        <v>379.35</v>
      </c>
      <c r="Q1764" s="116">
        <v>382.8</v>
      </c>
      <c r="R1764">
        <v>2140597</v>
      </c>
    </row>
    <row r="1765" spans="1:18" x14ac:dyDescent="0.25">
      <c r="A1765" s="170">
        <v>44602</v>
      </c>
      <c r="B1765" s="116">
        <v>384.35</v>
      </c>
      <c r="C1765" s="116">
        <v>374.9</v>
      </c>
      <c r="D1765" s="116">
        <v>373.5</v>
      </c>
      <c r="E1765" s="116">
        <v>382.5</v>
      </c>
      <c r="F1765" s="116">
        <v>374.9</v>
      </c>
      <c r="G1765">
        <v>100073</v>
      </c>
      <c r="H1765" s="116"/>
      <c r="I1765" s="116"/>
      <c r="L1765" s="170">
        <v>44602</v>
      </c>
      <c r="M1765" s="116">
        <v>374.85</v>
      </c>
      <c r="N1765" s="116">
        <v>384.4</v>
      </c>
      <c r="O1765" s="116">
        <v>373.4</v>
      </c>
      <c r="P1765" s="116">
        <v>381.75</v>
      </c>
      <c r="Q1765" s="116">
        <v>374.85</v>
      </c>
      <c r="R1765">
        <v>4638095</v>
      </c>
    </row>
    <row r="1766" spans="1:18" x14ac:dyDescent="0.25">
      <c r="A1766" s="170">
        <v>44603</v>
      </c>
      <c r="B1766" s="116">
        <v>375</v>
      </c>
      <c r="C1766" s="116">
        <v>367.85</v>
      </c>
      <c r="D1766" s="116">
        <v>366.8</v>
      </c>
      <c r="E1766" s="116">
        <v>375</v>
      </c>
      <c r="F1766" s="116">
        <v>367.85</v>
      </c>
      <c r="G1766">
        <v>109672</v>
      </c>
      <c r="H1766" s="116"/>
      <c r="I1766" s="116"/>
      <c r="L1766" s="170">
        <v>44603</v>
      </c>
      <c r="M1766" s="116">
        <v>367.9</v>
      </c>
      <c r="N1766" s="116">
        <v>375.85</v>
      </c>
      <c r="O1766" s="116">
        <v>366.6</v>
      </c>
      <c r="P1766" s="116">
        <v>375</v>
      </c>
      <c r="Q1766" s="116">
        <v>367.9</v>
      </c>
      <c r="R1766">
        <v>2050063</v>
      </c>
    </row>
    <row r="1767" spans="1:18" x14ac:dyDescent="0.25">
      <c r="A1767" s="170">
        <v>44606</v>
      </c>
      <c r="B1767" s="116">
        <v>364.45</v>
      </c>
      <c r="C1767" s="116">
        <v>355.2</v>
      </c>
      <c r="D1767" s="116">
        <v>353.95</v>
      </c>
      <c r="E1767" s="116">
        <v>364.45</v>
      </c>
      <c r="F1767" s="116">
        <v>355.2</v>
      </c>
      <c r="G1767">
        <v>72647</v>
      </c>
      <c r="H1767" s="116"/>
      <c r="I1767" s="116"/>
      <c r="L1767" s="170">
        <v>44606</v>
      </c>
      <c r="M1767" s="116">
        <v>355.1</v>
      </c>
      <c r="N1767" s="116">
        <v>365</v>
      </c>
      <c r="O1767" s="116">
        <v>354.05</v>
      </c>
      <c r="P1767" s="116">
        <v>362</v>
      </c>
      <c r="Q1767" s="116">
        <v>355.1</v>
      </c>
      <c r="R1767">
        <v>1341336</v>
      </c>
    </row>
    <row r="1768" spans="1:18" x14ac:dyDescent="0.25">
      <c r="A1768" s="170">
        <v>44607</v>
      </c>
      <c r="B1768" s="116">
        <v>365</v>
      </c>
      <c r="C1768" s="116">
        <v>363.5</v>
      </c>
      <c r="D1768" s="116">
        <v>353.7</v>
      </c>
      <c r="E1768" s="116">
        <v>355.2</v>
      </c>
      <c r="F1768" s="116">
        <v>363.5</v>
      </c>
      <c r="G1768">
        <v>87365</v>
      </c>
      <c r="H1768" s="116"/>
      <c r="I1768" s="116"/>
      <c r="L1768" s="170">
        <v>44607</v>
      </c>
      <c r="M1768" s="116">
        <v>363.55</v>
      </c>
      <c r="N1768" s="116">
        <v>365</v>
      </c>
      <c r="O1768" s="116">
        <v>353.75</v>
      </c>
      <c r="P1768" s="116">
        <v>357</v>
      </c>
      <c r="Q1768" s="116">
        <v>363.55</v>
      </c>
      <c r="R1768">
        <v>2027130</v>
      </c>
    </row>
    <row r="1769" spans="1:18" x14ac:dyDescent="0.25">
      <c r="A1769" s="170">
        <v>44608</v>
      </c>
      <c r="B1769" s="116">
        <v>367.7</v>
      </c>
      <c r="C1769" s="116">
        <v>360.95</v>
      </c>
      <c r="D1769" s="116">
        <v>359.5</v>
      </c>
      <c r="E1769" s="116">
        <v>365</v>
      </c>
      <c r="F1769" s="116">
        <v>360.95</v>
      </c>
      <c r="G1769">
        <v>49926</v>
      </c>
      <c r="H1769" s="116"/>
      <c r="I1769" s="116"/>
      <c r="L1769" s="170">
        <v>44608</v>
      </c>
      <c r="M1769" s="116">
        <v>360.7</v>
      </c>
      <c r="N1769" s="116">
        <v>367.85</v>
      </c>
      <c r="O1769" s="116">
        <v>359.5</v>
      </c>
      <c r="P1769" s="116">
        <v>365.1</v>
      </c>
      <c r="Q1769" s="116">
        <v>360.7</v>
      </c>
      <c r="R1769">
        <v>1368175</v>
      </c>
    </row>
    <row r="1770" spans="1:18" x14ac:dyDescent="0.25">
      <c r="A1770" s="170">
        <v>44609</v>
      </c>
      <c r="B1770" s="116">
        <v>365</v>
      </c>
      <c r="C1770" s="116">
        <v>359.4</v>
      </c>
      <c r="D1770" s="116">
        <v>357.6</v>
      </c>
      <c r="E1770" s="116">
        <v>365</v>
      </c>
      <c r="F1770" s="116">
        <v>359.4</v>
      </c>
      <c r="G1770">
        <v>85317</v>
      </c>
      <c r="H1770" s="116"/>
      <c r="I1770" s="116"/>
      <c r="L1770" s="170">
        <v>44609</v>
      </c>
      <c r="M1770" s="116">
        <v>359.8</v>
      </c>
      <c r="N1770" s="116">
        <v>364.5</v>
      </c>
      <c r="O1770" s="116">
        <v>357.5</v>
      </c>
      <c r="P1770" s="116">
        <v>362.5</v>
      </c>
      <c r="Q1770" s="116">
        <v>359.8</v>
      </c>
      <c r="R1770">
        <v>1439893</v>
      </c>
    </row>
    <row r="1771" spans="1:18" x14ac:dyDescent="0.25">
      <c r="A1771" s="170">
        <v>44610</v>
      </c>
      <c r="B1771" s="116">
        <v>355</v>
      </c>
      <c r="C1771" s="116">
        <v>338.3</v>
      </c>
      <c r="D1771" s="116">
        <v>337.2</v>
      </c>
      <c r="E1771" s="116">
        <v>348.5</v>
      </c>
      <c r="F1771" s="116">
        <v>338.3</v>
      </c>
      <c r="G1771">
        <v>380785</v>
      </c>
      <c r="H1771" s="116"/>
      <c r="I1771" s="116"/>
      <c r="L1771" s="170">
        <v>44610</v>
      </c>
      <c r="M1771" s="116">
        <v>338.35</v>
      </c>
      <c r="N1771" s="116">
        <v>354</v>
      </c>
      <c r="O1771" s="116">
        <v>337.2</v>
      </c>
      <c r="P1771" s="116">
        <v>352.7</v>
      </c>
      <c r="Q1771" s="116">
        <v>338.35</v>
      </c>
      <c r="R1771">
        <v>11901556</v>
      </c>
    </row>
    <row r="1772" spans="1:18" x14ac:dyDescent="0.25">
      <c r="A1772" s="170">
        <v>44613</v>
      </c>
      <c r="B1772" s="116">
        <v>341.3</v>
      </c>
      <c r="C1772" s="116">
        <v>339</v>
      </c>
      <c r="D1772" s="116">
        <v>331.3</v>
      </c>
      <c r="E1772" s="116">
        <v>333.95</v>
      </c>
      <c r="F1772" s="116">
        <v>339</v>
      </c>
      <c r="G1772">
        <v>138820</v>
      </c>
      <c r="H1772" s="116"/>
      <c r="I1772" s="116"/>
      <c r="L1772" s="170">
        <v>44613</v>
      </c>
      <c r="M1772" s="116">
        <v>338.55</v>
      </c>
      <c r="N1772" s="116">
        <v>341.3</v>
      </c>
      <c r="O1772" s="116">
        <v>331.25</v>
      </c>
      <c r="P1772" s="116">
        <v>334.2</v>
      </c>
      <c r="Q1772" s="116">
        <v>338.55</v>
      </c>
      <c r="R1772">
        <v>5812598</v>
      </c>
    </row>
    <row r="1773" spans="1:18" x14ac:dyDescent="0.25">
      <c r="A1773" s="170">
        <v>44614</v>
      </c>
      <c r="B1773" s="116">
        <v>338.35</v>
      </c>
      <c r="C1773" s="116">
        <v>337.4</v>
      </c>
      <c r="D1773" s="116">
        <v>331.05</v>
      </c>
      <c r="E1773" s="116">
        <v>331.05</v>
      </c>
      <c r="F1773" s="116">
        <v>337.4</v>
      </c>
      <c r="G1773">
        <v>205473</v>
      </c>
      <c r="H1773" s="116"/>
      <c r="I1773" s="116"/>
      <c r="L1773" s="170">
        <v>44614</v>
      </c>
      <c r="M1773" s="116">
        <v>337.35</v>
      </c>
      <c r="N1773" s="116">
        <v>338.45</v>
      </c>
      <c r="O1773" s="116">
        <v>331.1</v>
      </c>
      <c r="P1773" s="116">
        <v>334</v>
      </c>
      <c r="Q1773" s="116">
        <v>337.35</v>
      </c>
      <c r="R1773">
        <v>3078034</v>
      </c>
    </row>
    <row r="1774" spans="1:18" x14ac:dyDescent="0.25">
      <c r="A1774" s="170">
        <v>44615</v>
      </c>
      <c r="B1774" s="116">
        <v>340.5</v>
      </c>
      <c r="C1774" s="116">
        <v>331.1</v>
      </c>
      <c r="D1774" s="116">
        <v>330</v>
      </c>
      <c r="E1774" s="116">
        <v>337.4</v>
      </c>
      <c r="F1774" s="116">
        <v>331.1</v>
      </c>
      <c r="G1774">
        <v>159258</v>
      </c>
      <c r="H1774" s="116"/>
      <c r="I1774" s="116"/>
      <c r="L1774" s="170">
        <v>44615</v>
      </c>
      <c r="M1774" s="116">
        <v>330.95</v>
      </c>
      <c r="N1774" s="116">
        <v>340.5</v>
      </c>
      <c r="O1774" s="116">
        <v>329.6</v>
      </c>
      <c r="P1774" s="116">
        <v>338.9</v>
      </c>
      <c r="Q1774" s="116">
        <v>330.95</v>
      </c>
      <c r="R1774">
        <v>5312647</v>
      </c>
    </row>
    <row r="1775" spans="1:18" x14ac:dyDescent="0.25">
      <c r="A1775" s="170">
        <v>44616</v>
      </c>
      <c r="B1775" s="116">
        <v>322.35000000000002</v>
      </c>
      <c r="C1775" s="116">
        <v>306.85000000000002</v>
      </c>
      <c r="D1775" s="116">
        <v>302</v>
      </c>
      <c r="E1775" s="116">
        <v>314</v>
      </c>
      <c r="F1775" s="116">
        <v>306.85000000000002</v>
      </c>
      <c r="G1775">
        <v>481305</v>
      </c>
      <c r="H1775" s="116"/>
      <c r="I1775" s="116"/>
      <c r="L1775" s="170">
        <v>44616</v>
      </c>
      <c r="M1775" s="116">
        <v>306.95</v>
      </c>
      <c r="N1775" s="116">
        <v>322.35000000000002</v>
      </c>
      <c r="O1775" s="116">
        <v>302.05</v>
      </c>
      <c r="P1775" s="116">
        <v>316</v>
      </c>
      <c r="Q1775" s="116">
        <v>306.95</v>
      </c>
      <c r="R1775">
        <v>12821969</v>
      </c>
    </row>
    <row r="1776" spans="1:18" x14ac:dyDescent="0.25">
      <c r="A1776" s="170">
        <v>44617</v>
      </c>
      <c r="B1776" s="116">
        <v>315.89999999999998</v>
      </c>
      <c r="C1776" s="116">
        <v>308.85000000000002</v>
      </c>
      <c r="D1776" s="116">
        <v>306.3</v>
      </c>
      <c r="E1776" s="116">
        <v>308.14999999999998</v>
      </c>
      <c r="F1776" s="116">
        <v>308.85000000000002</v>
      </c>
      <c r="G1776">
        <v>962132</v>
      </c>
      <c r="H1776" s="116"/>
      <c r="I1776" s="116"/>
      <c r="L1776" s="170">
        <v>44617</v>
      </c>
      <c r="M1776" s="116">
        <v>308.7</v>
      </c>
      <c r="N1776" s="116">
        <v>315.95</v>
      </c>
      <c r="O1776" s="116">
        <v>306.10000000000002</v>
      </c>
      <c r="P1776" s="116">
        <v>311</v>
      </c>
      <c r="Q1776" s="116">
        <v>308.7</v>
      </c>
      <c r="R1776">
        <v>5240212</v>
      </c>
    </row>
    <row r="1777" spans="1:18" x14ac:dyDescent="0.25">
      <c r="A1777" s="170">
        <v>44620</v>
      </c>
      <c r="B1777" s="116">
        <v>315.8</v>
      </c>
      <c r="C1777" s="116">
        <v>314.35000000000002</v>
      </c>
      <c r="D1777" s="116">
        <v>303.25</v>
      </c>
      <c r="E1777" s="116">
        <v>307.2</v>
      </c>
      <c r="F1777" s="116">
        <v>314.35000000000002</v>
      </c>
      <c r="G1777">
        <v>628325</v>
      </c>
      <c r="H1777" s="116"/>
      <c r="I1777" s="116"/>
      <c r="L1777" s="170">
        <v>44620</v>
      </c>
      <c r="M1777" s="116">
        <v>314.25</v>
      </c>
      <c r="N1777" s="116">
        <v>315.95</v>
      </c>
      <c r="O1777" s="116">
        <v>302.95</v>
      </c>
      <c r="P1777" s="116">
        <v>306.3</v>
      </c>
      <c r="Q1777" s="116">
        <v>314.25</v>
      </c>
      <c r="R1777">
        <v>7116898</v>
      </c>
    </row>
    <row r="1778" spans="1:18" x14ac:dyDescent="0.25">
      <c r="A1778" s="170">
        <v>44622</v>
      </c>
      <c r="B1778" s="116">
        <v>314.8</v>
      </c>
      <c r="C1778" s="116">
        <v>304.14999999999998</v>
      </c>
      <c r="D1778" s="116">
        <v>301.10000000000002</v>
      </c>
      <c r="E1778" s="116">
        <v>314</v>
      </c>
      <c r="F1778" s="116">
        <v>304.14999999999998</v>
      </c>
      <c r="G1778">
        <v>337098</v>
      </c>
      <c r="H1778" s="116"/>
      <c r="I1778" s="116"/>
      <c r="L1778" s="170">
        <v>44622</v>
      </c>
      <c r="M1778" s="116">
        <v>304.14999999999998</v>
      </c>
      <c r="N1778" s="116">
        <v>314.85000000000002</v>
      </c>
      <c r="O1778" s="116">
        <v>301</v>
      </c>
      <c r="P1778" s="116">
        <v>312.8</v>
      </c>
      <c r="Q1778" s="116">
        <v>304.14999999999998</v>
      </c>
      <c r="R1778">
        <v>6623505</v>
      </c>
    </row>
    <row r="1779" spans="1:18" x14ac:dyDescent="0.25">
      <c r="A1779" s="170">
        <v>44623</v>
      </c>
      <c r="B1779" s="116">
        <v>310.75</v>
      </c>
      <c r="C1779" s="116">
        <v>290.10000000000002</v>
      </c>
      <c r="D1779" s="116">
        <v>287.85000000000002</v>
      </c>
      <c r="E1779" s="116">
        <v>310.75</v>
      </c>
      <c r="F1779" s="116">
        <v>290.10000000000002</v>
      </c>
      <c r="G1779">
        <v>384514</v>
      </c>
      <c r="H1779" s="116"/>
      <c r="I1779" s="116"/>
      <c r="L1779" s="170">
        <v>44623</v>
      </c>
      <c r="M1779" s="116">
        <v>290.2</v>
      </c>
      <c r="N1779" s="116">
        <v>311.10000000000002</v>
      </c>
      <c r="O1779" s="116">
        <v>287.89999999999998</v>
      </c>
      <c r="P1779" s="116">
        <v>308.60000000000002</v>
      </c>
      <c r="Q1779" s="116">
        <v>290.2</v>
      </c>
      <c r="R1779">
        <v>11872107</v>
      </c>
    </row>
    <row r="1780" spans="1:18" x14ac:dyDescent="0.25">
      <c r="A1780" s="170">
        <v>44624</v>
      </c>
      <c r="B1780" s="116">
        <v>296.39999999999998</v>
      </c>
      <c r="C1780" s="116">
        <v>292.5</v>
      </c>
      <c r="D1780" s="116">
        <v>283.95</v>
      </c>
      <c r="E1780" s="116">
        <v>285</v>
      </c>
      <c r="F1780" s="116">
        <v>292.5</v>
      </c>
      <c r="G1780">
        <v>275258</v>
      </c>
      <c r="H1780" s="116"/>
      <c r="I1780" s="116"/>
      <c r="L1780" s="170">
        <v>44624</v>
      </c>
      <c r="M1780" s="116">
        <v>292.60000000000002</v>
      </c>
      <c r="N1780" s="116">
        <v>296.2</v>
      </c>
      <c r="O1780" s="116">
        <v>283.7</v>
      </c>
      <c r="P1780" s="116">
        <v>285.2</v>
      </c>
      <c r="Q1780" s="116">
        <v>292.60000000000002</v>
      </c>
      <c r="R1780">
        <v>6171233</v>
      </c>
    </row>
    <row r="1781" spans="1:18" x14ac:dyDescent="0.25">
      <c r="A1781" s="170">
        <v>44627</v>
      </c>
      <c r="B1781" s="116">
        <v>291</v>
      </c>
      <c r="C1781" s="116">
        <v>281.45</v>
      </c>
      <c r="D1781" s="116">
        <v>278.05</v>
      </c>
      <c r="E1781" s="116">
        <v>291</v>
      </c>
      <c r="F1781" s="116">
        <v>281.45</v>
      </c>
      <c r="G1781">
        <v>320136</v>
      </c>
      <c r="H1781" s="116"/>
      <c r="I1781" s="116"/>
      <c r="L1781" s="170">
        <v>44627</v>
      </c>
      <c r="M1781" s="116">
        <v>281.2</v>
      </c>
      <c r="N1781" s="116">
        <v>289</v>
      </c>
      <c r="O1781" s="116">
        <v>278</v>
      </c>
      <c r="P1781" s="116">
        <v>287.95</v>
      </c>
      <c r="Q1781" s="116">
        <v>281.2</v>
      </c>
      <c r="R1781">
        <v>6936569</v>
      </c>
    </row>
    <row r="1782" spans="1:18" x14ac:dyDescent="0.25">
      <c r="A1782" s="170">
        <v>44628</v>
      </c>
      <c r="B1782" s="116">
        <v>284</v>
      </c>
      <c r="C1782" s="116">
        <v>283</v>
      </c>
      <c r="D1782" s="116">
        <v>274</v>
      </c>
      <c r="E1782" s="116">
        <v>279.89999999999998</v>
      </c>
      <c r="F1782" s="116">
        <v>283</v>
      </c>
      <c r="G1782">
        <v>304080</v>
      </c>
      <c r="H1782" s="116"/>
      <c r="I1782" s="116"/>
      <c r="L1782" s="170">
        <v>44628</v>
      </c>
      <c r="M1782" s="116">
        <v>282.89999999999998</v>
      </c>
      <c r="N1782" s="116">
        <v>284.55</v>
      </c>
      <c r="O1782" s="116">
        <v>274</v>
      </c>
      <c r="P1782" s="116">
        <v>281.05</v>
      </c>
      <c r="Q1782" s="116">
        <v>282.89999999999998</v>
      </c>
      <c r="R1782">
        <v>6513565</v>
      </c>
    </row>
    <row r="1783" spans="1:18" x14ac:dyDescent="0.25">
      <c r="A1783" s="170">
        <v>44629</v>
      </c>
      <c r="B1783" s="116">
        <v>292.60000000000002</v>
      </c>
      <c r="C1783" s="116">
        <v>291.8</v>
      </c>
      <c r="D1783" s="116">
        <v>280.8</v>
      </c>
      <c r="E1783" s="116">
        <v>285.25</v>
      </c>
      <c r="F1783" s="116">
        <v>291.8</v>
      </c>
      <c r="G1783">
        <v>327101</v>
      </c>
      <c r="H1783" s="116"/>
      <c r="I1783" s="116"/>
      <c r="L1783" s="170">
        <v>44629</v>
      </c>
      <c r="M1783" s="116">
        <v>291.64999999999998</v>
      </c>
      <c r="N1783" s="116">
        <v>292.64999999999998</v>
      </c>
      <c r="O1783" s="116">
        <v>281</v>
      </c>
      <c r="P1783" s="116">
        <v>285.8</v>
      </c>
      <c r="Q1783" s="116">
        <v>291.64999999999998</v>
      </c>
      <c r="R1783">
        <v>7788795</v>
      </c>
    </row>
    <row r="1784" spans="1:18" x14ac:dyDescent="0.25">
      <c r="A1784" s="170">
        <v>44630</v>
      </c>
      <c r="B1784" s="116">
        <v>302</v>
      </c>
      <c r="C1784" s="116">
        <v>293.10000000000002</v>
      </c>
      <c r="D1784" s="116">
        <v>291.05</v>
      </c>
      <c r="E1784" s="116">
        <v>297</v>
      </c>
      <c r="F1784" s="116">
        <v>293.10000000000002</v>
      </c>
      <c r="G1784">
        <v>336210</v>
      </c>
      <c r="H1784" s="116"/>
      <c r="I1784" s="116"/>
      <c r="L1784" s="170">
        <v>44630</v>
      </c>
      <c r="M1784" s="116">
        <v>293.2</v>
      </c>
      <c r="N1784" s="116">
        <v>302</v>
      </c>
      <c r="O1784" s="116">
        <v>291</v>
      </c>
      <c r="P1784" s="116">
        <v>300</v>
      </c>
      <c r="Q1784" s="116">
        <v>293.2</v>
      </c>
      <c r="R1784">
        <v>5031572</v>
      </c>
    </row>
    <row r="1785" spans="1:18" x14ac:dyDescent="0.25">
      <c r="A1785" s="170">
        <v>44631</v>
      </c>
      <c r="B1785" s="116">
        <v>295.89999999999998</v>
      </c>
      <c r="C1785" s="116">
        <v>293.5</v>
      </c>
      <c r="D1785" s="116">
        <v>290.25</v>
      </c>
      <c r="E1785" s="116">
        <v>292.8</v>
      </c>
      <c r="F1785" s="116">
        <v>293.5</v>
      </c>
      <c r="G1785">
        <v>111047</v>
      </c>
      <c r="H1785" s="116"/>
      <c r="I1785" s="116"/>
      <c r="L1785" s="170">
        <v>44631</v>
      </c>
      <c r="M1785" s="116">
        <v>293.45</v>
      </c>
      <c r="N1785" s="116">
        <v>296</v>
      </c>
      <c r="O1785" s="116">
        <v>290.3</v>
      </c>
      <c r="P1785" s="116">
        <v>293</v>
      </c>
      <c r="Q1785" s="116">
        <v>293.45</v>
      </c>
      <c r="R1785">
        <v>4357253</v>
      </c>
    </row>
    <row r="1786" spans="1:18" x14ac:dyDescent="0.25">
      <c r="A1786" s="170">
        <v>44634</v>
      </c>
      <c r="B1786" s="116">
        <v>296.39999999999998</v>
      </c>
      <c r="C1786" s="116">
        <v>291.14999999999998</v>
      </c>
      <c r="D1786" s="116">
        <v>289.10000000000002</v>
      </c>
      <c r="E1786" s="116">
        <v>294</v>
      </c>
      <c r="F1786" s="116">
        <v>291.14999999999998</v>
      </c>
      <c r="G1786">
        <v>133022</v>
      </c>
      <c r="H1786" s="116"/>
      <c r="I1786" s="116"/>
      <c r="L1786" s="170">
        <v>44634</v>
      </c>
      <c r="M1786" s="116">
        <v>291.2</v>
      </c>
      <c r="N1786" s="116">
        <v>297.5</v>
      </c>
      <c r="O1786" s="116">
        <v>289.05</v>
      </c>
      <c r="P1786" s="116">
        <v>294.64999999999998</v>
      </c>
      <c r="Q1786" s="116">
        <v>291.2</v>
      </c>
      <c r="R1786">
        <v>2658414</v>
      </c>
    </row>
    <row r="1787" spans="1:18" x14ac:dyDescent="0.25">
      <c r="A1787" s="170">
        <v>44635</v>
      </c>
      <c r="B1787" s="116">
        <v>301.5</v>
      </c>
      <c r="C1787" s="116">
        <v>295</v>
      </c>
      <c r="D1787" s="116">
        <v>292.85000000000002</v>
      </c>
      <c r="E1787" s="116">
        <v>294.5</v>
      </c>
      <c r="F1787" s="116">
        <v>295</v>
      </c>
      <c r="G1787">
        <v>139516</v>
      </c>
      <c r="H1787" s="116"/>
      <c r="I1787" s="116"/>
      <c r="L1787" s="170">
        <v>44635</v>
      </c>
      <c r="M1787" s="116">
        <v>295.10000000000002</v>
      </c>
      <c r="N1787" s="116">
        <v>301.85000000000002</v>
      </c>
      <c r="O1787" s="116">
        <v>292.85000000000002</v>
      </c>
      <c r="P1787" s="116">
        <v>293.60000000000002</v>
      </c>
      <c r="Q1787" s="116">
        <v>295.10000000000002</v>
      </c>
      <c r="R1787">
        <v>6826748</v>
      </c>
    </row>
    <row r="1788" spans="1:18" x14ac:dyDescent="0.25">
      <c r="A1788" s="170">
        <v>44636</v>
      </c>
      <c r="B1788" s="116">
        <v>310.8</v>
      </c>
      <c r="C1788" s="116">
        <v>309.25</v>
      </c>
      <c r="D1788" s="116">
        <v>297.10000000000002</v>
      </c>
      <c r="E1788" s="116">
        <v>301</v>
      </c>
      <c r="F1788" s="116">
        <v>309.25</v>
      </c>
      <c r="G1788">
        <v>133441</v>
      </c>
      <c r="H1788" s="116"/>
      <c r="I1788" s="116"/>
      <c r="L1788" s="170">
        <v>44636</v>
      </c>
      <c r="M1788" s="116">
        <v>309.35000000000002</v>
      </c>
      <c r="N1788" s="116">
        <v>311.45</v>
      </c>
      <c r="O1788" s="116">
        <v>297</v>
      </c>
      <c r="P1788" s="116">
        <v>300</v>
      </c>
      <c r="Q1788" s="116">
        <v>309.35000000000002</v>
      </c>
      <c r="R1788">
        <v>6876362</v>
      </c>
    </row>
    <row r="1789" spans="1:18" x14ac:dyDescent="0.25">
      <c r="A1789" s="170">
        <v>44637</v>
      </c>
      <c r="B1789" s="116">
        <v>315.05</v>
      </c>
      <c r="C1789" s="116">
        <v>306.60000000000002</v>
      </c>
      <c r="D1789" s="116">
        <v>305.55</v>
      </c>
      <c r="E1789" s="116">
        <v>315</v>
      </c>
      <c r="F1789" s="116">
        <v>306.60000000000002</v>
      </c>
      <c r="G1789">
        <v>244374</v>
      </c>
      <c r="H1789" s="116"/>
      <c r="I1789" s="116"/>
      <c r="L1789" s="170">
        <v>44637</v>
      </c>
      <c r="M1789" s="116">
        <v>306.2</v>
      </c>
      <c r="N1789" s="116">
        <v>314.89999999999998</v>
      </c>
      <c r="O1789" s="116">
        <v>305.45</v>
      </c>
      <c r="P1789" s="116">
        <v>314.2</v>
      </c>
      <c r="Q1789" s="116">
        <v>306.2</v>
      </c>
      <c r="R1789">
        <v>9901093</v>
      </c>
    </row>
    <row r="1790" spans="1:18" x14ac:dyDescent="0.25">
      <c r="A1790" s="170">
        <v>44641</v>
      </c>
      <c r="B1790" s="116">
        <v>308.8</v>
      </c>
      <c r="C1790" s="116">
        <v>300.45</v>
      </c>
      <c r="D1790" s="116">
        <v>300</v>
      </c>
      <c r="E1790" s="116">
        <v>307.95</v>
      </c>
      <c r="F1790" s="116">
        <v>300.45</v>
      </c>
      <c r="G1790">
        <v>362105</v>
      </c>
      <c r="H1790" s="116"/>
      <c r="I1790" s="116"/>
      <c r="L1790" s="170">
        <v>44641</v>
      </c>
      <c r="M1790" s="116">
        <v>300.35000000000002</v>
      </c>
      <c r="N1790" s="116">
        <v>309.2</v>
      </c>
      <c r="O1790" s="116">
        <v>300</v>
      </c>
      <c r="P1790" s="116">
        <v>306</v>
      </c>
      <c r="Q1790" s="116">
        <v>300.35000000000002</v>
      </c>
      <c r="R1790">
        <v>4583683</v>
      </c>
    </row>
    <row r="1791" spans="1:18" x14ac:dyDescent="0.25">
      <c r="A1791" s="170">
        <v>44642</v>
      </c>
      <c r="B1791" s="116">
        <v>303</v>
      </c>
      <c r="C1791" s="116">
        <v>301.05</v>
      </c>
      <c r="D1791" s="116">
        <v>296.10000000000002</v>
      </c>
      <c r="E1791" s="116">
        <v>301.95</v>
      </c>
      <c r="F1791" s="116">
        <v>301.05</v>
      </c>
      <c r="G1791">
        <v>207387</v>
      </c>
      <c r="H1791" s="116"/>
      <c r="I1791" s="116"/>
      <c r="L1791" s="170">
        <v>44642</v>
      </c>
      <c r="M1791" s="116">
        <v>300.89999999999998</v>
      </c>
      <c r="N1791" s="116">
        <v>302.89999999999998</v>
      </c>
      <c r="O1791" s="116">
        <v>296.05</v>
      </c>
      <c r="P1791" s="116">
        <v>300.45</v>
      </c>
      <c r="Q1791" s="116">
        <v>300.89999999999998</v>
      </c>
      <c r="R1791">
        <v>3537814</v>
      </c>
    </row>
    <row r="1792" spans="1:18" x14ac:dyDescent="0.25">
      <c r="A1792" s="170">
        <v>44643</v>
      </c>
      <c r="B1792" s="116">
        <v>303.25</v>
      </c>
      <c r="C1792" s="116">
        <v>297.8</v>
      </c>
      <c r="D1792" s="116">
        <v>295.7</v>
      </c>
      <c r="E1792" s="116">
        <v>301.14999999999998</v>
      </c>
      <c r="F1792" s="116">
        <v>297.8</v>
      </c>
      <c r="G1792">
        <v>252982</v>
      </c>
      <c r="H1792" s="116"/>
      <c r="I1792" s="116"/>
      <c r="L1792" s="170">
        <v>44643</v>
      </c>
      <c r="M1792" s="116">
        <v>297.85000000000002</v>
      </c>
      <c r="N1792" s="116">
        <v>303.35000000000002</v>
      </c>
      <c r="O1792" s="116">
        <v>295.55</v>
      </c>
      <c r="P1792" s="116">
        <v>303</v>
      </c>
      <c r="Q1792" s="116">
        <v>297.85000000000002</v>
      </c>
      <c r="R1792">
        <v>4697043</v>
      </c>
    </row>
    <row r="1793" spans="1:18" x14ac:dyDescent="0.25">
      <c r="A1793" s="170">
        <v>44644</v>
      </c>
      <c r="B1793" s="116">
        <v>299.7</v>
      </c>
      <c r="C1793" s="116">
        <v>297.2</v>
      </c>
      <c r="D1793" s="116">
        <v>295.10000000000002</v>
      </c>
      <c r="E1793" s="116">
        <v>299.2</v>
      </c>
      <c r="F1793" s="116">
        <v>297.2</v>
      </c>
      <c r="G1793">
        <v>177337</v>
      </c>
      <c r="H1793" s="116"/>
      <c r="I1793" s="116"/>
      <c r="L1793" s="170">
        <v>44644</v>
      </c>
      <c r="M1793" s="116">
        <v>297.05</v>
      </c>
      <c r="N1793" s="116">
        <v>299.64999999999998</v>
      </c>
      <c r="O1793" s="116">
        <v>295</v>
      </c>
      <c r="P1793" s="116">
        <v>296.95</v>
      </c>
      <c r="Q1793" s="116">
        <v>297.05</v>
      </c>
      <c r="R1793">
        <v>4048136</v>
      </c>
    </row>
    <row r="1794" spans="1:18" x14ac:dyDescent="0.25">
      <c r="A1794" s="170">
        <v>44645</v>
      </c>
      <c r="B1794" s="116">
        <v>300</v>
      </c>
      <c r="C1794" s="116">
        <v>298.05</v>
      </c>
      <c r="D1794" s="116">
        <v>294.7</v>
      </c>
      <c r="E1794" s="116">
        <v>300</v>
      </c>
      <c r="F1794" s="116">
        <v>298.05</v>
      </c>
      <c r="G1794">
        <v>267536</v>
      </c>
      <c r="H1794" s="116"/>
      <c r="I1794" s="116"/>
      <c r="L1794" s="170">
        <v>44645</v>
      </c>
      <c r="M1794" s="116">
        <v>297.8</v>
      </c>
      <c r="N1794" s="116">
        <v>299.89999999999998</v>
      </c>
      <c r="O1794" s="116">
        <v>294.55</v>
      </c>
      <c r="P1794" s="116">
        <v>299.89999999999998</v>
      </c>
      <c r="Q1794" s="116">
        <v>297.8</v>
      </c>
      <c r="R1794">
        <v>3115402</v>
      </c>
    </row>
    <row r="1795" spans="1:18" x14ac:dyDescent="0.25">
      <c r="A1795" s="170">
        <v>44648</v>
      </c>
      <c r="B1795" s="116">
        <v>299.3</v>
      </c>
      <c r="C1795" s="116">
        <v>291.85000000000002</v>
      </c>
      <c r="D1795" s="116">
        <v>288.60000000000002</v>
      </c>
      <c r="E1795" s="116">
        <v>298.5</v>
      </c>
      <c r="F1795" s="116">
        <v>291.85000000000002</v>
      </c>
      <c r="G1795">
        <v>406838</v>
      </c>
      <c r="H1795" s="116"/>
      <c r="I1795" s="116"/>
      <c r="L1795" s="170">
        <v>44648</v>
      </c>
      <c r="M1795" s="116">
        <v>291.8</v>
      </c>
      <c r="N1795" s="116">
        <v>299.39999999999998</v>
      </c>
      <c r="O1795" s="116">
        <v>288.5</v>
      </c>
      <c r="P1795" s="116">
        <v>299.39999999999998</v>
      </c>
      <c r="Q1795" s="116">
        <v>291.8</v>
      </c>
      <c r="R1795">
        <v>4811353</v>
      </c>
    </row>
    <row r="1796" spans="1:18" x14ac:dyDescent="0.25">
      <c r="A1796" s="170">
        <v>44649</v>
      </c>
      <c r="B1796" s="116">
        <v>303.05</v>
      </c>
      <c r="C1796" s="116">
        <v>302.5</v>
      </c>
      <c r="D1796" s="116">
        <v>293.5</v>
      </c>
      <c r="E1796" s="116">
        <v>294.55</v>
      </c>
      <c r="F1796" s="116">
        <v>302.5</v>
      </c>
      <c r="G1796">
        <v>388082</v>
      </c>
      <c r="H1796" s="116"/>
      <c r="I1796" s="116"/>
      <c r="L1796" s="170">
        <v>44649</v>
      </c>
      <c r="M1796" s="116">
        <v>302.45</v>
      </c>
      <c r="N1796" s="116">
        <v>303.25</v>
      </c>
      <c r="O1796" s="116">
        <v>293.05</v>
      </c>
      <c r="P1796" s="116">
        <v>293.05</v>
      </c>
      <c r="Q1796" s="116">
        <v>302.45</v>
      </c>
      <c r="R1796">
        <v>8193664</v>
      </c>
    </row>
    <row r="1797" spans="1:18" x14ac:dyDescent="0.25">
      <c r="A1797" s="170">
        <v>44650</v>
      </c>
      <c r="B1797" s="116">
        <v>304.75</v>
      </c>
      <c r="C1797" s="116">
        <v>302.85000000000002</v>
      </c>
      <c r="D1797" s="116">
        <v>297.55</v>
      </c>
      <c r="E1797" s="116">
        <v>302</v>
      </c>
      <c r="F1797" s="116">
        <v>302.85000000000002</v>
      </c>
      <c r="G1797">
        <v>269576</v>
      </c>
      <c r="H1797" s="116"/>
      <c r="I1797" s="116"/>
      <c r="L1797" s="170">
        <v>44650</v>
      </c>
      <c r="M1797" s="116">
        <v>303.05</v>
      </c>
      <c r="N1797" s="116">
        <v>304.8</v>
      </c>
      <c r="O1797" s="116">
        <v>298.8</v>
      </c>
      <c r="P1797" s="116">
        <v>300.8</v>
      </c>
      <c r="Q1797" s="116">
        <v>303.05</v>
      </c>
      <c r="R1797">
        <v>6489029</v>
      </c>
    </row>
    <row r="1798" spans="1:18" x14ac:dyDescent="0.25">
      <c r="A1798" s="170">
        <v>44651</v>
      </c>
      <c r="B1798" s="116">
        <v>303.64999999999998</v>
      </c>
      <c r="C1798" s="116">
        <v>299.2</v>
      </c>
      <c r="D1798" s="116">
        <v>298.7</v>
      </c>
      <c r="E1798" s="116">
        <v>303</v>
      </c>
      <c r="F1798" s="116">
        <v>299.2</v>
      </c>
      <c r="G1798">
        <v>107260</v>
      </c>
      <c r="H1798" s="116"/>
      <c r="I1798" s="116"/>
      <c r="L1798" s="170">
        <v>44651</v>
      </c>
      <c r="M1798" s="116">
        <v>299.25</v>
      </c>
      <c r="N1798" s="116">
        <v>303.7</v>
      </c>
      <c r="O1798" s="116">
        <v>298.75</v>
      </c>
      <c r="P1798" s="116">
        <v>303.05</v>
      </c>
      <c r="Q1798" s="116">
        <v>299.25</v>
      </c>
      <c r="R1798">
        <v>4950492</v>
      </c>
    </row>
    <row r="1799" spans="1:18" x14ac:dyDescent="0.25">
      <c r="A1799" s="170">
        <v>44652</v>
      </c>
      <c r="B1799" s="116">
        <v>306.5</v>
      </c>
      <c r="C1799" s="116">
        <v>305.14999999999998</v>
      </c>
      <c r="D1799" s="116">
        <v>298.55</v>
      </c>
      <c r="E1799" s="116">
        <v>301</v>
      </c>
      <c r="F1799" s="116">
        <v>305.14999999999998</v>
      </c>
      <c r="G1799">
        <v>88238</v>
      </c>
      <c r="H1799" s="116"/>
      <c r="I1799" s="116"/>
      <c r="L1799" s="170">
        <v>44652</v>
      </c>
      <c r="M1799" s="116">
        <v>304.95</v>
      </c>
      <c r="N1799" s="116">
        <v>306.5</v>
      </c>
      <c r="O1799" s="116">
        <v>298.5</v>
      </c>
      <c r="P1799" s="116">
        <v>298.89999999999998</v>
      </c>
      <c r="Q1799" s="116">
        <v>304.95</v>
      </c>
      <c r="R1799">
        <v>3456879</v>
      </c>
    </row>
    <row r="1800" spans="1:18" x14ac:dyDescent="0.25">
      <c r="A1800" s="170">
        <v>44655</v>
      </c>
      <c r="B1800" s="116">
        <v>313.5</v>
      </c>
      <c r="C1800" s="116">
        <v>311.39999999999998</v>
      </c>
      <c r="D1800" s="116">
        <v>303</v>
      </c>
      <c r="E1800" s="116">
        <v>306.45</v>
      </c>
      <c r="F1800" s="116">
        <v>311.39999999999998</v>
      </c>
      <c r="G1800">
        <v>388912</v>
      </c>
      <c r="H1800" s="116"/>
      <c r="I1800" s="116"/>
      <c r="L1800" s="170">
        <v>44655</v>
      </c>
      <c r="M1800" s="116">
        <v>311.64999999999998</v>
      </c>
      <c r="N1800" s="116">
        <v>313.5</v>
      </c>
      <c r="O1800" s="116">
        <v>305.10000000000002</v>
      </c>
      <c r="P1800" s="116">
        <v>305.5</v>
      </c>
      <c r="Q1800" s="116">
        <v>311.64999999999998</v>
      </c>
      <c r="R1800">
        <v>3638554</v>
      </c>
    </row>
    <row r="1801" spans="1:18" x14ac:dyDescent="0.25">
      <c r="A1801" s="170">
        <v>44656</v>
      </c>
      <c r="B1801" s="116">
        <v>317.7</v>
      </c>
      <c r="C1801" s="116">
        <v>316.75</v>
      </c>
      <c r="D1801" s="116">
        <v>310.35000000000002</v>
      </c>
      <c r="E1801" s="116">
        <v>313</v>
      </c>
      <c r="F1801" s="116">
        <v>316.75</v>
      </c>
      <c r="G1801">
        <v>134216</v>
      </c>
      <c r="H1801" s="116"/>
      <c r="I1801" s="116"/>
      <c r="L1801" s="170">
        <v>44656</v>
      </c>
      <c r="M1801" s="116">
        <v>316.8</v>
      </c>
      <c r="N1801" s="116">
        <v>317.7</v>
      </c>
      <c r="O1801" s="116">
        <v>310.35000000000002</v>
      </c>
      <c r="P1801" s="116">
        <v>314.45</v>
      </c>
      <c r="Q1801" s="116">
        <v>316.8</v>
      </c>
      <c r="R1801">
        <v>5323145</v>
      </c>
    </row>
    <row r="1802" spans="1:18" x14ac:dyDescent="0.25">
      <c r="A1802" s="170">
        <v>44657</v>
      </c>
      <c r="B1802" s="116">
        <v>325</v>
      </c>
      <c r="C1802" s="116">
        <v>320.55</v>
      </c>
      <c r="D1802" s="116">
        <v>315.89999999999998</v>
      </c>
      <c r="E1802" s="116">
        <v>316.8</v>
      </c>
      <c r="F1802" s="116">
        <v>320.55</v>
      </c>
      <c r="G1802">
        <v>174497</v>
      </c>
      <c r="H1802" s="116"/>
      <c r="I1802" s="116"/>
      <c r="L1802" s="170">
        <v>44657</v>
      </c>
      <c r="M1802" s="116">
        <v>320.7</v>
      </c>
      <c r="N1802" s="116">
        <v>325</v>
      </c>
      <c r="O1802" s="116">
        <v>315.45</v>
      </c>
      <c r="P1802" s="116">
        <v>316.8</v>
      </c>
      <c r="Q1802" s="116">
        <v>320.7</v>
      </c>
      <c r="R1802">
        <v>7255760</v>
      </c>
    </row>
    <row r="1803" spans="1:18" x14ac:dyDescent="0.25">
      <c r="A1803" s="170">
        <v>44658</v>
      </c>
      <c r="B1803" s="116">
        <v>327.35000000000002</v>
      </c>
      <c r="C1803" s="116">
        <v>325.5</v>
      </c>
      <c r="D1803" s="116">
        <v>319</v>
      </c>
      <c r="E1803" s="116">
        <v>319</v>
      </c>
      <c r="F1803" s="116">
        <v>325.5</v>
      </c>
      <c r="G1803">
        <v>126740</v>
      </c>
      <c r="H1803" s="116"/>
      <c r="I1803" s="116"/>
      <c r="L1803" s="170">
        <v>44658</v>
      </c>
      <c r="M1803" s="116">
        <v>325.60000000000002</v>
      </c>
      <c r="N1803" s="116">
        <v>327.39999999999998</v>
      </c>
      <c r="O1803" s="116">
        <v>320.05</v>
      </c>
      <c r="P1803" s="116">
        <v>320.2</v>
      </c>
      <c r="Q1803" s="116">
        <v>325.60000000000002</v>
      </c>
      <c r="R1803">
        <v>5192205</v>
      </c>
    </row>
    <row r="1804" spans="1:18" x14ac:dyDescent="0.25">
      <c r="A1804" s="170">
        <v>44659</v>
      </c>
      <c r="B1804" s="116">
        <v>339.75</v>
      </c>
      <c r="C1804" s="116">
        <v>337.35</v>
      </c>
      <c r="D1804" s="116">
        <v>323.35000000000002</v>
      </c>
      <c r="E1804" s="116">
        <v>328.45</v>
      </c>
      <c r="F1804" s="116">
        <v>337.35</v>
      </c>
      <c r="G1804">
        <v>249949</v>
      </c>
      <c r="H1804" s="116"/>
      <c r="I1804" s="116"/>
      <c r="L1804" s="170">
        <v>44659</v>
      </c>
      <c r="M1804" s="116">
        <v>337.35</v>
      </c>
      <c r="N1804" s="116">
        <v>339.8</v>
      </c>
      <c r="O1804" s="116">
        <v>323.45</v>
      </c>
      <c r="P1804" s="116">
        <v>327.25</v>
      </c>
      <c r="Q1804" s="116">
        <v>337.35</v>
      </c>
      <c r="R1804">
        <v>8276853</v>
      </c>
    </row>
    <row r="1805" spans="1:18" x14ac:dyDescent="0.25">
      <c r="A1805" s="170">
        <v>44662</v>
      </c>
      <c r="B1805" s="116">
        <v>369.65</v>
      </c>
      <c r="C1805" s="116">
        <v>360.3</v>
      </c>
      <c r="D1805" s="116">
        <v>338.5</v>
      </c>
      <c r="E1805" s="116">
        <v>338.9</v>
      </c>
      <c r="F1805" s="116">
        <v>360.3</v>
      </c>
      <c r="G1805">
        <v>1529449</v>
      </c>
      <c r="H1805" s="116"/>
      <c r="I1805" s="116"/>
      <c r="L1805" s="170">
        <v>44662</v>
      </c>
      <c r="M1805" s="116">
        <v>360.2</v>
      </c>
      <c r="N1805" s="116">
        <v>369.5</v>
      </c>
      <c r="O1805" s="116">
        <v>338.3</v>
      </c>
      <c r="P1805" s="116">
        <v>338.45</v>
      </c>
      <c r="Q1805" s="116">
        <v>360.2</v>
      </c>
      <c r="R1805">
        <v>30662312</v>
      </c>
    </row>
    <row r="1806" spans="1:18" x14ac:dyDescent="0.25">
      <c r="A1806" s="170">
        <v>44663</v>
      </c>
      <c r="B1806" s="116">
        <v>371.5</v>
      </c>
      <c r="C1806" s="116">
        <v>359.9</v>
      </c>
      <c r="D1806" s="116">
        <v>355.55</v>
      </c>
      <c r="E1806" s="116">
        <v>362.2</v>
      </c>
      <c r="F1806" s="116">
        <v>359.9</v>
      </c>
      <c r="G1806">
        <v>1030952</v>
      </c>
      <c r="H1806" s="116"/>
      <c r="I1806" s="116"/>
      <c r="L1806" s="170">
        <v>44663</v>
      </c>
      <c r="M1806" s="116">
        <v>359.65</v>
      </c>
      <c r="N1806" s="116">
        <v>371.6</v>
      </c>
      <c r="O1806" s="116">
        <v>355.75</v>
      </c>
      <c r="P1806" s="116">
        <v>364</v>
      </c>
      <c r="Q1806" s="116">
        <v>359.65</v>
      </c>
      <c r="R1806">
        <v>19884358</v>
      </c>
    </row>
    <row r="1807" spans="1:18" x14ac:dyDescent="0.25">
      <c r="A1807" s="170">
        <v>44664</v>
      </c>
      <c r="B1807" s="116">
        <v>374</v>
      </c>
      <c r="C1807" s="116">
        <v>369.4</v>
      </c>
      <c r="D1807" s="116">
        <v>358.1</v>
      </c>
      <c r="E1807" s="116">
        <v>358.1</v>
      </c>
      <c r="F1807" s="116">
        <v>369.4</v>
      </c>
      <c r="G1807">
        <v>906243</v>
      </c>
      <c r="H1807" s="116"/>
      <c r="I1807" s="116"/>
      <c r="L1807" s="170">
        <v>44664</v>
      </c>
      <c r="M1807" s="116">
        <v>369.2</v>
      </c>
      <c r="N1807" s="116">
        <v>374.2</v>
      </c>
      <c r="O1807" s="116">
        <v>359</v>
      </c>
      <c r="P1807" s="116">
        <v>359.95</v>
      </c>
      <c r="Q1807" s="116">
        <v>369.2</v>
      </c>
      <c r="R1807">
        <v>17817591</v>
      </c>
    </row>
    <row r="1808" spans="1:18" x14ac:dyDescent="0.25">
      <c r="A1808" s="170">
        <v>44669</v>
      </c>
      <c r="B1808" s="116">
        <v>379.6</v>
      </c>
      <c r="C1808" s="116">
        <v>363.15</v>
      </c>
      <c r="D1808" s="116">
        <v>360.45</v>
      </c>
      <c r="E1808" s="116">
        <v>366.1</v>
      </c>
      <c r="F1808" s="116">
        <v>363.15</v>
      </c>
      <c r="G1808">
        <v>744048</v>
      </c>
      <c r="H1808" s="116"/>
      <c r="I1808" s="116"/>
      <c r="L1808" s="170">
        <v>44669</v>
      </c>
      <c r="M1808" s="116">
        <v>363.4</v>
      </c>
      <c r="N1808" s="116">
        <v>379.65</v>
      </c>
      <c r="O1808" s="116">
        <v>360.5</v>
      </c>
      <c r="P1808" s="116">
        <v>369</v>
      </c>
      <c r="Q1808" s="116">
        <v>363.4</v>
      </c>
      <c r="R1808">
        <v>10936057</v>
      </c>
    </row>
    <row r="1809" spans="1:18" x14ac:dyDescent="0.25">
      <c r="A1809" s="170">
        <v>44670</v>
      </c>
      <c r="B1809" s="116">
        <v>370</v>
      </c>
      <c r="C1809" s="116">
        <v>352.7</v>
      </c>
      <c r="D1809" s="116">
        <v>349.15</v>
      </c>
      <c r="E1809" s="116">
        <v>368</v>
      </c>
      <c r="F1809" s="116">
        <v>352.7</v>
      </c>
      <c r="G1809">
        <v>343546</v>
      </c>
      <c r="H1809" s="116"/>
      <c r="I1809" s="116"/>
      <c r="L1809" s="170">
        <v>44670</v>
      </c>
      <c r="M1809" s="116">
        <v>354.25</v>
      </c>
      <c r="N1809" s="116">
        <v>370</v>
      </c>
      <c r="O1809" s="116">
        <v>351</v>
      </c>
      <c r="P1809" s="116">
        <v>366.75</v>
      </c>
      <c r="Q1809" s="116">
        <v>354.25</v>
      </c>
      <c r="R1809">
        <v>9971239</v>
      </c>
    </row>
    <row r="1810" spans="1:18" x14ac:dyDescent="0.25">
      <c r="A1810" s="170">
        <v>44671</v>
      </c>
      <c r="B1810" s="116">
        <v>375.5</v>
      </c>
      <c r="C1810" s="116">
        <v>372.25</v>
      </c>
      <c r="D1810" s="116">
        <v>353</v>
      </c>
      <c r="E1810" s="116">
        <v>353</v>
      </c>
      <c r="F1810" s="116">
        <v>372.25</v>
      </c>
      <c r="G1810">
        <v>494984</v>
      </c>
      <c r="H1810" s="116"/>
      <c r="I1810" s="116"/>
      <c r="L1810" s="170">
        <v>44671</v>
      </c>
      <c r="M1810" s="116">
        <v>371.3</v>
      </c>
      <c r="N1810" s="116">
        <v>375.8</v>
      </c>
      <c r="O1810" s="116">
        <v>355</v>
      </c>
      <c r="P1810" s="116">
        <v>355</v>
      </c>
      <c r="Q1810" s="116">
        <v>371.3</v>
      </c>
      <c r="R1810">
        <v>13525255</v>
      </c>
    </row>
    <row r="1811" spans="1:18" x14ac:dyDescent="0.25">
      <c r="A1811" s="170">
        <v>44672</v>
      </c>
      <c r="B1811" s="116">
        <v>384.2</v>
      </c>
      <c r="C1811" s="116">
        <v>376.9</v>
      </c>
      <c r="D1811" s="116">
        <v>374.85</v>
      </c>
      <c r="E1811" s="116">
        <v>379.8</v>
      </c>
      <c r="F1811" s="116">
        <v>376.9</v>
      </c>
      <c r="G1811">
        <v>666653</v>
      </c>
      <c r="H1811" s="116"/>
      <c r="I1811" s="116"/>
      <c r="L1811" s="170">
        <v>44672</v>
      </c>
      <c r="M1811" s="116">
        <v>377.35</v>
      </c>
      <c r="N1811" s="116">
        <v>384.35</v>
      </c>
      <c r="O1811" s="116">
        <v>374.8</v>
      </c>
      <c r="P1811" s="116">
        <v>378.9</v>
      </c>
      <c r="Q1811" s="116">
        <v>377.35</v>
      </c>
      <c r="R1811">
        <v>14385266</v>
      </c>
    </row>
    <row r="1812" spans="1:18" x14ac:dyDescent="0.25">
      <c r="A1812" s="170">
        <v>44673</v>
      </c>
      <c r="B1812" s="116">
        <v>381.05</v>
      </c>
      <c r="C1812" s="116">
        <v>374.3</v>
      </c>
      <c r="D1812" s="116">
        <v>371.5</v>
      </c>
      <c r="E1812" s="116">
        <v>376.1</v>
      </c>
      <c r="F1812" s="116">
        <v>374.3</v>
      </c>
      <c r="G1812">
        <v>211062</v>
      </c>
      <c r="H1812" s="116"/>
      <c r="I1812" s="116"/>
      <c r="L1812" s="170">
        <v>44673</v>
      </c>
      <c r="M1812" s="116">
        <v>374.2</v>
      </c>
      <c r="N1812" s="116">
        <v>381</v>
      </c>
      <c r="O1812" s="116">
        <v>371.05</v>
      </c>
      <c r="P1812" s="116">
        <v>378</v>
      </c>
      <c r="Q1812" s="116">
        <v>374.2</v>
      </c>
      <c r="R1812">
        <v>5946333</v>
      </c>
    </row>
    <row r="1813" spans="1:18" x14ac:dyDescent="0.25">
      <c r="A1813" s="170">
        <v>44676</v>
      </c>
      <c r="B1813" s="116">
        <v>387.45</v>
      </c>
      <c r="C1813" s="116">
        <v>376.6</v>
      </c>
      <c r="D1813" s="116">
        <v>370.05</v>
      </c>
      <c r="E1813" s="116">
        <v>373</v>
      </c>
      <c r="F1813" s="116">
        <v>376.6</v>
      </c>
      <c r="G1813">
        <v>692134</v>
      </c>
      <c r="H1813" s="116"/>
      <c r="I1813" s="116"/>
      <c r="L1813" s="170">
        <v>44676</v>
      </c>
      <c r="M1813" s="116">
        <v>376.35</v>
      </c>
      <c r="N1813" s="116">
        <v>387.6</v>
      </c>
      <c r="O1813" s="116">
        <v>370</v>
      </c>
      <c r="P1813" s="116">
        <v>371.8</v>
      </c>
      <c r="Q1813" s="116">
        <v>376.35</v>
      </c>
      <c r="R1813">
        <v>12835090</v>
      </c>
    </row>
    <row r="1814" spans="1:18" x14ac:dyDescent="0.25">
      <c r="A1814" s="170">
        <v>44677</v>
      </c>
      <c r="B1814" s="116">
        <v>390.9</v>
      </c>
      <c r="C1814" s="116">
        <v>385.15</v>
      </c>
      <c r="D1814" s="116">
        <v>381.3</v>
      </c>
      <c r="E1814" s="116">
        <v>383.6</v>
      </c>
      <c r="F1814" s="116">
        <v>385.15</v>
      </c>
      <c r="G1814">
        <v>459296</v>
      </c>
      <c r="H1814" s="116"/>
      <c r="I1814" s="116"/>
      <c r="L1814" s="170">
        <v>44677</v>
      </c>
      <c r="M1814" s="116">
        <v>385.15</v>
      </c>
      <c r="N1814" s="116">
        <v>391</v>
      </c>
      <c r="O1814" s="116">
        <v>381.3</v>
      </c>
      <c r="P1814" s="116">
        <v>382</v>
      </c>
      <c r="Q1814" s="116">
        <v>385.15</v>
      </c>
      <c r="R1814">
        <v>11192640</v>
      </c>
    </row>
    <row r="1815" spans="1:18" x14ac:dyDescent="0.25">
      <c r="A1815" s="170">
        <v>44678</v>
      </c>
      <c r="B1815" s="116">
        <v>387.55</v>
      </c>
      <c r="C1815" s="116">
        <v>384.75</v>
      </c>
      <c r="D1815" s="116">
        <v>376.3</v>
      </c>
      <c r="E1815" s="116">
        <v>386</v>
      </c>
      <c r="F1815" s="116">
        <v>384.75</v>
      </c>
      <c r="G1815">
        <v>304879</v>
      </c>
      <c r="H1815" s="116"/>
      <c r="I1815" s="116"/>
      <c r="L1815" s="170">
        <v>44678</v>
      </c>
      <c r="M1815" s="116">
        <v>384.55</v>
      </c>
      <c r="N1815" s="116">
        <v>387.7</v>
      </c>
      <c r="O1815" s="116">
        <v>376.25</v>
      </c>
      <c r="P1815" s="116">
        <v>385</v>
      </c>
      <c r="Q1815" s="116">
        <v>384.55</v>
      </c>
      <c r="R1815">
        <v>11121579</v>
      </c>
    </row>
    <row r="1816" spans="1:18" x14ac:dyDescent="0.25">
      <c r="A1816" s="170">
        <v>44679</v>
      </c>
      <c r="B1816" s="116">
        <v>389.3</v>
      </c>
      <c r="C1816" s="116">
        <v>383.55</v>
      </c>
      <c r="D1816" s="116">
        <v>380.6</v>
      </c>
      <c r="E1816" s="116">
        <v>389.2</v>
      </c>
      <c r="F1816" s="116">
        <v>383.55</v>
      </c>
      <c r="G1816">
        <v>260115</v>
      </c>
      <c r="H1816" s="116"/>
      <c r="I1816" s="116"/>
      <c r="L1816" s="170">
        <v>44679</v>
      </c>
      <c r="M1816" s="116">
        <v>383.35</v>
      </c>
      <c r="N1816" s="116">
        <v>389.9</v>
      </c>
      <c r="O1816" s="116">
        <v>380.45</v>
      </c>
      <c r="P1816" s="116">
        <v>389.9</v>
      </c>
      <c r="Q1816" s="116">
        <v>383.35</v>
      </c>
      <c r="R1816">
        <v>7163762</v>
      </c>
    </row>
    <row r="1817" spans="1:18" x14ac:dyDescent="0.25">
      <c r="A1817" s="170">
        <v>44680</v>
      </c>
      <c r="B1817" s="116">
        <v>385.6</v>
      </c>
      <c r="C1817" s="116">
        <v>371.85</v>
      </c>
      <c r="D1817" s="116">
        <v>370.55</v>
      </c>
      <c r="E1817" s="116">
        <v>384.15</v>
      </c>
      <c r="F1817" s="116">
        <v>371.85</v>
      </c>
      <c r="G1817">
        <v>348944</v>
      </c>
      <c r="H1817" s="116"/>
      <c r="I1817" s="116"/>
      <c r="L1817" s="170">
        <v>44680</v>
      </c>
      <c r="M1817" s="116">
        <v>372.2</v>
      </c>
      <c r="N1817" s="116">
        <v>385.5</v>
      </c>
      <c r="O1817" s="116">
        <v>370.75</v>
      </c>
      <c r="P1817" s="116">
        <v>384.7</v>
      </c>
      <c r="Q1817" s="116">
        <v>372.2</v>
      </c>
      <c r="R1817">
        <v>10529413</v>
      </c>
    </row>
    <row r="1818" spans="1:18" x14ac:dyDescent="0.25">
      <c r="A1818" s="170">
        <v>44683</v>
      </c>
      <c r="B1818" s="116">
        <v>380.4</v>
      </c>
      <c r="C1818" s="116">
        <v>378.25</v>
      </c>
      <c r="D1818" s="116">
        <v>369</v>
      </c>
      <c r="E1818" s="116">
        <v>371.85</v>
      </c>
      <c r="F1818" s="116">
        <v>378.25</v>
      </c>
      <c r="G1818">
        <v>290142</v>
      </c>
      <c r="H1818" s="116"/>
      <c r="I1818" s="116"/>
      <c r="L1818" s="170">
        <v>44683</v>
      </c>
      <c r="M1818" s="116">
        <v>378.15</v>
      </c>
      <c r="N1818" s="116">
        <v>380.5</v>
      </c>
      <c r="O1818" s="116">
        <v>368.75</v>
      </c>
      <c r="P1818" s="116">
        <v>371.6</v>
      </c>
      <c r="Q1818" s="116">
        <v>378.15</v>
      </c>
      <c r="R1818">
        <v>5959678</v>
      </c>
    </row>
    <row r="1819" spans="1:18" x14ac:dyDescent="0.25">
      <c r="A1819" s="170">
        <v>44685</v>
      </c>
      <c r="B1819" s="116">
        <v>382.65</v>
      </c>
      <c r="C1819" s="116">
        <v>367.9</v>
      </c>
      <c r="D1819" s="116">
        <v>364.65</v>
      </c>
      <c r="E1819" s="116">
        <v>378.25</v>
      </c>
      <c r="F1819" s="116">
        <v>367.9</v>
      </c>
      <c r="G1819">
        <v>1128354</v>
      </c>
      <c r="H1819" s="116"/>
      <c r="I1819" s="116"/>
      <c r="L1819" s="170">
        <v>44685</v>
      </c>
      <c r="M1819" s="116">
        <v>368.1</v>
      </c>
      <c r="N1819" s="116">
        <v>382</v>
      </c>
      <c r="O1819" s="116">
        <v>364.65</v>
      </c>
      <c r="P1819" s="116">
        <v>379.55</v>
      </c>
      <c r="Q1819" s="116">
        <v>368.1</v>
      </c>
      <c r="R1819">
        <v>5415006</v>
      </c>
    </row>
    <row r="1820" spans="1:18" x14ac:dyDescent="0.25">
      <c r="A1820" s="170">
        <v>44686</v>
      </c>
      <c r="B1820" s="116">
        <v>375.2</v>
      </c>
      <c r="C1820" s="116">
        <v>366.4</v>
      </c>
      <c r="D1820" s="116">
        <v>365.4</v>
      </c>
      <c r="E1820" s="116">
        <v>369.1</v>
      </c>
      <c r="F1820" s="116">
        <v>366.4</v>
      </c>
      <c r="G1820">
        <v>134138</v>
      </c>
      <c r="H1820" s="116"/>
      <c r="I1820" s="116"/>
      <c r="L1820" s="170">
        <v>44686</v>
      </c>
      <c r="M1820" s="116">
        <v>366.35</v>
      </c>
      <c r="N1820" s="116">
        <v>375.35</v>
      </c>
      <c r="O1820" s="116">
        <v>364.95</v>
      </c>
      <c r="P1820" s="116">
        <v>371</v>
      </c>
      <c r="Q1820" s="116">
        <v>366.35</v>
      </c>
      <c r="R1820">
        <v>5794511</v>
      </c>
    </row>
    <row r="1821" spans="1:18" x14ac:dyDescent="0.25">
      <c r="A1821" s="170">
        <v>44687</v>
      </c>
      <c r="B1821" s="116">
        <v>372.35</v>
      </c>
      <c r="C1821" s="116">
        <v>365.2</v>
      </c>
      <c r="D1821" s="116">
        <v>357.05</v>
      </c>
      <c r="E1821" s="116">
        <v>357.05</v>
      </c>
      <c r="F1821" s="116">
        <v>365.2</v>
      </c>
      <c r="G1821">
        <v>352133</v>
      </c>
      <c r="H1821" s="116"/>
      <c r="I1821" s="116"/>
      <c r="L1821" s="170">
        <v>44687</v>
      </c>
      <c r="M1821" s="116">
        <v>365.4</v>
      </c>
      <c r="N1821" s="116">
        <v>372.35</v>
      </c>
      <c r="O1821" s="116">
        <v>360.55</v>
      </c>
      <c r="P1821" s="116">
        <v>360.55</v>
      </c>
      <c r="Q1821" s="116">
        <v>365.4</v>
      </c>
      <c r="R1821">
        <v>5868878</v>
      </c>
    </row>
    <row r="1822" spans="1:18" x14ac:dyDescent="0.25">
      <c r="A1822" s="170">
        <v>44690</v>
      </c>
      <c r="B1822" s="116">
        <v>368.65</v>
      </c>
      <c r="C1822" s="116">
        <v>366.35</v>
      </c>
      <c r="D1822" s="116">
        <v>359.65</v>
      </c>
      <c r="E1822" s="116">
        <v>365</v>
      </c>
      <c r="F1822" s="116">
        <v>366.35</v>
      </c>
      <c r="G1822">
        <v>112480</v>
      </c>
      <c r="H1822" s="116"/>
      <c r="I1822" s="116"/>
      <c r="L1822" s="170">
        <v>44690</v>
      </c>
      <c r="M1822" s="116">
        <v>366.75</v>
      </c>
      <c r="N1822" s="116">
        <v>369</v>
      </c>
      <c r="O1822" s="116">
        <v>359.45</v>
      </c>
      <c r="P1822" s="116">
        <v>363.35</v>
      </c>
      <c r="Q1822" s="116">
        <v>366.75</v>
      </c>
      <c r="R1822">
        <v>3690073</v>
      </c>
    </row>
    <row r="1823" spans="1:18" x14ac:dyDescent="0.25">
      <c r="A1823" s="170">
        <v>44691</v>
      </c>
      <c r="B1823" s="116">
        <v>373.8</v>
      </c>
      <c r="C1823" s="116">
        <v>358.25</v>
      </c>
      <c r="D1823" s="116">
        <v>355.5</v>
      </c>
      <c r="E1823" s="116">
        <v>368.45</v>
      </c>
      <c r="F1823" s="116">
        <v>358.25</v>
      </c>
      <c r="G1823">
        <v>140716</v>
      </c>
      <c r="H1823" s="116"/>
      <c r="I1823" s="116"/>
      <c r="L1823" s="170">
        <v>44691</v>
      </c>
      <c r="M1823" s="116">
        <v>358.2</v>
      </c>
      <c r="N1823" s="116">
        <v>373.9</v>
      </c>
      <c r="O1823" s="116">
        <v>355</v>
      </c>
      <c r="P1823" s="116">
        <v>368.55</v>
      </c>
      <c r="Q1823" s="116">
        <v>358.2</v>
      </c>
      <c r="R1823">
        <v>6322735</v>
      </c>
    </row>
    <row r="1824" spans="1:18" x14ac:dyDescent="0.25">
      <c r="A1824" s="170">
        <v>44692</v>
      </c>
      <c r="B1824" s="116">
        <v>365.6</v>
      </c>
      <c r="C1824" s="116">
        <v>359.05</v>
      </c>
      <c r="D1824" s="116">
        <v>351.15</v>
      </c>
      <c r="E1824" s="116">
        <v>360</v>
      </c>
      <c r="F1824" s="116">
        <v>359.05</v>
      </c>
      <c r="G1824">
        <v>234883</v>
      </c>
      <c r="H1824" s="116"/>
      <c r="I1824" s="116"/>
      <c r="L1824" s="170">
        <v>44692</v>
      </c>
      <c r="M1824" s="116">
        <v>359.05</v>
      </c>
      <c r="N1824" s="116">
        <v>365.8</v>
      </c>
      <c r="O1824" s="116">
        <v>351.2</v>
      </c>
      <c r="P1824" s="116">
        <v>360</v>
      </c>
      <c r="Q1824" s="116">
        <v>359.05</v>
      </c>
      <c r="R1824">
        <v>5728451</v>
      </c>
    </row>
    <row r="1825" spans="1:18" x14ac:dyDescent="0.25">
      <c r="A1825" s="170">
        <v>44693</v>
      </c>
      <c r="B1825" s="116">
        <v>381.9</v>
      </c>
      <c r="C1825" s="116">
        <v>372.95</v>
      </c>
      <c r="D1825" s="116">
        <v>349.35</v>
      </c>
      <c r="E1825" s="116">
        <v>359.9</v>
      </c>
      <c r="F1825" s="116">
        <v>372.95</v>
      </c>
      <c r="G1825">
        <v>307972</v>
      </c>
      <c r="H1825" s="116"/>
      <c r="I1825" s="116"/>
      <c r="L1825" s="170">
        <v>44693</v>
      </c>
      <c r="M1825" s="116">
        <v>373.55</v>
      </c>
      <c r="N1825" s="116">
        <v>382</v>
      </c>
      <c r="O1825" s="116">
        <v>349.3</v>
      </c>
      <c r="P1825" s="116">
        <v>356.85</v>
      </c>
      <c r="Q1825" s="116">
        <v>373.55</v>
      </c>
      <c r="R1825">
        <v>7493279</v>
      </c>
    </row>
    <row r="1826" spans="1:18" x14ac:dyDescent="0.25">
      <c r="A1826" s="170">
        <v>44694</v>
      </c>
      <c r="B1826" s="116">
        <v>378.5</v>
      </c>
      <c r="C1826" s="116">
        <v>358.8</v>
      </c>
      <c r="D1826" s="116">
        <v>356.25</v>
      </c>
      <c r="E1826" s="116">
        <v>378.5</v>
      </c>
      <c r="F1826" s="116">
        <v>358.8</v>
      </c>
      <c r="G1826">
        <v>297561</v>
      </c>
      <c r="H1826" s="116"/>
      <c r="I1826" s="116"/>
      <c r="L1826" s="170">
        <v>44694</v>
      </c>
      <c r="M1826" s="116">
        <v>359.1</v>
      </c>
      <c r="N1826" s="116">
        <v>378.55</v>
      </c>
      <c r="O1826" s="116">
        <v>356.1</v>
      </c>
      <c r="P1826" s="116">
        <v>378</v>
      </c>
      <c r="Q1826" s="116">
        <v>359.1</v>
      </c>
      <c r="R1826">
        <v>10195371</v>
      </c>
    </row>
    <row r="1827" spans="1:18" x14ac:dyDescent="0.25">
      <c r="A1827" s="170">
        <v>44697</v>
      </c>
      <c r="B1827" s="116">
        <v>377.5</v>
      </c>
      <c r="C1827" s="116">
        <v>368.1</v>
      </c>
      <c r="D1827" s="116">
        <v>360</v>
      </c>
      <c r="E1827" s="116">
        <v>370</v>
      </c>
      <c r="F1827" s="116">
        <v>368.1</v>
      </c>
      <c r="G1827">
        <v>1046968</v>
      </c>
      <c r="H1827" s="116"/>
      <c r="I1827" s="116"/>
      <c r="L1827" s="170">
        <v>44697</v>
      </c>
      <c r="M1827" s="116">
        <v>368</v>
      </c>
      <c r="N1827" s="116">
        <v>377.7</v>
      </c>
      <c r="O1827" s="116">
        <v>360.35</v>
      </c>
      <c r="P1827" s="116">
        <v>367</v>
      </c>
      <c r="Q1827" s="116">
        <v>368</v>
      </c>
      <c r="R1827">
        <v>50459752</v>
      </c>
    </row>
    <row r="1828" spans="1:18" x14ac:dyDescent="0.25">
      <c r="A1828" s="170">
        <v>44698</v>
      </c>
      <c r="B1828" s="116">
        <v>372</v>
      </c>
      <c r="C1828" s="116">
        <v>368.65</v>
      </c>
      <c r="D1828" s="116">
        <v>364</v>
      </c>
      <c r="E1828" s="116">
        <v>368.7</v>
      </c>
      <c r="F1828" s="116">
        <v>368.65</v>
      </c>
      <c r="G1828">
        <v>368248</v>
      </c>
      <c r="H1828" s="116"/>
      <c r="I1828" s="116"/>
      <c r="L1828" s="170">
        <v>44698</v>
      </c>
      <c r="M1828" s="116">
        <v>368.8</v>
      </c>
      <c r="N1828" s="116">
        <v>372.15</v>
      </c>
      <c r="O1828" s="116">
        <v>364</v>
      </c>
      <c r="P1828" s="116">
        <v>371</v>
      </c>
      <c r="Q1828" s="116">
        <v>368.8</v>
      </c>
      <c r="R1828">
        <v>9431128</v>
      </c>
    </row>
    <row r="1829" spans="1:18" x14ac:dyDescent="0.25">
      <c r="A1829" s="170">
        <v>44699</v>
      </c>
      <c r="B1829" s="116">
        <v>373.85</v>
      </c>
      <c r="C1829" s="116">
        <v>360.95</v>
      </c>
      <c r="D1829" s="116">
        <v>359.9</v>
      </c>
      <c r="E1829" s="116">
        <v>373.85</v>
      </c>
      <c r="F1829" s="116">
        <v>360.95</v>
      </c>
      <c r="G1829">
        <v>223133</v>
      </c>
      <c r="H1829" s="116"/>
      <c r="I1829" s="116"/>
      <c r="L1829" s="170">
        <v>44699</v>
      </c>
      <c r="M1829" s="116">
        <v>361.1</v>
      </c>
      <c r="N1829" s="116">
        <v>372.6</v>
      </c>
      <c r="O1829" s="116">
        <v>359.7</v>
      </c>
      <c r="P1829" s="116">
        <v>369.25</v>
      </c>
      <c r="Q1829" s="116">
        <v>361.1</v>
      </c>
      <c r="R1829">
        <v>11887905</v>
      </c>
    </row>
    <row r="1830" spans="1:18" x14ac:dyDescent="0.25">
      <c r="A1830" s="170">
        <v>44700</v>
      </c>
      <c r="B1830" s="116">
        <v>365.15</v>
      </c>
      <c r="C1830" s="116">
        <v>364.2</v>
      </c>
      <c r="D1830" s="116">
        <v>356.05</v>
      </c>
      <c r="E1830" s="116">
        <v>356.05</v>
      </c>
      <c r="F1830" s="116">
        <v>364.2</v>
      </c>
      <c r="G1830">
        <v>224726</v>
      </c>
      <c r="H1830" s="116"/>
      <c r="I1830" s="116"/>
      <c r="L1830" s="170">
        <v>44700</v>
      </c>
      <c r="M1830" s="116">
        <v>364</v>
      </c>
      <c r="N1830" s="116">
        <v>364.95</v>
      </c>
      <c r="O1830" s="116">
        <v>357.25</v>
      </c>
      <c r="P1830" s="116">
        <v>358.15</v>
      </c>
      <c r="Q1830" s="116">
        <v>364</v>
      </c>
      <c r="R1830">
        <v>9179791</v>
      </c>
    </row>
    <row r="1831" spans="1:18" x14ac:dyDescent="0.25">
      <c r="A1831" s="170">
        <v>44701</v>
      </c>
      <c r="B1831" s="116">
        <v>369.2</v>
      </c>
      <c r="C1831" s="116">
        <v>362.85</v>
      </c>
      <c r="D1831" s="116">
        <v>362</v>
      </c>
      <c r="E1831" s="116">
        <v>369.2</v>
      </c>
      <c r="F1831" s="116">
        <v>362.85</v>
      </c>
      <c r="G1831">
        <v>216508</v>
      </c>
      <c r="H1831" s="116"/>
      <c r="I1831" s="116"/>
      <c r="L1831" s="170">
        <v>44701</v>
      </c>
      <c r="M1831" s="116">
        <v>363</v>
      </c>
      <c r="N1831" s="116">
        <v>368</v>
      </c>
      <c r="O1831" s="116">
        <v>362.05</v>
      </c>
      <c r="P1831" s="116">
        <v>368</v>
      </c>
      <c r="Q1831" s="116">
        <v>363</v>
      </c>
      <c r="R1831">
        <v>4308673</v>
      </c>
    </row>
    <row r="1832" spans="1:18" x14ac:dyDescent="0.25">
      <c r="A1832" s="170">
        <v>44704</v>
      </c>
      <c r="B1832" s="116">
        <v>367.05</v>
      </c>
      <c r="C1832" s="116">
        <v>363.25</v>
      </c>
      <c r="D1832" s="116">
        <v>362.3</v>
      </c>
      <c r="E1832" s="116">
        <v>366.9</v>
      </c>
      <c r="F1832" s="116">
        <v>363.25</v>
      </c>
      <c r="G1832">
        <v>192445</v>
      </c>
      <c r="H1832" s="116"/>
      <c r="I1832" s="116"/>
      <c r="L1832" s="170">
        <v>44704</v>
      </c>
      <c r="M1832" s="116">
        <v>363.45</v>
      </c>
      <c r="N1832" s="116">
        <v>367.3</v>
      </c>
      <c r="O1832" s="116">
        <v>362.4</v>
      </c>
      <c r="P1832" s="116">
        <v>365.65</v>
      </c>
      <c r="Q1832" s="116">
        <v>363.45</v>
      </c>
      <c r="R1832">
        <v>3889679</v>
      </c>
    </row>
    <row r="1833" spans="1:18" x14ac:dyDescent="0.25">
      <c r="A1833" s="170">
        <v>44705</v>
      </c>
      <c r="B1833" s="116">
        <v>365.6</v>
      </c>
      <c r="C1833" s="116">
        <v>361.35</v>
      </c>
      <c r="D1833" s="116">
        <v>360.5</v>
      </c>
      <c r="E1833" s="116">
        <v>364.05</v>
      </c>
      <c r="F1833" s="116">
        <v>361.35</v>
      </c>
      <c r="G1833">
        <v>138561</v>
      </c>
      <c r="H1833" s="116"/>
      <c r="I1833" s="116"/>
      <c r="L1833" s="170">
        <v>44705</v>
      </c>
      <c r="M1833" s="116">
        <v>361.45</v>
      </c>
      <c r="N1833" s="116">
        <v>365.7</v>
      </c>
      <c r="O1833" s="116">
        <v>360.45</v>
      </c>
      <c r="P1833" s="116">
        <v>364.8</v>
      </c>
      <c r="Q1833" s="116">
        <v>361.45</v>
      </c>
      <c r="R1833">
        <v>4200025</v>
      </c>
    </row>
    <row r="1834" spans="1:18" x14ac:dyDescent="0.25">
      <c r="A1834" s="170">
        <v>44706</v>
      </c>
      <c r="B1834" s="116">
        <v>365.2</v>
      </c>
      <c r="C1834" s="116">
        <v>361.5</v>
      </c>
      <c r="D1834" s="116">
        <v>360.35</v>
      </c>
      <c r="E1834" s="116">
        <v>365.2</v>
      </c>
      <c r="F1834" s="116">
        <v>361.5</v>
      </c>
      <c r="G1834">
        <v>115324</v>
      </c>
      <c r="H1834" s="116"/>
      <c r="I1834" s="116"/>
      <c r="L1834" s="170">
        <v>44706</v>
      </c>
      <c r="M1834" s="116">
        <v>361.7</v>
      </c>
      <c r="N1834" s="116">
        <v>364.25</v>
      </c>
      <c r="O1834" s="116">
        <v>360.65</v>
      </c>
      <c r="P1834" s="116">
        <v>362.4</v>
      </c>
      <c r="Q1834" s="116">
        <v>361.7</v>
      </c>
      <c r="R1834">
        <v>2440985</v>
      </c>
    </row>
    <row r="1835" spans="1:18" x14ac:dyDescent="0.25">
      <c r="A1835" s="170">
        <v>44707</v>
      </c>
      <c r="B1835" s="116">
        <v>366.4</v>
      </c>
      <c r="C1835" s="116">
        <v>365.15</v>
      </c>
      <c r="D1835" s="116">
        <v>359.7</v>
      </c>
      <c r="E1835" s="116">
        <v>362</v>
      </c>
      <c r="F1835" s="116">
        <v>365.15</v>
      </c>
      <c r="G1835">
        <v>96323</v>
      </c>
      <c r="H1835" s="116"/>
      <c r="I1835" s="116"/>
      <c r="L1835" s="170">
        <v>44707</v>
      </c>
      <c r="M1835" s="116">
        <v>365.4</v>
      </c>
      <c r="N1835" s="116">
        <v>366.3</v>
      </c>
      <c r="O1835" s="116">
        <v>359.7</v>
      </c>
      <c r="P1835" s="116">
        <v>362.15</v>
      </c>
      <c r="Q1835" s="116">
        <v>365.4</v>
      </c>
      <c r="R1835">
        <v>3900318</v>
      </c>
    </row>
    <row r="1836" spans="1:18" x14ac:dyDescent="0.25">
      <c r="A1836" s="170">
        <v>44708</v>
      </c>
      <c r="B1836" s="116">
        <v>367.25</v>
      </c>
      <c r="C1836" s="116">
        <v>366.5</v>
      </c>
      <c r="D1836" s="116">
        <v>363.85</v>
      </c>
      <c r="E1836" s="116">
        <v>365.25</v>
      </c>
      <c r="F1836" s="116">
        <v>366.5</v>
      </c>
      <c r="G1836">
        <v>72697</v>
      </c>
      <c r="H1836" s="116"/>
      <c r="I1836" s="116"/>
      <c r="L1836" s="170">
        <v>44708</v>
      </c>
      <c r="M1836" s="116">
        <v>366.3</v>
      </c>
      <c r="N1836" s="116">
        <v>368.15</v>
      </c>
      <c r="O1836" s="116">
        <v>363.75</v>
      </c>
      <c r="P1836" s="116">
        <v>368</v>
      </c>
      <c r="Q1836" s="116">
        <v>366.3</v>
      </c>
      <c r="R1836">
        <v>1603075</v>
      </c>
    </row>
    <row r="1837" spans="1:18" x14ac:dyDescent="0.25">
      <c r="A1837" s="170">
        <v>44711</v>
      </c>
      <c r="B1837" s="116">
        <v>372.35</v>
      </c>
      <c r="C1837" s="116">
        <v>371.35</v>
      </c>
      <c r="D1837" s="116">
        <v>366.8</v>
      </c>
      <c r="E1837" s="116">
        <v>367.25</v>
      </c>
      <c r="F1837" s="116">
        <v>371.35</v>
      </c>
      <c r="G1837">
        <v>188379</v>
      </c>
      <c r="H1837" s="116"/>
      <c r="I1837" s="116"/>
      <c r="L1837" s="170">
        <v>44711</v>
      </c>
      <c r="M1837" s="116">
        <v>371.55</v>
      </c>
      <c r="N1837" s="116">
        <v>372.5</v>
      </c>
      <c r="O1837" s="116">
        <v>366.75</v>
      </c>
      <c r="P1837" s="116">
        <v>368.5</v>
      </c>
      <c r="Q1837" s="116">
        <v>371.55</v>
      </c>
      <c r="R1837">
        <v>5001959</v>
      </c>
    </row>
    <row r="1838" spans="1:18" x14ac:dyDescent="0.25">
      <c r="A1838" s="170">
        <v>44712</v>
      </c>
      <c r="B1838" s="116">
        <v>374.4</v>
      </c>
      <c r="C1838" s="116">
        <v>369.5</v>
      </c>
      <c r="D1838" s="116">
        <v>368</v>
      </c>
      <c r="E1838" s="116">
        <v>374.4</v>
      </c>
      <c r="F1838" s="116">
        <v>369.5</v>
      </c>
      <c r="G1838">
        <v>78304</v>
      </c>
      <c r="H1838" s="116"/>
      <c r="I1838" s="116"/>
      <c r="L1838" s="170">
        <v>44712</v>
      </c>
      <c r="M1838" s="116">
        <v>369.4</v>
      </c>
      <c r="N1838" s="116">
        <v>372.8</v>
      </c>
      <c r="O1838" s="116">
        <v>368.65</v>
      </c>
      <c r="P1838" s="116">
        <v>371.55</v>
      </c>
      <c r="Q1838" s="116">
        <v>369.4</v>
      </c>
      <c r="R1838">
        <v>11507115</v>
      </c>
    </row>
    <row r="1839" spans="1:18" x14ac:dyDescent="0.25">
      <c r="A1839" s="170">
        <v>44713</v>
      </c>
      <c r="B1839" s="116">
        <v>373</v>
      </c>
      <c r="C1839" s="116">
        <v>371.7</v>
      </c>
      <c r="D1839" s="116">
        <v>368</v>
      </c>
      <c r="E1839" s="116">
        <v>368</v>
      </c>
      <c r="F1839" s="116">
        <v>371.7</v>
      </c>
      <c r="G1839">
        <v>89740</v>
      </c>
      <c r="H1839" s="116"/>
      <c r="I1839" s="116"/>
      <c r="L1839" s="170">
        <v>44713</v>
      </c>
      <c r="M1839" s="116">
        <v>371.65</v>
      </c>
      <c r="N1839" s="116">
        <v>373</v>
      </c>
      <c r="O1839" s="116">
        <v>369.15</v>
      </c>
      <c r="P1839" s="116">
        <v>370</v>
      </c>
      <c r="Q1839" s="116">
        <v>371.65</v>
      </c>
      <c r="R1839">
        <v>2369910</v>
      </c>
    </row>
    <row r="1840" spans="1:18" x14ac:dyDescent="0.25">
      <c r="A1840" s="170">
        <v>44714</v>
      </c>
      <c r="B1840" s="116">
        <v>376.2</v>
      </c>
      <c r="C1840" s="116">
        <v>373.35</v>
      </c>
      <c r="D1840" s="116">
        <v>370.9</v>
      </c>
      <c r="E1840" s="116">
        <v>371.7</v>
      </c>
      <c r="F1840" s="116">
        <v>373.35</v>
      </c>
      <c r="G1840">
        <v>229169</v>
      </c>
      <c r="H1840" s="116"/>
      <c r="I1840" s="116"/>
      <c r="L1840" s="170">
        <v>44714</v>
      </c>
      <c r="M1840" s="116">
        <v>373.5</v>
      </c>
      <c r="N1840" s="116">
        <v>376.35</v>
      </c>
      <c r="O1840" s="116">
        <v>370.95</v>
      </c>
      <c r="P1840" s="116">
        <v>371.4</v>
      </c>
      <c r="Q1840" s="116">
        <v>373.5</v>
      </c>
      <c r="R1840">
        <v>5215564</v>
      </c>
    </row>
    <row r="1841" spans="1:18" x14ac:dyDescent="0.25">
      <c r="A1841" s="170">
        <v>44715</v>
      </c>
      <c r="B1841" s="116">
        <v>375.9</v>
      </c>
      <c r="C1841" s="116">
        <v>366.85</v>
      </c>
      <c r="D1841" s="116">
        <v>365.6</v>
      </c>
      <c r="E1841" s="116">
        <v>373</v>
      </c>
      <c r="F1841" s="116">
        <v>366.85</v>
      </c>
      <c r="G1841">
        <v>116800</v>
      </c>
      <c r="H1841" s="116"/>
      <c r="I1841" s="116"/>
      <c r="L1841" s="170">
        <v>44715</v>
      </c>
      <c r="M1841" s="116">
        <v>366.9</v>
      </c>
      <c r="N1841" s="116">
        <v>375.35</v>
      </c>
      <c r="O1841" s="116">
        <v>365.35</v>
      </c>
      <c r="P1841" s="116">
        <v>375</v>
      </c>
      <c r="Q1841" s="116">
        <v>366.9</v>
      </c>
      <c r="R1841">
        <v>8010976</v>
      </c>
    </row>
    <row r="1842" spans="1:18" x14ac:dyDescent="0.25">
      <c r="A1842" s="170">
        <v>44718</v>
      </c>
      <c r="B1842" s="116">
        <v>369.35</v>
      </c>
      <c r="C1842" s="116">
        <v>364.95</v>
      </c>
      <c r="D1842" s="116">
        <v>363.85</v>
      </c>
      <c r="E1842" s="116">
        <v>367.3</v>
      </c>
      <c r="F1842" s="116">
        <v>364.95</v>
      </c>
      <c r="G1842">
        <v>57288</v>
      </c>
      <c r="H1842" s="116"/>
      <c r="I1842" s="116"/>
      <c r="L1842" s="170">
        <v>44718</v>
      </c>
      <c r="M1842" s="116">
        <v>364.9</v>
      </c>
      <c r="N1842" s="116">
        <v>369.5</v>
      </c>
      <c r="O1842" s="116">
        <v>363.85</v>
      </c>
      <c r="P1842" s="116">
        <v>366</v>
      </c>
      <c r="Q1842" s="116">
        <v>364.9</v>
      </c>
      <c r="R1842">
        <v>10390245</v>
      </c>
    </row>
    <row r="1843" spans="1:18" x14ac:dyDescent="0.25">
      <c r="A1843" s="170">
        <v>44719</v>
      </c>
      <c r="B1843" s="116">
        <v>367.3</v>
      </c>
      <c r="C1843" s="116">
        <v>363.3</v>
      </c>
      <c r="D1843" s="116">
        <v>361.8</v>
      </c>
      <c r="E1843" s="116">
        <v>362.25</v>
      </c>
      <c r="F1843" s="116">
        <v>363.3</v>
      </c>
      <c r="G1843">
        <v>113479</v>
      </c>
      <c r="H1843" s="116"/>
      <c r="I1843" s="116"/>
      <c r="L1843" s="170">
        <v>44719</v>
      </c>
      <c r="M1843" s="116">
        <v>363.35</v>
      </c>
      <c r="N1843" s="116">
        <v>367.5</v>
      </c>
      <c r="O1843" s="116">
        <v>361.7</v>
      </c>
      <c r="P1843" s="116">
        <v>363.6</v>
      </c>
      <c r="Q1843" s="116">
        <v>363.35</v>
      </c>
      <c r="R1843">
        <v>5708056</v>
      </c>
    </row>
    <row r="1844" spans="1:18" x14ac:dyDescent="0.25">
      <c r="A1844" s="170">
        <v>44720</v>
      </c>
      <c r="B1844" s="116">
        <v>364.8</v>
      </c>
      <c r="C1844" s="116">
        <v>362.95</v>
      </c>
      <c r="D1844" s="116">
        <v>361.8</v>
      </c>
      <c r="E1844" s="116">
        <v>364.8</v>
      </c>
      <c r="F1844" s="116">
        <v>362.95</v>
      </c>
      <c r="G1844">
        <v>38442</v>
      </c>
      <c r="H1844" s="116"/>
      <c r="I1844" s="116"/>
      <c r="L1844" s="170">
        <v>44720</v>
      </c>
      <c r="M1844" s="116">
        <v>363.05</v>
      </c>
      <c r="N1844" s="116">
        <v>364.55</v>
      </c>
      <c r="O1844" s="116">
        <v>361.8</v>
      </c>
      <c r="P1844" s="116">
        <v>363.4</v>
      </c>
      <c r="Q1844" s="116">
        <v>363.05</v>
      </c>
      <c r="R1844">
        <v>5020929</v>
      </c>
    </row>
    <row r="1845" spans="1:18" x14ac:dyDescent="0.25">
      <c r="A1845" s="170">
        <v>44721</v>
      </c>
      <c r="B1845" s="116">
        <v>368.35</v>
      </c>
      <c r="C1845" s="116">
        <v>365.35</v>
      </c>
      <c r="D1845" s="116">
        <v>362</v>
      </c>
      <c r="E1845" s="116">
        <v>362</v>
      </c>
      <c r="F1845" s="116">
        <v>365.35</v>
      </c>
      <c r="G1845">
        <v>33326</v>
      </c>
      <c r="H1845" s="116"/>
      <c r="I1845" s="116"/>
      <c r="L1845" s="170">
        <v>44721</v>
      </c>
      <c r="M1845" s="116">
        <v>365.3</v>
      </c>
      <c r="N1845" s="116">
        <v>368.5</v>
      </c>
      <c r="O1845" s="116">
        <v>362.5</v>
      </c>
      <c r="P1845" s="116">
        <v>363</v>
      </c>
      <c r="Q1845" s="116">
        <v>365.3</v>
      </c>
      <c r="R1845">
        <v>5238450</v>
      </c>
    </row>
    <row r="1846" spans="1:18" x14ac:dyDescent="0.25">
      <c r="A1846" s="170">
        <v>44722</v>
      </c>
      <c r="B1846" s="116">
        <v>366.65</v>
      </c>
      <c r="C1846" s="116">
        <v>365.1</v>
      </c>
      <c r="D1846" s="116">
        <v>362.25</v>
      </c>
      <c r="E1846" s="116">
        <v>362.25</v>
      </c>
      <c r="F1846" s="116">
        <v>365.1</v>
      </c>
      <c r="G1846">
        <v>66166</v>
      </c>
      <c r="H1846" s="116"/>
      <c r="I1846" s="116"/>
      <c r="L1846" s="170">
        <v>44722</v>
      </c>
      <c r="M1846" s="116">
        <v>365.15</v>
      </c>
      <c r="N1846" s="116">
        <v>366.6</v>
      </c>
      <c r="O1846" s="116">
        <v>363.25</v>
      </c>
      <c r="P1846" s="116">
        <v>363.25</v>
      </c>
      <c r="Q1846" s="116">
        <v>365.15</v>
      </c>
      <c r="R1846">
        <v>3916129</v>
      </c>
    </row>
    <row r="1847" spans="1:18" x14ac:dyDescent="0.25">
      <c r="A1847" s="170">
        <v>44725</v>
      </c>
      <c r="B1847" s="116">
        <v>364.65</v>
      </c>
      <c r="C1847" s="116">
        <v>363.1</v>
      </c>
      <c r="D1847" s="116">
        <v>362</v>
      </c>
      <c r="E1847" s="116">
        <v>364</v>
      </c>
      <c r="F1847" s="116">
        <v>363.1</v>
      </c>
      <c r="G1847">
        <v>51466</v>
      </c>
      <c r="H1847" s="116"/>
      <c r="I1847" s="116"/>
      <c r="L1847" s="170">
        <v>44725</v>
      </c>
      <c r="M1847" s="116">
        <v>362.7</v>
      </c>
      <c r="N1847" s="116">
        <v>364.95</v>
      </c>
      <c r="O1847" s="116">
        <v>361.9</v>
      </c>
      <c r="P1847" s="116">
        <v>363.05</v>
      </c>
      <c r="Q1847" s="116">
        <v>362.7</v>
      </c>
      <c r="R1847">
        <v>4509163</v>
      </c>
    </row>
    <row r="1848" spans="1:18" x14ac:dyDescent="0.25">
      <c r="A1848" s="170">
        <v>44726</v>
      </c>
      <c r="B1848" s="116">
        <v>363.1</v>
      </c>
      <c r="C1848" s="116">
        <v>359.55</v>
      </c>
      <c r="D1848" s="116">
        <v>358.15</v>
      </c>
      <c r="E1848" s="116">
        <v>361.2</v>
      </c>
      <c r="F1848" s="116">
        <v>359.55</v>
      </c>
      <c r="G1848">
        <v>168187</v>
      </c>
      <c r="H1848" s="116"/>
      <c r="I1848" s="116"/>
      <c r="L1848" s="170">
        <v>44726</v>
      </c>
      <c r="M1848" s="116">
        <v>359.55</v>
      </c>
      <c r="N1848" s="116">
        <v>363.3</v>
      </c>
      <c r="O1848" s="116">
        <v>358</v>
      </c>
      <c r="P1848" s="116">
        <v>362.1</v>
      </c>
      <c r="Q1848" s="116">
        <v>359.55</v>
      </c>
      <c r="R1848">
        <v>6976071</v>
      </c>
    </row>
    <row r="1849" spans="1:18" x14ac:dyDescent="0.25">
      <c r="A1849" s="170">
        <v>44727</v>
      </c>
      <c r="B1849" s="116">
        <v>362.5</v>
      </c>
      <c r="C1849" s="116">
        <v>361.9</v>
      </c>
      <c r="D1849" s="116">
        <v>357.65</v>
      </c>
      <c r="E1849" s="116">
        <v>357.65</v>
      </c>
      <c r="F1849" s="116">
        <v>361.9</v>
      </c>
      <c r="G1849">
        <v>92384</v>
      </c>
      <c r="H1849" s="116"/>
      <c r="I1849" s="116"/>
      <c r="L1849" s="170">
        <v>44727</v>
      </c>
      <c r="M1849" s="116">
        <v>361.95</v>
      </c>
      <c r="N1849" s="116">
        <v>362.45</v>
      </c>
      <c r="O1849" s="116">
        <v>359</v>
      </c>
      <c r="P1849" s="116">
        <v>359.9</v>
      </c>
      <c r="Q1849" s="116">
        <v>361.95</v>
      </c>
      <c r="R1849">
        <v>4077501</v>
      </c>
    </row>
    <row r="1850" spans="1:18" x14ac:dyDescent="0.25">
      <c r="A1850" s="170">
        <v>44728</v>
      </c>
      <c r="B1850" s="116">
        <v>363</v>
      </c>
      <c r="C1850" s="116">
        <v>359.3</v>
      </c>
      <c r="D1850" s="116">
        <v>358.75</v>
      </c>
      <c r="E1850" s="116">
        <v>362.5</v>
      </c>
      <c r="F1850" s="116">
        <v>359.3</v>
      </c>
      <c r="G1850">
        <v>275554</v>
      </c>
      <c r="H1850" s="116"/>
      <c r="I1850" s="116"/>
      <c r="L1850" s="170">
        <v>44728</v>
      </c>
      <c r="M1850" s="116">
        <v>359.4</v>
      </c>
      <c r="N1850" s="116">
        <v>364.15</v>
      </c>
      <c r="O1850" s="116">
        <v>358.65</v>
      </c>
      <c r="P1850" s="116">
        <v>363.85</v>
      </c>
      <c r="Q1850" s="116">
        <v>359.4</v>
      </c>
      <c r="R1850">
        <v>2940387</v>
      </c>
    </row>
    <row r="1851" spans="1:18" x14ac:dyDescent="0.25">
      <c r="A1851" s="170">
        <v>44729</v>
      </c>
      <c r="B1851" s="116">
        <v>361.1</v>
      </c>
      <c r="C1851" s="116">
        <v>357.55</v>
      </c>
      <c r="D1851" s="116">
        <v>356.8</v>
      </c>
      <c r="E1851" s="116">
        <v>359.3</v>
      </c>
      <c r="F1851" s="116">
        <v>357.55</v>
      </c>
      <c r="G1851">
        <v>83280</v>
      </c>
      <c r="H1851" s="116"/>
      <c r="I1851" s="116"/>
      <c r="L1851" s="170">
        <v>44729</v>
      </c>
      <c r="M1851" s="116">
        <v>357.35</v>
      </c>
      <c r="N1851" s="116">
        <v>361.05</v>
      </c>
      <c r="O1851" s="116">
        <v>356.65</v>
      </c>
      <c r="P1851" s="116">
        <v>359</v>
      </c>
      <c r="Q1851" s="116">
        <v>357.35</v>
      </c>
      <c r="R1851">
        <v>4012167</v>
      </c>
    </row>
    <row r="1852" spans="1:18" x14ac:dyDescent="0.25">
      <c r="A1852" s="170">
        <v>44732</v>
      </c>
      <c r="B1852" s="116">
        <v>359.9</v>
      </c>
      <c r="C1852" s="116">
        <v>357.25</v>
      </c>
      <c r="D1852" s="116">
        <v>356.1</v>
      </c>
      <c r="E1852" s="116">
        <v>356.4</v>
      </c>
      <c r="F1852" s="116">
        <v>357.25</v>
      </c>
      <c r="G1852">
        <v>92230</v>
      </c>
      <c r="H1852" s="116"/>
      <c r="I1852" s="116"/>
      <c r="L1852" s="170">
        <v>44732</v>
      </c>
      <c r="M1852" s="116">
        <v>357.3</v>
      </c>
      <c r="N1852" s="116">
        <v>359.95</v>
      </c>
      <c r="O1852" s="116">
        <v>356.1</v>
      </c>
      <c r="P1852" s="116">
        <v>357.5</v>
      </c>
      <c r="Q1852" s="116">
        <v>357.3</v>
      </c>
      <c r="R1852">
        <v>2297837</v>
      </c>
    </row>
    <row r="1853" spans="1:18" x14ac:dyDescent="0.25">
      <c r="A1853" s="170">
        <v>44733</v>
      </c>
      <c r="B1853" s="116">
        <v>360.95</v>
      </c>
      <c r="C1853" s="116">
        <v>359.2</v>
      </c>
      <c r="D1853" s="116">
        <v>356.1</v>
      </c>
      <c r="E1853" s="116">
        <v>356.1</v>
      </c>
      <c r="F1853" s="116">
        <v>359.2</v>
      </c>
      <c r="G1853">
        <v>29746</v>
      </c>
      <c r="H1853" s="116"/>
      <c r="I1853" s="116"/>
      <c r="L1853" s="170">
        <v>44733</v>
      </c>
      <c r="M1853" s="116">
        <v>358.9</v>
      </c>
      <c r="N1853" s="116">
        <v>360.95</v>
      </c>
      <c r="O1853" s="116">
        <v>358.1</v>
      </c>
      <c r="P1853" s="116">
        <v>358.1</v>
      </c>
      <c r="Q1853" s="116">
        <v>358.9</v>
      </c>
      <c r="R1853">
        <v>3693727</v>
      </c>
    </row>
    <row r="1854" spans="1:18" x14ac:dyDescent="0.25">
      <c r="A1854" s="170">
        <v>44734</v>
      </c>
      <c r="B1854" s="116">
        <v>360</v>
      </c>
      <c r="C1854" s="116">
        <v>357.95</v>
      </c>
      <c r="D1854" s="116">
        <v>355.75</v>
      </c>
      <c r="E1854" s="116">
        <v>360</v>
      </c>
      <c r="F1854" s="116">
        <v>357.95</v>
      </c>
      <c r="G1854">
        <v>44384</v>
      </c>
      <c r="H1854" s="116"/>
      <c r="I1854" s="116"/>
      <c r="L1854" s="170">
        <v>44734</v>
      </c>
      <c r="M1854" s="116">
        <v>357.95</v>
      </c>
      <c r="N1854" s="116">
        <v>358.9</v>
      </c>
      <c r="O1854" s="116">
        <v>355.5</v>
      </c>
      <c r="P1854" s="116">
        <v>358.9</v>
      </c>
      <c r="Q1854" s="116">
        <v>357.95</v>
      </c>
      <c r="R1854">
        <v>2588905</v>
      </c>
    </row>
    <row r="1855" spans="1:18" x14ac:dyDescent="0.25">
      <c r="A1855" s="170">
        <v>44735</v>
      </c>
      <c r="B1855" s="116">
        <v>361.85</v>
      </c>
      <c r="C1855" s="116">
        <v>359</v>
      </c>
      <c r="D1855" s="116">
        <v>356</v>
      </c>
      <c r="E1855" s="116">
        <v>356</v>
      </c>
      <c r="F1855" s="116">
        <v>359</v>
      </c>
      <c r="G1855">
        <v>58582</v>
      </c>
      <c r="H1855" s="116"/>
      <c r="I1855" s="116"/>
      <c r="L1855" s="170">
        <v>44735</v>
      </c>
      <c r="M1855" s="116">
        <v>358.95</v>
      </c>
      <c r="N1855" s="116">
        <v>362</v>
      </c>
      <c r="O1855" s="116">
        <v>358.05</v>
      </c>
      <c r="P1855" s="116">
        <v>358.4</v>
      </c>
      <c r="Q1855" s="116">
        <v>358.95</v>
      </c>
      <c r="R1855">
        <v>2799410</v>
      </c>
    </row>
    <row r="1856" spans="1:18" x14ac:dyDescent="0.25">
      <c r="A1856" s="170">
        <v>44736</v>
      </c>
      <c r="B1856" s="116">
        <v>361.7</v>
      </c>
      <c r="C1856" s="116">
        <v>360.7</v>
      </c>
      <c r="D1856" s="116">
        <v>359.3</v>
      </c>
      <c r="E1856" s="116">
        <v>361.7</v>
      </c>
      <c r="F1856" s="116">
        <v>360.7</v>
      </c>
      <c r="G1856">
        <v>50566</v>
      </c>
      <c r="H1856" s="116"/>
      <c r="I1856" s="116"/>
      <c r="L1856" s="170">
        <v>44736</v>
      </c>
      <c r="M1856" s="116">
        <v>360.6</v>
      </c>
      <c r="N1856" s="116">
        <v>362</v>
      </c>
      <c r="O1856" s="116">
        <v>359.2</v>
      </c>
      <c r="P1856" s="116">
        <v>362</v>
      </c>
      <c r="Q1856" s="116">
        <v>360.6</v>
      </c>
      <c r="R1856">
        <v>2713333</v>
      </c>
    </row>
    <row r="1857" spans="1:18" x14ac:dyDescent="0.25">
      <c r="A1857" s="170">
        <v>44739</v>
      </c>
      <c r="B1857" s="116">
        <v>365.7</v>
      </c>
      <c r="C1857" s="116">
        <v>365.1</v>
      </c>
      <c r="D1857" s="116">
        <v>360.55</v>
      </c>
      <c r="E1857" s="116">
        <v>360.7</v>
      </c>
      <c r="F1857" s="116">
        <v>365.1</v>
      </c>
      <c r="G1857">
        <v>58710</v>
      </c>
      <c r="H1857" s="116"/>
      <c r="I1857" s="116"/>
      <c r="L1857" s="170">
        <v>44739</v>
      </c>
      <c r="M1857" s="116">
        <v>365.15</v>
      </c>
      <c r="N1857" s="116">
        <v>365.7</v>
      </c>
      <c r="O1857" s="116">
        <v>360.5</v>
      </c>
      <c r="P1857" s="116">
        <v>362.25</v>
      </c>
      <c r="Q1857" s="116">
        <v>365.15</v>
      </c>
      <c r="R1857">
        <v>3073581</v>
      </c>
    </row>
    <row r="1858" spans="1:18" x14ac:dyDescent="0.25">
      <c r="A1858" s="170">
        <v>44740</v>
      </c>
      <c r="B1858" s="116">
        <v>367.35</v>
      </c>
      <c r="C1858" s="116">
        <v>366.4</v>
      </c>
      <c r="D1858" s="116">
        <v>363.45</v>
      </c>
      <c r="E1858" s="116">
        <v>366.7</v>
      </c>
      <c r="F1858" s="116">
        <v>366.4</v>
      </c>
      <c r="G1858">
        <v>34726</v>
      </c>
      <c r="H1858" s="116"/>
      <c r="I1858" s="116"/>
      <c r="L1858" s="170">
        <v>44740</v>
      </c>
      <c r="M1858" s="116">
        <v>366.45</v>
      </c>
      <c r="N1858" s="116">
        <v>367.35</v>
      </c>
      <c r="O1858" s="116">
        <v>363.5</v>
      </c>
      <c r="P1858" s="116">
        <v>365.85</v>
      </c>
      <c r="Q1858" s="116">
        <v>366.45</v>
      </c>
      <c r="R1858">
        <v>4285971</v>
      </c>
    </row>
    <row r="1859" spans="1:18" x14ac:dyDescent="0.25">
      <c r="A1859" s="170">
        <v>44741</v>
      </c>
      <c r="B1859" s="116">
        <v>367.3</v>
      </c>
      <c r="C1859" s="116">
        <v>365.6</v>
      </c>
      <c r="D1859" s="116">
        <v>364.25</v>
      </c>
      <c r="E1859" s="116">
        <v>366</v>
      </c>
      <c r="F1859" s="116">
        <v>365.6</v>
      </c>
      <c r="G1859">
        <v>44383</v>
      </c>
      <c r="H1859" s="116"/>
      <c r="I1859" s="116"/>
      <c r="L1859" s="170">
        <v>44741</v>
      </c>
      <c r="M1859" s="116">
        <v>365.5</v>
      </c>
      <c r="N1859" s="116">
        <v>367.5</v>
      </c>
      <c r="O1859" s="116">
        <v>364.1</v>
      </c>
      <c r="P1859" s="116">
        <v>364.95</v>
      </c>
      <c r="Q1859" s="116">
        <v>365.5</v>
      </c>
      <c r="R1859">
        <v>4586257</v>
      </c>
    </row>
    <row r="1860" spans="1:18" x14ac:dyDescent="0.25">
      <c r="A1860" s="170">
        <v>44742</v>
      </c>
      <c r="B1860" s="116">
        <v>367</v>
      </c>
      <c r="C1860" s="116">
        <v>362.95</v>
      </c>
      <c r="D1860" s="116">
        <v>361.95</v>
      </c>
      <c r="E1860" s="116">
        <v>367</v>
      </c>
      <c r="F1860" s="116">
        <v>362.95</v>
      </c>
      <c r="G1860">
        <v>47228</v>
      </c>
      <c r="H1860" s="116"/>
      <c r="I1860" s="116"/>
      <c r="L1860" s="170">
        <v>44742</v>
      </c>
      <c r="M1860" s="116">
        <v>363</v>
      </c>
      <c r="N1860" s="116">
        <v>365.95</v>
      </c>
      <c r="O1860" s="116">
        <v>362.1</v>
      </c>
      <c r="P1860" s="116">
        <v>365.55</v>
      </c>
      <c r="Q1860" s="116">
        <v>363</v>
      </c>
      <c r="R1860">
        <v>4383329</v>
      </c>
    </row>
    <row r="1861" spans="1:18" x14ac:dyDescent="0.25">
      <c r="A1861" s="170">
        <v>44743</v>
      </c>
      <c r="B1861" s="116">
        <v>368.7</v>
      </c>
      <c r="C1861" s="116">
        <v>367.5</v>
      </c>
      <c r="D1861" s="116">
        <v>362.05</v>
      </c>
      <c r="E1861" s="116">
        <v>365</v>
      </c>
      <c r="F1861" s="116">
        <v>367.5</v>
      </c>
      <c r="G1861">
        <v>83432</v>
      </c>
      <c r="H1861" s="116"/>
      <c r="I1861" s="116"/>
      <c r="L1861" s="170">
        <v>44743</v>
      </c>
      <c r="M1861" s="116">
        <v>367.55</v>
      </c>
      <c r="N1861" s="116">
        <v>368.6</v>
      </c>
      <c r="O1861" s="116">
        <v>362.1</v>
      </c>
      <c r="P1861" s="116">
        <v>363.95</v>
      </c>
      <c r="Q1861" s="116">
        <v>367.55</v>
      </c>
      <c r="R1861">
        <v>2763265</v>
      </c>
    </row>
    <row r="1862" spans="1:18" x14ac:dyDescent="0.25">
      <c r="A1862" s="170">
        <v>44746</v>
      </c>
      <c r="B1862" s="116">
        <v>369.85</v>
      </c>
      <c r="C1862" s="116">
        <v>368.6</v>
      </c>
      <c r="D1862" s="116">
        <v>366.3</v>
      </c>
      <c r="E1862" s="116">
        <v>368</v>
      </c>
      <c r="F1862" s="116">
        <v>368.6</v>
      </c>
      <c r="G1862">
        <v>57602</v>
      </c>
      <c r="H1862" s="116"/>
      <c r="I1862" s="116"/>
      <c r="L1862" s="170">
        <v>44746</v>
      </c>
      <c r="M1862" s="116">
        <v>368.55</v>
      </c>
      <c r="N1862" s="116">
        <v>369.9</v>
      </c>
      <c r="O1862" s="116">
        <v>366.05</v>
      </c>
      <c r="P1862" s="116">
        <v>366.95</v>
      </c>
      <c r="Q1862" s="116">
        <v>368.55</v>
      </c>
      <c r="R1862">
        <v>2275112</v>
      </c>
    </row>
    <row r="1863" spans="1:18" x14ac:dyDescent="0.25">
      <c r="A1863" s="170">
        <v>44747</v>
      </c>
      <c r="B1863" s="116">
        <v>371.1</v>
      </c>
      <c r="C1863" s="116">
        <v>366.7</v>
      </c>
      <c r="D1863" s="116">
        <v>365.5</v>
      </c>
      <c r="E1863" s="116">
        <v>366</v>
      </c>
      <c r="F1863" s="116">
        <v>366.7</v>
      </c>
      <c r="G1863">
        <v>97897</v>
      </c>
      <c r="H1863" s="116"/>
      <c r="I1863" s="116"/>
      <c r="L1863" s="170">
        <v>44747</v>
      </c>
      <c r="M1863" s="116">
        <v>366.65</v>
      </c>
      <c r="N1863" s="116">
        <v>371.25</v>
      </c>
      <c r="O1863" s="116">
        <v>365.6</v>
      </c>
      <c r="P1863" s="116">
        <v>368.95</v>
      </c>
      <c r="Q1863" s="116">
        <v>366.65</v>
      </c>
      <c r="R1863">
        <v>3120800</v>
      </c>
    </row>
    <row r="1864" spans="1:18" x14ac:dyDescent="0.25">
      <c r="A1864" s="170">
        <v>44748</v>
      </c>
      <c r="B1864" s="116">
        <v>370.35</v>
      </c>
      <c r="C1864" s="116">
        <v>368.1</v>
      </c>
      <c r="D1864" s="116">
        <v>366.7</v>
      </c>
      <c r="E1864" s="116">
        <v>366.7</v>
      </c>
      <c r="F1864" s="116">
        <v>368.1</v>
      </c>
      <c r="G1864">
        <v>73937</v>
      </c>
      <c r="H1864" s="116"/>
      <c r="I1864" s="116"/>
      <c r="L1864" s="170">
        <v>44748</v>
      </c>
      <c r="M1864" s="116">
        <v>368.25</v>
      </c>
      <c r="N1864" s="116">
        <v>370.35</v>
      </c>
      <c r="O1864" s="116">
        <v>366.95</v>
      </c>
      <c r="P1864" s="116">
        <v>367</v>
      </c>
      <c r="Q1864" s="116">
        <v>368.25</v>
      </c>
      <c r="R1864">
        <v>2209031</v>
      </c>
    </row>
    <row r="1865" spans="1:18" x14ac:dyDescent="0.25">
      <c r="A1865" s="170">
        <v>44749</v>
      </c>
      <c r="B1865" s="116">
        <v>371.5</v>
      </c>
      <c r="C1865" s="116">
        <v>367.05</v>
      </c>
      <c r="D1865" s="116">
        <v>366.05</v>
      </c>
      <c r="E1865" s="116">
        <v>371.5</v>
      </c>
      <c r="F1865" s="116">
        <v>367.05</v>
      </c>
      <c r="G1865">
        <v>15598</v>
      </c>
      <c r="H1865" s="116"/>
      <c r="I1865" s="116"/>
      <c r="L1865" s="170">
        <v>44749</v>
      </c>
      <c r="M1865" s="116">
        <v>366.95</v>
      </c>
      <c r="N1865" s="116">
        <v>369.9</v>
      </c>
      <c r="O1865" s="116">
        <v>366.1</v>
      </c>
      <c r="P1865" s="116">
        <v>369.9</v>
      </c>
      <c r="Q1865" s="116">
        <v>366.95</v>
      </c>
      <c r="R1865">
        <v>2378264</v>
      </c>
    </row>
    <row r="1866" spans="1:18" x14ac:dyDescent="0.25">
      <c r="A1866" s="170">
        <v>44750</v>
      </c>
      <c r="B1866" s="116">
        <v>369.15</v>
      </c>
      <c r="C1866" s="116">
        <v>368.5</v>
      </c>
      <c r="D1866" s="116">
        <v>366</v>
      </c>
      <c r="E1866" s="116">
        <v>368</v>
      </c>
      <c r="F1866" s="116">
        <v>368.5</v>
      </c>
      <c r="G1866">
        <v>41280</v>
      </c>
      <c r="H1866" s="116"/>
      <c r="I1866" s="116"/>
      <c r="L1866" s="170">
        <v>44750</v>
      </c>
      <c r="M1866" s="116">
        <v>368.45</v>
      </c>
      <c r="N1866" s="116">
        <v>369.05</v>
      </c>
      <c r="O1866" s="116">
        <v>366</v>
      </c>
      <c r="P1866" s="116">
        <v>367</v>
      </c>
      <c r="Q1866" s="116">
        <v>368.45</v>
      </c>
      <c r="R1866">
        <v>2126285</v>
      </c>
    </row>
    <row r="1867" spans="1:18" x14ac:dyDescent="0.25">
      <c r="A1867" s="170">
        <v>44753</v>
      </c>
      <c r="B1867" s="116">
        <v>370</v>
      </c>
      <c r="C1867" s="116">
        <v>369.25</v>
      </c>
      <c r="D1867" s="116">
        <v>366.95</v>
      </c>
      <c r="E1867" s="116">
        <v>368.5</v>
      </c>
      <c r="F1867" s="116">
        <v>369.25</v>
      </c>
      <c r="G1867">
        <v>70146</v>
      </c>
      <c r="H1867" s="116"/>
      <c r="I1867" s="116"/>
      <c r="L1867" s="170">
        <v>44753</v>
      </c>
      <c r="M1867" s="116">
        <v>369.2</v>
      </c>
      <c r="N1867" s="116">
        <v>369.95</v>
      </c>
      <c r="O1867" s="116">
        <v>366.85</v>
      </c>
      <c r="P1867" s="116">
        <v>367.1</v>
      </c>
      <c r="Q1867" s="116">
        <v>369.2</v>
      </c>
      <c r="R1867">
        <v>3135297</v>
      </c>
    </row>
    <row r="1868" spans="1:18" x14ac:dyDescent="0.25">
      <c r="A1868" s="170">
        <v>44754</v>
      </c>
      <c r="B1868" s="116">
        <v>372.8</v>
      </c>
      <c r="C1868" s="116">
        <v>370.65</v>
      </c>
      <c r="D1868" s="116">
        <v>367.75</v>
      </c>
      <c r="E1868" s="116">
        <v>369.95</v>
      </c>
      <c r="F1868" s="116">
        <v>370.65</v>
      </c>
      <c r="G1868">
        <v>99779</v>
      </c>
      <c r="H1868" s="116"/>
      <c r="I1868" s="116"/>
      <c r="L1868" s="170">
        <v>44754</v>
      </c>
      <c r="M1868" s="116">
        <v>370.9</v>
      </c>
      <c r="N1868" s="116">
        <v>372.85</v>
      </c>
      <c r="O1868" s="116">
        <v>367.75</v>
      </c>
      <c r="P1868" s="116">
        <v>368.8</v>
      </c>
      <c r="Q1868" s="116">
        <v>370.9</v>
      </c>
      <c r="R1868">
        <v>2870836</v>
      </c>
    </row>
    <row r="1869" spans="1:18" x14ac:dyDescent="0.25">
      <c r="A1869" s="170">
        <v>44755</v>
      </c>
      <c r="B1869" s="116">
        <v>374.05</v>
      </c>
      <c r="C1869" s="116">
        <v>371.5</v>
      </c>
      <c r="D1869" s="116">
        <v>370.3</v>
      </c>
      <c r="E1869" s="116">
        <v>371.2</v>
      </c>
      <c r="F1869" s="116">
        <v>371.5</v>
      </c>
      <c r="G1869">
        <v>38057</v>
      </c>
      <c r="H1869" s="116"/>
      <c r="I1869" s="116"/>
      <c r="L1869" s="170">
        <v>44755</v>
      </c>
      <c r="M1869" s="116">
        <v>371.2</v>
      </c>
      <c r="N1869" s="116">
        <v>373.95</v>
      </c>
      <c r="O1869" s="116">
        <v>370.3</v>
      </c>
      <c r="P1869" s="116">
        <v>372.95</v>
      </c>
      <c r="Q1869" s="116">
        <v>371.2</v>
      </c>
      <c r="R1869">
        <v>2291028</v>
      </c>
    </row>
    <row r="1870" spans="1:18" x14ac:dyDescent="0.25">
      <c r="A1870" s="170">
        <v>44756</v>
      </c>
      <c r="B1870" s="116">
        <v>372.8</v>
      </c>
      <c r="C1870" s="116">
        <v>369.8</v>
      </c>
      <c r="D1870" s="116">
        <v>368.35</v>
      </c>
      <c r="E1870" s="116">
        <v>371.5</v>
      </c>
      <c r="F1870" s="116">
        <v>369.8</v>
      </c>
      <c r="G1870">
        <v>61941</v>
      </c>
      <c r="H1870" s="116"/>
      <c r="I1870" s="116"/>
      <c r="L1870" s="170">
        <v>44756</v>
      </c>
      <c r="M1870" s="116">
        <v>369.9</v>
      </c>
      <c r="N1870" s="116">
        <v>372.8</v>
      </c>
      <c r="O1870" s="116">
        <v>368.5</v>
      </c>
      <c r="P1870" s="116">
        <v>372.8</v>
      </c>
      <c r="Q1870" s="116">
        <v>369.9</v>
      </c>
      <c r="R1870">
        <v>2772420</v>
      </c>
    </row>
    <row r="1871" spans="1:18" x14ac:dyDescent="0.25">
      <c r="A1871" s="170">
        <v>44757</v>
      </c>
      <c r="B1871" s="116">
        <v>371.25</v>
      </c>
      <c r="C1871" s="116">
        <v>369.1</v>
      </c>
      <c r="D1871" s="116">
        <v>368.25</v>
      </c>
      <c r="E1871" s="116">
        <v>368.45</v>
      </c>
      <c r="F1871" s="116">
        <v>369.1</v>
      </c>
      <c r="G1871">
        <v>43696</v>
      </c>
      <c r="H1871" s="116"/>
      <c r="I1871" s="116"/>
      <c r="L1871" s="170">
        <v>44757</v>
      </c>
      <c r="M1871" s="116">
        <v>369.15</v>
      </c>
      <c r="N1871" s="116">
        <v>371.3</v>
      </c>
      <c r="O1871" s="116">
        <v>368</v>
      </c>
      <c r="P1871" s="116">
        <v>368</v>
      </c>
      <c r="Q1871" s="116">
        <v>369.15</v>
      </c>
      <c r="R1871">
        <v>3856534</v>
      </c>
    </row>
    <row r="1872" spans="1:18" x14ac:dyDescent="0.25">
      <c r="A1872" s="170">
        <v>44760</v>
      </c>
      <c r="B1872" s="116">
        <v>373.75</v>
      </c>
      <c r="C1872" s="116">
        <v>370.7</v>
      </c>
      <c r="D1872" s="116">
        <v>369.6</v>
      </c>
      <c r="E1872" s="116">
        <v>373.75</v>
      </c>
      <c r="F1872" s="116">
        <v>370.7</v>
      </c>
      <c r="G1872">
        <v>723503</v>
      </c>
      <c r="H1872" s="116"/>
      <c r="I1872" s="116"/>
      <c r="L1872" s="170">
        <v>44760</v>
      </c>
      <c r="M1872" s="116">
        <v>370.7</v>
      </c>
      <c r="N1872" s="116">
        <v>372.4</v>
      </c>
      <c r="O1872" s="116">
        <v>369.6</v>
      </c>
      <c r="P1872" s="116">
        <v>370.6</v>
      </c>
      <c r="Q1872" s="116">
        <v>370.7</v>
      </c>
      <c r="R1872">
        <v>1745124</v>
      </c>
    </row>
    <row r="1873" spans="1:18" x14ac:dyDescent="0.25">
      <c r="A1873" s="170">
        <v>44761</v>
      </c>
      <c r="B1873" s="116">
        <v>371.45</v>
      </c>
      <c r="C1873" s="116">
        <v>370.95</v>
      </c>
      <c r="D1873" s="116">
        <v>366</v>
      </c>
      <c r="E1873" s="116">
        <v>366</v>
      </c>
      <c r="F1873" s="116">
        <v>370.95</v>
      </c>
      <c r="G1873">
        <v>44562</v>
      </c>
      <c r="H1873" s="116"/>
      <c r="I1873" s="116"/>
      <c r="L1873" s="170">
        <v>44761</v>
      </c>
      <c r="M1873" s="116">
        <v>370.95</v>
      </c>
      <c r="N1873" s="116">
        <v>371.5</v>
      </c>
      <c r="O1873" s="116">
        <v>369.3</v>
      </c>
      <c r="P1873" s="116">
        <v>369.3</v>
      </c>
      <c r="Q1873" s="116">
        <v>370.95</v>
      </c>
      <c r="R1873">
        <v>1567448</v>
      </c>
    </row>
    <row r="1874" spans="1:18" x14ac:dyDescent="0.25">
      <c r="A1874" s="170">
        <v>44762</v>
      </c>
      <c r="B1874" s="116">
        <v>371.3</v>
      </c>
      <c r="C1874" s="116">
        <v>367.9</v>
      </c>
      <c r="D1874" s="116">
        <v>366.5</v>
      </c>
      <c r="E1874" s="116">
        <v>370.5</v>
      </c>
      <c r="F1874" s="116">
        <v>367.9</v>
      </c>
      <c r="G1874">
        <v>127975</v>
      </c>
      <c r="H1874" s="116"/>
      <c r="I1874" s="116"/>
      <c r="L1874" s="170">
        <v>44762</v>
      </c>
      <c r="M1874" s="116">
        <v>367.85</v>
      </c>
      <c r="N1874" s="116">
        <v>371.95</v>
      </c>
      <c r="O1874" s="116">
        <v>366.6</v>
      </c>
      <c r="P1874" s="116">
        <v>369.95</v>
      </c>
      <c r="Q1874" s="116">
        <v>367.85</v>
      </c>
      <c r="R1874">
        <v>7381308</v>
      </c>
    </row>
    <row r="1875" spans="1:18" x14ac:dyDescent="0.25">
      <c r="A1875" s="170">
        <v>44763</v>
      </c>
      <c r="B1875" s="116">
        <v>371.45</v>
      </c>
      <c r="C1875" s="116">
        <v>370.55</v>
      </c>
      <c r="D1875" s="116">
        <v>366.25</v>
      </c>
      <c r="E1875" s="116">
        <v>367</v>
      </c>
      <c r="F1875" s="116">
        <v>370.55</v>
      </c>
      <c r="G1875">
        <v>95224</v>
      </c>
      <c r="H1875" s="116"/>
      <c r="I1875" s="116"/>
      <c r="L1875" s="170">
        <v>44763</v>
      </c>
      <c r="M1875" s="116">
        <v>370.75</v>
      </c>
      <c r="N1875" s="116">
        <v>371.35</v>
      </c>
      <c r="O1875" s="116">
        <v>366.25</v>
      </c>
      <c r="P1875" s="116">
        <v>368</v>
      </c>
      <c r="Q1875" s="116">
        <v>370.75</v>
      </c>
      <c r="R1875">
        <v>3275734</v>
      </c>
    </row>
    <row r="1876" spans="1:18" x14ac:dyDescent="0.25">
      <c r="A1876" s="170">
        <v>44764</v>
      </c>
      <c r="B1876" s="116">
        <v>373.2</v>
      </c>
      <c r="C1876" s="116">
        <v>372.5</v>
      </c>
      <c r="D1876" s="116">
        <v>369.1</v>
      </c>
      <c r="E1876" s="116">
        <v>370.9</v>
      </c>
      <c r="F1876" s="116">
        <v>372.5</v>
      </c>
      <c r="G1876">
        <v>32008</v>
      </c>
      <c r="H1876" s="116"/>
      <c r="I1876" s="116"/>
      <c r="L1876" s="170">
        <v>44764</v>
      </c>
      <c r="M1876" s="116">
        <v>372.55</v>
      </c>
      <c r="N1876" s="116">
        <v>373.1</v>
      </c>
      <c r="O1876" s="116">
        <v>368.95</v>
      </c>
      <c r="P1876" s="116">
        <v>370</v>
      </c>
      <c r="Q1876" s="116">
        <v>372.55</v>
      </c>
      <c r="R1876">
        <v>3091493</v>
      </c>
    </row>
    <row r="1877" spans="1:18" x14ac:dyDescent="0.25">
      <c r="A1877" s="170">
        <v>44767</v>
      </c>
      <c r="B1877" s="116">
        <v>373.6</v>
      </c>
      <c r="C1877" s="116">
        <v>371.4</v>
      </c>
      <c r="D1877" s="116">
        <v>370.45</v>
      </c>
      <c r="E1877" s="116">
        <v>373.6</v>
      </c>
      <c r="F1877" s="116">
        <v>371.4</v>
      </c>
      <c r="G1877">
        <v>32996</v>
      </c>
      <c r="H1877" s="116"/>
      <c r="I1877" s="116"/>
      <c r="L1877" s="170">
        <v>44767</v>
      </c>
      <c r="M1877" s="116">
        <v>371.15</v>
      </c>
      <c r="N1877" s="116">
        <v>373.5</v>
      </c>
      <c r="O1877" s="116">
        <v>370.4</v>
      </c>
      <c r="P1877" s="116">
        <v>372.55</v>
      </c>
      <c r="Q1877" s="116">
        <v>371.15</v>
      </c>
      <c r="R1877">
        <v>3224932</v>
      </c>
    </row>
    <row r="1878" spans="1:18" x14ac:dyDescent="0.25">
      <c r="A1878" s="170">
        <v>44768</v>
      </c>
      <c r="B1878" s="116">
        <v>371.4</v>
      </c>
      <c r="C1878" s="116">
        <v>369.85</v>
      </c>
      <c r="D1878" s="116">
        <v>368</v>
      </c>
      <c r="E1878" s="116">
        <v>368</v>
      </c>
      <c r="F1878" s="116">
        <v>369.85</v>
      </c>
      <c r="G1878">
        <v>16074</v>
      </c>
      <c r="H1878" s="116"/>
      <c r="I1878" s="116"/>
      <c r="L1878" s="170">
        <v>44768</v>
      </c>
      <c r="M1878" s="116">
        <v>369.95</v>
      </c>
      <c r="N1878" s="116">
        <v>371.15</v>
      </c>
      <c r="O1878" s="116">
        <v>368.55</v>
      </c>
      <c r="P1878" s="116">
        <v>371.05</v>
      </c>
      <c r="Q1878" s="116">
        <v>369.95</v>
      </c>
      <c r="R1878">
        <v>3457867</v>
      </c>
    </row>
    <row r="1879" spans="1:18" x14ac:dyDescent="0.25">
      <c r="A1879" s="170">
        <v>44769</v>
      </c>
      <c r="B1879" s="116">
        <v>372.2</v>
      </c>
      <c r="C1879" s="116">
        <v>370.75</v>
      </c>
      <c r="D1879" s="116">
        <v>368.7</v>
      </c>
      <c r="E1879" s="116">
        <v>370</v>
      </c>
      <c r="F1879" s="116">
        <v>370.75</v>
      </c>
      <c r="G1879">
        <v>22875</v>
      </c>
      <c r="H1879" s="116"/>
      <c r="I1879" s="116"/>
      <c r="L1879" s="170">
        <v>44769</v>
      </c>
      <c r="M1879" s="116">
        <v>370.85</v>
      </c>
      <c r="N1879" s="116">
        <v>372.2</v>
      </c>
      <c r="O1879" s="116">
        <v>368.7</v>
      </c>
      <c r="P1879" s="116">
        <v>369.25</v>
      </c>
      <c r="Q1879" s="116">
        <v>370.85</v>
      </c>
      <c r="R1879">
        <v>2093379</v>
      </c>
    </row>
    <row r="1880" spans="1:18" x14ac:dyDescent="0.25">
      <c r="A1880" s="170">
        <v>44770</v>
      </c>
      <c r="B1880" s="116">
        <v>372.3</v>
      </c>
      <c r="C1880" s="116">
        <v>370.95</v>
      </c>
      <c r="D1880" s="116">
        <v>369.75</v>
      </c>
      <c r="E1880" s="116">
        <v>371.5</v>
      </c>
      <c r="F1880" s="116">
        <v>370.95</v>
      </c>
      <c r="G1880">
        <v>33083</v>
      </c>
      <c r="H1880" s="116"/>
      <c r="I1880" s="116"/>
      <c r="L1880" s="170">
        <v>44770</v>
      </c>
      <c r="M1880" s="116">
        <v>370.85</v>
      </c>
      <c r="N1880" s="116">
        <v>372.5</v>
      </c>
      <c r="O1880" s="116">
        <v>369.6</v>
      </c>
      <c r="P1880" s="116">
        <v>372.5</v>
      </c>
      <c r="Q1880" s="116">
        <v>370.85</v>
      </c>
      <c r="R1880">
        <v>2711190</v>
      </c>
    </row>
    <row r="1881" spans="1:18" x14ac:dyDescent="0.25">
      <c r="A1881" s="170">
        <v>44771</v>
      </c>
      <c r="B1881" s="116">
        <v>376.05</v>
      </c>
      <c r="C1881" s="116">
        <v>374.5</v>
      </c>
      <c r="D1881" s="116">
        <v>369.8</v>
      </c>
      <c r="E1881" s="116">
        <v>372</v>
      </c>
      <c r="F1881" s="116">
        <v>374.5</v>
      </c>
      <c r="G1881">
        <v>271319</v>
      </c>
      <c r="H1881" s="116"/>
      <c r="I1881" s="116"/>
      <c r="L1881" s="170">
        <v>44771</v>
      </c>
      <c r="M1881" s="116">
        <v>374.8</v>
      </c>
      <c r="N1881" s="116">
        <v>376</v>
      </c>
      <c r="O1881" s="116">
        <v>370</v>
      </c>
      <c r="P1881" s="116">
        <v>372.4</v>
      </c>
      <c r="Q1881" s="116">
        <v>374.8</v>
      </c>
      <c r="R1881">
        <v>6522804</v>
      </c>
    </row>
    <row r="1882" spans="1:18" x14ac:dyDescent="0.25">
      <c r="A1882" s="170">
        <v>44774</v>
      </c>
      <c r="B1882" s="116">
        <v>377.95</v>
      </c>
      <c r="C1882" s="116">
        <v>375.3</v>
      </c>
      <c r="D1882" s="116">
        <v>374.25</v>
      </c>
      <c r="E1882" s="116">
        <v>377</v>
      </c>
      <c r="F1882" s="116">
        <v>375.3</v>
      </c>
      <c r="G1882">
        <v>780816</v>
      </c>
      <c r="H1882" s="116"/>
      <c r="I1882" s="116"/>
      <c r="L1882" s="170">
        <v>44774</v>
      </c>
      <c r="M1882" s="116">
        <v>375.4</v>
      </c>
      <c r="N1882" s="116">
        <v>378</v>
      </c>
      <c r="O1882" s="116">
        <v>374.25</v>
      </c>
      <c r="P1882" s="116">
        <v>377</v>
      </c>
      <c r="Q1882" s="116">
        <v>375.4</v>
      </c>
      <c r="R1882">
        <v>2858911</v>
      </c>
    </row>
    <row r="1883" spans="1:18" x14ac:dyDescent="0.25">
      <c r="A1883" s="170">
        <v>44775</v>
      </c>
      <c r="B1883" s="116">
        <v>382.6</v>
      </c>
      <c r="C1883" s="116">
        <v>378.75</v>
      </c>
      <c r="D1883" s="116">
        <v>375.05</v>
      </c>
      <c r="E1883" s="116">
        <v>376.8</v>
      </c>
      <c r="F1883" s="116">
        <v>378.75</v>
      </c>
      <c r="G1883">
        <v>289111</v>
      </c>
      <c r="H1883" s="116"/>
      <c r="I1883" s="116"/>
      <c r="L1883" s="170">
        <v>44775</v>
      </c>
      <c r="M1883" s="116">
        <v>378.65</v>
      </c>
      <c r="N1883" s="116">
        <v>382.8</v>
      </c>
      <c r="O1883" s="116">
        <v>374.95</v>
      </c>
      <c r="P1883" s="116">
        <v>375.4</v>
      </c>
      <c r="Q1883" s="116">
        <v>378.65</v>
      </c>
      <c r="R1883">
        <v>9280180</v>
      </c>
    </row>
    <row r="1884" spans="1:18" x14ac:dyDescent="0.25">
      <c r="A1884" s="170">
        <v>44776</v>
      </c>
      <c r="B1884" s="116">
        <v>382.2</v>
      </c>
      <c r="C1884" s="116">
        <v>381.65</v>
      </c>
      <c r="D1884" s="116">
        <v>376.3</v>
      </c>
      <c r="E1884" s="116">
        <v>379</v>
      </c>
      <c r="F1884" s="116">
        <v>381.65</v>
      </c>
      <c r="G1884">
        <v>137698</v>
      </c>
      <c r="H1884" s="116"/>
      <c r="I1884" s="116"/>
      <c r="L1884" s="170">
        <v>44776</v>
      </c>
      <c r="M1884" s="116">
        <v>381.75</v>
      </c>
      <c r="N1884" s="116">
        <v>382.4</v>
      </c>
      <c r="O1884" s="116">
        <v>376.5</v>
      </c>
      <c r="P1884" s="116">
        <v>380</v>
      </c>
      <c r="Q1884" s="116">
        <v>381.75</v>
      </c>
      <c r="R1884">
        <v>4871595</v>
      </c>
    </row>
    <row r="1885" spans="1:18" x14ac:dyDescent="0.25">
      <c r="A1885" s="170">
        <v>44777</v>
      </c>
      <c r="B1885" s="116">
        <v>383.7</v>
      </c>
      <c r="C1885" s="116">
        <v>381.15</v>
      </c>
      <c r="D1885" s="116">
        <v>378</v>
      </c>
      <c r="E1885" s="116">
        <v>382.95</v>
      </c>
      <c r="F1885" s="116">
        <v>381.15</v>
      </c>
      <c r="G1885">
        <v>97123</v>
      </c>
      <c r="H1885" s="116"/>
      <c r="I1885" s="116"/>
      <c r="L1885" s="170">
        <v>44777</v>
      </c>
      <c r="M1885" s="116">
        <v>381.25</v>
      </c>
      <c r="N1885" s="116">
        <v>383.75</v>
      </c>
      <c r="O1885" s="116">
        <v>378</v>
      </c>
      <c r="P1885" s="116">
        <v>382</v>
      </c>
      <c r="Q1885" s="116">
        <v>381.25</v>
      </c>
      <c r="R1885">
        <v>6766464</v>
      </c>
    </row>
    <row r="1886" spans="1:18" x14ac:dyDescent="0.25">
      <c r="A1886" s="170">
        <v>44778</v>
      </c>
      <c r="B1886" s="116">
        <v>383.2</v>
      </c>
      <c r="C1886" s="116">
        <v>382.5</v>
      </c>
      <c r="D1886" s="116">
        <v>380.2</v>
      </c>
      <c r="E1886" s="116">
        <v>381.15</v>
      </c>
      <c r="F1886" s="116">
        <v>382.5</v>
      </c>
      <c r="G1886">
        <v>53657</v>
      </c>
      <c r="H1886" s="116"/>
      <c r="I1886" s="116"/>
      <c r="L1886" s="170">
        <v>44778</v>
      </c>
      <c r="M1886" s="116">
        <v>382.65</v>
      </c>
      <c r="N1886" s="116">
        <v>383.05</v>
      </c>
      <c r="O1886" s="116">
        <v>380.05</v>
      </c>
      <c r="P1886" s="116">
        <v>381.1</v>
      </c>
      <c r="Q1886" s="116">
        <v>382.65</v>
      </c>
      <c r="R1886">
        <v>5063415</v>
      </c>
    </row>
    <row r="1887" spans="1:18" x14ac:dyDescent="0.25">
      <c r="A1887" s="170">
        <v>44781</v>
      </c>
      <c r="B1887" s="116">
        <v>382.9</v>
      </c>
      <c r="C1887" s="116">
        <v>380.4</v>
      </c>
      <c r="D1887" s="116">
        <v>378.75</v>
      </c>
      <c r="E1887" s="116">
        <v>381.9</v>
      </c>
      <c r="F1887" s="116">
        <v>380.4</v>
      </c>
      <c r="G1887">
        <v>54185</v>
      </c>
      <c r="H1887" s="116"/>
      <c r="I1887" s="116"/>
      <c r="L1887" s="170">
        <v>44781</v>
      </c>
      <c r="M1887" s="116">
        <v>380.2</v>
      </c>
      <c r="N1887" s="116">
        <v>382.95</v>
      </c>
      <c r="O1887" s="116">
        <v>378.85</v>
      </c>
      <c r="P1887" s="116">
        <v>382.85</v>
      </c>
      <c r="Q1887" s="116">
        <v>380.2</v>
      </c>
      <c r="R1887">
        <v>3347503</v>
      </c>
    </row>
    <row r="1888" spans="1:18" x14ac:dyDescent="0.25">
      <c r="A1888" s="170">
        <v>44783</v>
      </c>
      <c r="B1888" s="116">
        <v>381.5</v>
      </c>
      <c r="C1888" s="116">
        <v>380.2</v>
      </c>
      <c r="D1888" s="116">
        <v>378.35</v>
      </c>
      <c r="E1888" s="116">
        <v>380</v>
      </c>
      <c r="F1888" s="116">
        <v>380.2</v>
      </c>
      <c r="G1888">
        <v>38086</v>
      </c>
      <c r="H1888" s="116"/>
      <c r="I1888" s="116"/>
      <c r="L1888" s="170">
        <v>44783</v>
      </c>
      <c r="M1888" s="116">
        <v>380.05</v>
      </c>
      <c r="N1888" s="116">
        <v>381.65</v>
      </c>
      <c r="O1888" s="116">
        <v>378.4</v>
      </c>
      <c r="P1888" s="116">
        <v>380</v>
      </c>
      <c r="Q1888" s="116">
        <v>380.05</v>
      </c>
      <c r="R1888">
        <v>4144801</v>
      </c>
    </row>
    <row r="1889" spans="1:18" x14ac:dyDescent="0.25">
      <c r="A1889" s="170">
        <v>44784</v>
      </c>
      <c r="B1889" s="116">
        <v>381.9</v>
      </c>
      <c r="C1889" s="116">
        <v>380.3</v>
      </c>
      <c r="D1889" s="116">
        <v>378.5</v>
      </c>
      <c r="E1889" s="116">
        <v>380.45</v>
      </c>
      <c r="F1889" s="116">
        <v>380.3</v>
      </c>
      <c r="G1889">
        <v>68347</v>
      </c>
      <c r="H1889" s="116"/>
      <c r="I1889" s="116"/>
      <c r="L1889" s="170">
        <v>44784</v>
      </c>
      <c r="M1889" s="116">
        <v>380.2</v>
      </c>
      <c r="N1889" s="116">
        <v>382</v>
      </c>
      <c r="O1889" s="116">
        <v>378.6</v>
      </c>
      <c r="P1889" s="116">
        <v>382</v>
      </c>
      <c r="Q1889" s="116">
        <v>380.2</v>
      </c>
      <c r="R1889">
        <v>2409612</v>
      </c>
    </row>
    <row r="1890" spans="1:18" x14ac:dyDescent="0.25">
      <c r="A1890" s="170">
        <v>44785</v>
      </c>
      <c r="B1890" s="116">
        <v>387.9</v>
      </c>
      <c r="C1890" s="116">
        <v>384.3</v>
      </c>
      <c r="D1890" s="116">
        <v>378.8</v>
      </c>
      <c r="E1890" s="116">
        <v>382</v>
      </c>
      <c r="F1890" s="116">
        <v>384.3</v>
      </c>
      <c r="G1890">
        <v>230529</v>
      </c>
      <c r="H1890" s="116"/>
      <c r="I1890" s="116"/>
      <c r="L1890" s="170">
        <v>44785</v>
      </c>
      <c r="M1890" s="116">
        <v>384.8</v>
      </c>
      <c r="N1890" s="116">
        <v>388</v>
      </c>
      <c r="O1890" s="116">
        <v>378.85</v>
      </c>
      <c r="P1890" s="116">
        <v>380</v>
      </c>
      <c r="Q1890" s="116">
        <v>384.8</v>
      </c>
      <c r="R1890">
        <v>5187959</v>
      </c>
    </row>
    <row r="1891" spans="1:18" x14ac:dyDescent="0.25">
      <c r="A1891" s="170">
        <v>44789</v>
      </c>
      <c r="B1891" s="116">
        <v>398.85</v>
      </c>
      <c r="C1891" s="116">
        <v>396.2</v>
      </c>
      <c r="D1891" s="116">
        <v>385.5</v>
      </c>
      <c r="E1891" s="116">
        <v>389</v>
      </c>
      <c r="F1891" s="116">
        <v>396.2</v>
      </c>
      <c r="G1891">
        <v>413262</v>
      </c>
      <c r="H1891" s="116"/>
      <c r="I1891" s="116"/>
      <c r="L1891" s="170">
        <v>44789</v>
      </c>
      <c r="M1891" s="116">
        <v>396.1</v>
      </c>
      <c r="N1891" s="116">
        <v>399</v>
      </c>
      <c r="O1891" s="116">
        <v>385.45</v>
      </c>
      <c r="P1891" s="116">
        <v>388.9</v>
      </c>
      <c r="Q1891" s="116">
        <v>396.1</v>
      </c>
      <c r="R1891">
        <v>11560886</v>
      </c>
    </row>
    <row r="1892" spans="1:18" x14ac:dyDescent="0.25">
      <c r="A1892" s="170">
        <v>44790</v>
      </c>
      <c r="B1892" s="116">
        <v>405</v>
      </c>
      <c r="C1892" s="116">
        <v>398.35</v>
      </c>
      <c r="D1892" s="116">
        <v>396.4</v>
      </c>
      <c r="E1892" s="116">
        <v>399.85</v>
      </c>
      <c r="F1892" s="116">
        <v>398.35</v>
      </c>
      <c r="G1892">
        <v>365404</v>
      </c>
      <c r="H1892" s="116"/>
      <c r="I1892" s="116"/>
      <c r="L1892" s="170">
        <v>44790</v>
      </c>
      <c r="M1892" s="116">
        <v>398.3</v>
      </c>
      <c r="N1892" s="116">
        <v>404.95</v>
      </c>
      <c r="O1892" s="116">
        <v>397</v>
      </c>
      <c r="P1892" s="116">
        <v>398.75</v>
      </c>
      <c r="Q1892" s="116">
        <v>398.3</v>
      </c>
      <c r="R1892">
        <v>9431378</v>
      </c>
    </row>
    <row r="1893" spans="1:18" x14ac:dyDescent="0.25">
      <c r="A1893" s="170">
        <v>44791</v>
      </c>
      <c r="B1893" s="116">
        <v>414.45</v>
      </c>
      <c r="C1893" s="116">
        <v>409.6</v>
      </c>
      <c r="D1893" s="116">
        <v>396.3</v>
      </c>
      <c r="E1893" s="116">
        <v>400</v>
      </c>
      <c r="F1893" s="116">
        <v>409.6</v>
      </c>
      <c r="G1893">
        <v>506795</v>
      </c>
      <c r="H1893" s="116"/>
      <c r="I1893" s="116"/>
      <c r="L1893" s="170">
        <v>44791</v>
      </c>
      <c r="M1893" s="116">
        <v>409.6</v>
      </c>
      <c r="N1893" s="116">
        <v>414.5</v>
      </c>
      <c r="O1893" s="116">
        <v>396.5</v>
      </c>
      <c r="P1893" s="116">
        <v>398.3</v>
      </c>
      <c r="Q1893" s="116">
        <v>409.6</v>
      </c>
      <c r="R1893">
        <v>15635959</v>
      </c>
    </row>
    <row r="1894" spans="1:18" x14ac:dyDescent="0.25">
      <c r="A1894" s="170">
        <v>44792</v>
      </c>
      <c r="B1894" s="116">
        <v>426.95</v>
      </c>
      <c r="C1894" s="116">
        <v>420.1</v>
      </c>
      <c r="D1894" s="116">
        <v>410.4</v>
      </c>
      <c r="E1894" s="116">
        <v>412.9</v>
      </c>
      <c r="F1894" s="116">
        <v>420.1</v>
      </c>
      <c r="G1894">
        <v>818720</v>
      </c>
      <c r="H1894" s="116"/>
      <c r="I1894" s="116"/>
      <c r="L1894" s="170">
        <v>44792</v>
      </c>
      <c r="M1894" s="116">
        <v>420.45</v>
      </c>
      <c r="N1894" s="116">
        <v>427</v>
      </c>
      <c r="O1894" s="116">
        <v>410.3</v>
      </c>
      <c r="P1894" s="116">
        <v>412</v>
      </c>
      <c r="Q1894" s="116">
        <v>420.45</v>
      </c>
      <c r="R1894">
        <v>25171485</v>
      </c>
    </row>
    <row r="1895" spans="1:18" x14ac:dyDescent="0.25">
      <c r="A1895" s="170">
        <v>44795</v>
      </c>
      <c r="B1895" s="116">
        <v>420.1</v>
      </c>
      <c r="C1895" s="116">
        <v>407.6</v>
      </c>
      <c r="D1895" s="116">
        <v>404.7</v>
      </c>
      <c r="E1895" s="116">
        <v>419.5</v>
      </c>
      <c r="F1895" s="116">
        <v>407.6</v>
      </c>
      <c r="G1895">
        <v>324969</v>
      </c>
      <c r="H1895" s="116"/>
      <c r="I1895" s="116"/>
      <c r="L1895" s="170">
        <v>44795</v>
      </c>
      <c r="M1895" s="116">
        <v>408</v>
      </c>
      <c r="N1895" s="116">
        <v>420.25</v>
      </c>
      <c r="O1895" s="116">
        <v>404.35</v>
      </c>
      <c r="P1895" s="116">
        <v>418.1</v>
      </c>
      <c r="Q1895" s="116">
        <v>408</v>
      </c>
      <c r="R1895">
        <v>11430999</v>
      </c>
    </row>
    <row r="1896" spans="1:18" x14ac:dyDescent="0.25">
      <c r="A1896" s="170">
        <v>44796</v>
      </c>
      <c r="B1896" s="116">
        <v>414.15</v>
      </c>
      <c r="C1896" s="116">
        <v>405.3</v>
      </c>
      <c r="D1896" s="116">
        <v>398.85</v>
      </c>
      <c r="E1896" s="116">
        <v>400.8</v>
      </c>
      <c r="F1896" s="116">
        <v>405.3</v>
      </c>
      <c r="G1896">
        <v>343766</v>
      </c>
      <c r="H1896" s="116"/>
      <c r="I1896" s="116"/>
      <c r="L1896" s="170">
        <v>44796</v>
      </c>
      <c r="M1896" s="116">
        <v>405.45</v>
      </c>
      <c r="N1896" s="116">
        <v>414.45</v>
      </c>
      <c r="O1896" s="116">
        <v>398</v>
      </c>
      <c r="P1896" s="116">
        <v>400</v>
      </c>
      <c r="Q1896" s="116">
        <v>405.45</v>
      </c>
      <c r="R1896">
        <v>15303452</v>
      </c>
    </row>
    <row r="1897" spans="1:18" x14ac:dyDescent="0.25">
      <c r="A1897" s="170">
        <v>44797</v>
      </c>
      <c r="B1897" s="116">
        <v>407.65</v>
      </c>
      <c r="C1897" s="116">
        <v>403.9</v>
      </c>
      <c r="D1897" s="116">
        <v>398.2</v>
      </c>
      <c r="E1897" s="116">
        <v>405.3</v>
      </c>
      <c r="F1897" s="116">
        <v>403.9</v>
      </c>
      <c r="G1897">
        <v>266654</v>
      </c>
      <c r="H1897" s="116"/>
      <c r="I1897" s="116"/>
      <c r="L1897" s="170">
        <v>44797</v>
      </c>
      <c r="M1897" s="116">
        <v>404.15</v>
      </c>
      <c r="N1897" s="116">
        <v>407.55</v>
      </c>
      <c r="O1897" s="116">
        <v>398.1</v>
      </c>
      <c r="P1897" s="116">
        <v>405.45</v>
      </c>
      <c r="Q1897" s="116">
        <v>404.15</v>
      </c>
      <c r="R1897">
        <v>15732854</v>
      </c>
    </row>
    <row r="1898" spans="1:18" x14ac:dyDescent="0.25">
      <c r="A1898" s="170">
        <v>44798</v>
      </c>
      <c r="B1898" s="116">
        <v>408.05</v>
      </c>
      <c r="C1898" s="116">
        <v>397.1</v>
      </c>
      <c r="D1898" s="116">
        <v>396.1</v>
      </c>
      <c r="E1898" s="116">
        <v>404</v>
      </c>
      <c r="F1898" s="116">
        <v>397.1</v>
      </c>
      <c r="G1898">
        <v>292262</v>
      </c>
      <c r="H1898" s="116"/>
      <c r="I1898" s="116"/>
      <c r="L1898" s="170">
        <v>44798</v>
      </c>
      <c r="M1898" s="116">
        <v>397.15</v>
      </c>
      <c r="N1898" s="116">
        <v>408.3</v>
      </c>
      <c r="O1898" s="116">
        <v>395.9</v>
      </c>
      <c r="P1898" s="116">
        <v>404.15</v>
      </c>
      <c r="Q1898" s="116">
        <v>397.15</v>
      </c>
      <c r="R1898">
        <v>11274377</v>
      </c>
    </row>
    <row r="1899" spans="1:18" x14ac:dyDescent="0.25">
      <c r="A1899" s="170">
        <v>44799</v>
      </c>
      <c r="B1899" s="116">
        <v>406.7</v>
      </c>
      <c r="C1899" s="116">
        <v>402.7</v>
      </c>
      <c r="D1899" s="116">
        <v>392.35</v>
      </c>
      <c r="E1899" s="116">
        <v>400</v>
      </c>
      <c r="F1899" s="116">
        <v>402.7</v>
      </c>
      <c r="G1899">
        <v>335069</v>
      </c>
      <c r="H1899" s="116"/>
      <c r="I1899" s="116"/>
      <c r="L1899" s="170">
        <v>44799</v>
      </c>
      <c r="M1899" s="116">
        <v>402.85</v>
      </c>
      <c r="N1899" s="116">
        <v>406.7</v>
      </c>
      <c r="O1899" s="116">
        <v>392.2</v>
      </c>
      <c r="P1899" s="116">
        <v>400</v>
      </c>
      <c r="Q1899" s="116">
        <v>402.85</v>
      </c>
      <c r="R1899">
        <v>13259855</v>
      </c>
    </row>
    <row r="1900" spans="1:18" x14ac:dyDescent="0.25">
      <c r="A1900" s="170">
        <v>44802</v>
      </c>
      <c r="B1900" s="116">
        <v>405.6</v>
      </c>
      <c r="C1900" s="116">
        <v>403.65</v>
      </c>
      <c r="D1900" s="116">
        <v>394.5</v>
      </c>
      <c r="E1900" s="116">
        <v>395</v>
      </c>
      <c r="F1900" s="116">
        <v>403.65</v>
      </c>
      <c r="G1900">
        <v>172977</v>
      </c>
      <c r="H1900" s="116"/>
      <c r="I1900" s="116"/>
      <c r="L1900" s="170">
        <v>44802</v>
      </c>
      <c r="M1900" s="116">
        <v>403.45</v>
      </c>
      <c r="N1900" s="116">
        <v>405.5</v>
      </c>
      <c r="O1900" s="116">
        <v>395.1</v>
      </c>
      <c r="P1900" s="116">
        <v>397</v>
      </c>
      <c r="Q1900" s="116">
        <v>403.45</v>
      </c>
      <c r="R1900">
        <v>7557377</v>
      </c>
    </row>
    <row r="1901" spans="1:18" x14ac:dyDescent="0.25">
      <c r="A1901" s="170">
        <v>44803</v>
      </c>
      <c r="B1901" s="116">
        <v>412.75</v>
      </c>
      <c r="C1901" s="116">
        <v>411.25</v>
      </c>
      <c r="D1901" s="116">
        <v>404.45</v>
      </c>
      <c r="E1901" s="116">
        <v>408</v>
      </c>
      <c r="F1901" s="116">
        <v>411.25</v>
      </c>
      <c r="G1901">
        <v>250494</v>
      </c>
      <c r="H1901" s="116"/>
      <c r="I1901" s="116"/>
      <c r="L1901" s="170">
        <v>44803</v>
      </c>
      <c r="M1901" s="116">
        <v>411.25</v>
      </c>
      <c r="N1901" s="116">
        <v>412.85</v>
      </c>
      <c r="O1901" s="116">
        <v>404.5</v>
      </c>
      <c r="P1901" s="116">
        <v>406.65</v>
      </c>
      <c r="Q1901" s="116">
        <v>411.25</v>
      </c>
      <c r="R1901">
        <v>7851221</v>
      </c>
    </row>
    <row r="1902" spans="1:18" x14ac:dyDescent="0.25">
      <c r="A1902" s="170">
        <v>44805</v>
      </c>
      <c r="B1902" s="116">
        <v>413.75</v>
      </c>
      <c r="C1902" s="116">
        <v>410</v>
      </c>
      <c r="D1902" s="116">
        <v>407.9</v>
      </c>
      <c r="E1902" s="116">
        <v>408</v>
      </c>
      <c r="F1902" s="116">
        <v>410</v>
      </c>
      <c r="G1902">
        <v>159116</v>
      </c>
      <c r="H1902" s="116"/>
      <c r="I1902" s="116"/>
      <c r="L1902" s="170">
        <v>44805</v>
      </c>
      <c r="M1902" s="116">
        <v>409.8</v>
      </c>
      <c r="N1902" s="116">
        <v>413.8</v>
      </c>
      <c r="O1902" s="116">
        <v>407.65</v>
      </c>
      <c r="P1902" s="116">
        <v>409.6</v>
      </c>
      <c r="Q1902" s="116">
        <v>409.8</v>
      </c>
      <c r="R1902">
        <v>10762759</v>
      </c>
    </row>
    <row r="1903" spans="1:18" x14ac:dyDescent="0.25">
      <c r="A1903" s="170">
        <v>44806</v>
      </c>
      <c r="B1903" s="116">
        <v>418.3</v>
      </c>
      <c r="C1903" s="116">
        <v>415.55</v>
      </c>
      <c r="D1903" s="116">
        <v>405.55</v>
      </c>
      <c r="E1903" s="116">
        <v>410.3</v>
      </c>
      <c r="F1903" s="116">
        <v>415.55</v>
      </c>
      <c r="G1903">
        <v>216935</v>
      </c>
      <c r="H1903" s="116"/>
      <c r="I1903" s="116"/>
      <c r="L1903" s="170">
        <v>44806</v>
      </c>
      <c r="M1903" s="116">
        <v>415.6</v>
      </c>
      <c r="N1903" s="116">
        <v>418.3</v>
      </c>
      <c r="O1903" s="116">
        <v>405.55</v>
      </c>
      <c r="P1903" s="116">
        <v>411.45</v>
      </c>
      <c r="Q1903" s="116">
        <v>415.6</v>
      </c>
      <c r="R1903">
        <v>8068140</v>
      </c>
    </row>
    <row r="1904" spans="1:18" x14ac:dyDescent="0.25">
      <c r="A1904" s="170">
        <v>44809</v>
      </c>
      <c r="B1904" s="116">
        <v>419.2</v>
      </c>
      <c r="C1904" s="116">
        <v>418</v>
      </c>
      <c r="D1904" s="116">
        <v>414.15</v>
      </c>
      <c r="E1904" s="116">
        <v>416.3</v>
      </c>
      <c r="F1904" s="116">
        <v>418</v>
      </c>
      <c r="G1904">
        <v>192532</v>
      </c>
      <c r="H1904" s="116"/>
      <c r="I1904" s="116"/>
      <c r="L1904" s="170">
        <v>44809</v>
      </c>
      <c r="M1904" s="116">
        <v>417.95</v>
      </c>
      <c r="N1904" s="116">
        <v>419.65</v>
      </c>
      <c r="O1904" s="116">
        <v>414.05</v>
      </c>
      <c r="P1904" s="116">
        <v>417.15</v>
      </c>
      <c r="Q1904" s="116">
        <v>417.95</v>
      </c>
      <c r="R1904">
        <v>6074232</v>
      </c>
    </row>
    <row r="1905" spans="1:18" x14ac:dyDescent="0.25">
      <c r="A1905" s="170">
        <v>44810</v>
      </c>
      <c r="B1905" s="116">
        <v>441.2</v>
      </c>
      <c r="C1905" s="116">
        <v>437.2</v>
      </c>
      <c r="D1905" s="116">
        <v>417</v>
      </c>
      <c r="E1905" s="116">
        <v>417</v>
      </c>
      <c r="F1905" s="116">
        <v>437.2</v>
      </c>
      <c r="G1905">
        <v>800409</v>
      </c>
      <c r="H1905" s="116"/>
      <c r="I1905" s="116"/>
      <c r="L1905" s="170">
        <v>44810</v>
      </c>
      <c r="M1905" s="116">
        <v>436.5</v>
      </c>
      <c r="N1905" s="116">
        <v>441</v>
      </c>
      <c r="O1905" s="116">
        <v>417.5</v>
      </c>
      <c r="P1905" s="116">
        <v>419.4</v>
      </c>
      <c r="Q1905" s="116">
        <v>436.5</v>
      </c>
      <c r="R1905">
        <v>23184248</v>
      </c>
    </row>
    <row r="1906" spans="1:18" x14ac:dyDescent="0.25">
      <c r="A1906" s="170">
        <v>44811</v>
      </c>
      <c r="B1906" s="116">
        <v>457.5</v>
      </c>
      <c r="C1906" s="116">
        <v>448.85</v>
      </c>
      <c r="D1906" s="116">
        <v>435.95</v>
      </c>
      <c r="E1906" s="116">
        <v>437.2</v>
      </c>
      <c r="F1906" s="116">
        <v>448.85</v>
      </c>
      <c r="G1906">
        <v>1419080</v>
      </c>
      <c r="H1906" s="116"/>
      <c r="I1906" s="116"/>
      <c r="L1906" s="170">
        <v>44811</v>
      </c>
      <c r="M1906" s="116">
        <v>448.9</v>
      </c>
      <c r="N1906" s="116">
        <v>457.5</v>
      </c>
      <c r="O1906" s="116">
        <v>436</v>
      </c>
      <c r="P1906" s="116">
        <v>440.05</v>
      </c>
      <c r="Q1906" s="116">
        <v>448.9</v>
      </c>
      <c r="R1906">
        <v>28272706</v>
      </c>
    </row>
    <row r="1907" spans="1:18" x14ac:dyDescent="0.25">
      <c r="A1907" s="170">
        <v>44812</v>
      </c>
      <c r="B1907" s="116">
        <v>464</v>
      </c>
      <c r="C1907" s="116">
        <v>461.75</v>
      </c>
      <c r="D1907" s="116">
        <v>446.35</v>
      </c>
      <c r="E1907" s="116">
        <v>454</v>
      </c>
      <c r="F1907" s="116">
        <v>461.75</v>
      </c>
      <c r="G1907">
        <v>462147</v>
      </c>
      <c r="H1907" s="116"/>
      <c r="I1907" s="116"/>
      <c r="L1907" s="170">
        <v>44812</v>
      </c>
      <c r="M1907" s="116">
        <v>461.9</v>
      </c>
      <c r="N1907" s="116">
        <v>464</v>
      </c>
      <c r="O1907" s="116">
        <v>446.25</v>
      </c>
      <c r="P1907" s="116">
        <v>453.95</v>
      </c>
      <c r="Q1907" s="116">
        <v>461.9</v>
      </c>
      <c r="R1907">
        <v>14949706</v>
      </c>
    </row>
    <row r="1908" spans="1:18" x14ac:dyDescent="0.25">
      <c r="A1908" s="170">
        <v>44813</v>
      </c>
      <c r="B1908" s="116">
        <v>484.7</v>
      </c>
      <c r="C1908" s="116">
        <v>453.9</v>
      </c>
      <c r="D1908" s="116">
        <v>451.9</v>
      </c>
      <c r="E1908" s="116">
        <v>464.15</v>
      </c>
      <c r="F1908" s="116">
        <v>453.9</v>
      </c>
      <c r="G1908">
        <v>1292526</v>
      </c>
      <c r="H1908" s="116"/>
      <c r="I1908" s="116"/>
      <c r="L1908" s="170">
        <v>44813</v>
      </c>
      <c r="M1908" s="116">
        <v>454.7</v>
      </c>
      <c r="N1908" s="116">
        <v>484.7</v>
      </c>
      <c r="O1908" s="116">
        <v>451.85</v>
      </c>
      <c r="P1908" s="116">
        <v>465.3</v>
      </c>
      <c r="Q1908" s="116">
        <v>454.7</v>
      </c>
      <c r="R1908">
        <v>29429693</v>
      </c>
    </row>
    <row r="1909" spans="1:18" x14ac:dyDescent="0.25">
      <c r="A1909" s="170">
        <v>44816</v>
      </c>
      <c r="B1909" s="116">
        <v>479.45</v>
      </c>
      <c r="C1909" s="116">
        <v>475.55</v>
      </c>
      <c r="D1909" s="116">
        <v>440.7</v>
      </c>
      <c r="E1909" s="116">
        <v>453.5</v>
      </c>
      <c r="F1909" s="116">
        <v>475.55</v>
      </c>
      <c r="G1909">
        <v>1109389</v>
      </c>
      <c r="H1909" s="116"/>
      <c r="I1909" s="116"/>
      <c r="L1909" s="170">
        <v>44816</v>
      </c>
      <c r="M1909" s="116">
        <v>475.65</v>
      </c>
      <c r="N1909" s="116">
        <v>479.5</v>
      </c>
      <c r="O1909" s="116">
        <v>440.6</v>
      </c>
      <c r="P1909" s="116">
        <v>454.6</v>
      </c>
      <c r="Q1909" s="116">
        <v>475.65</v>
      </c>
      <c r="R1909">
        <v>27759936</v>
      </c>
    </row>
    <row r="1910" spans="1:18" x14ac:dyDescent="0.25">
      <c r="A1910" s="170">
        <v>44817</v>
      </c>
      <c r="B1910" s="116">
        <v>488.5</v>
      </c>
      <c r="C1910" s="116">
        <v>486.4</v>
      </c>
      <c r="D1910" s="116">
        <v>476.35</v>
      </c>
      <c r="E1910" s="116">
        <v>482.45</v>
      </c>
      <c r="F1910" s="116">
        <v>486.4</v>
      </c>
      <c r="G1910">
        <v>652683</v>
      </c>
      <c r="H1910" s="116"/>
      <c r="I1910" s="116"/>
      <c r="L1910" s="170">
        <v>44817</v>
      </c>
      <c r="M1910" s="116">
        <v>486.5</v>
      </c>
      <c r="N1910" s="116">
        <v>488.65</v>
      </c>
      <c r="O1910" s="116">
        <v>476.25</v>
      </c>
      <c r="P1910" s="116">
        <v>483.25</v>
      </c>
      <c r="Q1910" s="116">
        <v>486.5</v>
      </c>
      <c r="R1910">
        <v>17846212</v>
      </c>
    </row>
    <row r="1911" spans="1:18" x14ac:dyDescent="0.25">
      <c r="A1911" s="170">
        <v>44818</v>
      </c>
      <c r="B1911" s="116">
        <v>533.6</v>
      </c>
      <c r="C1911" s="116">
        <v>524.6</v>
      </c>
      <c r="D1911" s="116">
        <v>480</v>
      </c>
      <c r="E1911" s="116">
        <v>480</v>
      </c>
      <c r="F1911" s="116">
        <v>524.6</v>
      </c>
      <c r="G1911">
        <v>2082485</v>
      </c>
      <c r="H1911" s="116"/>
      <c r="I1911" s="116"/>
      <c r="L1911" s="170">
        <v>44818</v>
      </c>
      <c r="M1911" s="116">
        <v>524.6</v>
      </c>
      <c r="N1911" s="116">
        <v>533.70000000000005</v>
      </c>
      <c r="O1911" s="116">
        <v>482</v>
      </c>
      <c r="P1911" s="116">
        <v>482</v>
      </c>
      <c r="Q1911" s="116">
        <v>524.6</v>
      </c>
      <c r="R1911">
        <v>57236617</v>
      </c>
    </row>
    <row r="1912" spans="1:18" x14ac:dyDescent="0.25">
      <c r="A1912" s="170">
        <v>44819</v>
      </c>
      <c r="B1912" s="116">
        <v>544.5</v>
      </c>
      <c r="C1912" s="116">
        <v>538.9</v>
      </c>
      <c r="D1912" s="116">
        <v>509.35</v>
      </c>
      <c r="E1912" s="116">
        <v>529.79999999999995</v>
      </c>
      <c r="F1912" s="116">
        <v>538.9</v>
      </c>
      <c r="G1912">
        <v>1771304</v>
      </c>
      <c r="H1912" s="116"/>
      <c r="I1912" s="116"/>
      <c r="L1912" s="170">
        <v>44819</v>
      </c>
      <c r="M1912" s="116">
        <v>538.75</v>
      </c>
      <c r="N1912" s="116">
        <v>544.65</v>
      </c>
      <c r="O1912" s="116">
        <v>509.4</v>
      </c>
      <c r="P1912" s="116">
        <v>529</v>
      </c>
      <c r="Q1912" s="116">
        <v>538.75</v>
      </c>
      <c r="R1912">
        <v>37879876</v>
      </c>
    </row>
    <row r="1913" spans="1:18" x14ac:dyDescent="0.25">
      <c r="A1913" s="170">
        <v>44820</v>
      </c>
      <c r="B1913" s="116">
        <v>550.15</v>
      </c>
      <c r="C1913" s="116">
        <v>516.29999999999995</v>
      </c>
      <c r="D1913" s="116">
        <v>511.05</v>
      </c>
      <c r="E1913" s="116">
        <v>533.4</v>
      </c>
      <c r="F1913" s="116">
        <v>516.29999999999995</v>
      </c>
      <c r="G1913">
        <v>1967307</v>
      </c>
      <c r="H1913" s="116"/>
      <c r="I1913" s="116"/>
      <c r="L1913" s="170">
        <v>44820</v>
      </c>
      <c r="M1913" s="116">
        <v>516.70000000000005</v>
      </c>
      <c r="N1913" s="116">
        <v>550</v>
      </c>
      <c r="O1913" s="116">
        <v>511.05</v>
      </c>
      <c r="P1913" s="116">
        <v>530.95000000000005</v>
      </c>
      <c r="Q1913" s="116">
        <v>516.70000000000005</v>
      </c>
      <c r="R1913">
        <v>42869715</v>
      </c>
    </row>
    <row r="1914" spans="1:18" x14ac:dyDescent="0.25">
      <c r="A1914" s="170">
        <v>44823</v>
      </c>
      <c r="B1914" s="116">
        <v>572.25</v>
      </c>
      <c r="C1914" s="116">
        <v>564.95000000000005</v>
      </c>
      <c r="D1914" s="116">
        <v>514.54999999999995</v>
      </c>
      <c r="E1914" s="116">
        <v>519</v>
      </c>
      <c r="F1914" s="116">
        <v>564.95000000000005</v>
      </c>
      <c r="G1914">
        <v>2920876</v>
      </c>
      <c r="H1914" s="116"/>
      <c r="I1914" s="116"/>
      <c r="L1914" s="170">
        <v>44823</v>
      </c>
      <c r="M1914" s="116">
        <v>564.9</v>
      </c>
      <c r="N1914" s="116">
        <v>572.95000000000005</v>
      </c>
      <c r="O1914" s="116">
        <v>514</v>
      </c>
      <c r="P1914" s="116">
        <v>517</v>
      </c>
      <c r="Q1914" s="116">
        <v>564.9</v>
      </c>
      <c r="R1914">
        <v>75771183</v>
      </c>
    </row>
    <row r="1915" spans="1:18" x14ac:dyDescent="0.25">
      <c r="A1915" s="170">
        <v>44824</v>
      </c>
      <c r="B1915" s="116">
        <v>585.45000000000005</v>
      </c>
      <c r="C1915" s="116">
        <v>574.1</v>
      </c>
      <c r="D1915" s="116">
        <v>567.5</v>
      </c>
      <c r="E1915" s="116">
        <v>578</v>
      </c>
      <c r="F1915" s="116">
        <v>574.1</v>
      </c>
      <c r="G1915">
        <v>2024144</v>
      </c>
      <c r="H1915" s="116"/>
      <c r="I1915" s="116"/>
      <c r="L1915" s="170">
        <v>44824</v>
      </c>
      <c r="M1915" s="116">
        <v>574.35</v>
      </c>
      <c r="N1915" s="116">
        <v>585.70000000000005</v>
      </c>
      <c r="O1915" s="116">
        <v>567.5</v>
      </c>
      <c r="P1915" s="116">
        <v>579</v>
      </c>
      <c r="Q1915" s="116">
        <v>574.35</v>
      </c>
      <c r="R1915">
        <v>43803577</v>
      </c>
    </row>
    <row r="1916" spans="1:18" x14ac:dyDescent="0.25">
      <c r="A1916" s="170">
        <v>44825</v>
      </c>
      <c r="B1916" s="116">
        <v>575.79999999999995</v>
      </c>
      <c r="C1916" s="116">
        <v>541.5</v>
      </c>
      <c r="D1916" s="116">
        <v>532.95000000000005</v>
      </c>
      <c r="E1916" s="116">
        <v>573.9</v>
      </c>
      <c r="F1916" s="116">
        <v>541.5</v>
      </c>
      <c r="G1916">
        <v>1803320</v>
      </c>
      <c r="H1916" s="116"/>
      <c r="I1916" s="116"/>
      <c r="L1916" s="170">
        <v>44825</v>
      </c>
      <c r="M1916" s="116">
        <v>541.35</v>
      </c>
      <c r="N1916" s="116">
        <v>575.79999999999995</v>
      </c>
      <c r="O1916" s="116">
        <v>532.79999999999995</v>
      </c>
      <c r="P1916" s="116">
        <v>572</v>
      </c>
      <c r="Q1916" s="116">
        <v>541.35</v>
      </c>
      <c r="R1916">
        <v>48990918</v>
      </c>
    </row>
    <row r="1917" spans="1:18" x14ac:dyDescent="0.25">
      <c r="A1917" s="170">
        <v>44826</v>
      </c>
      <c r="B1917" s="116">
        <v>548.85</v>
      </c>
      <c r="C1917" s="116">
        <v>533.54999999999995</v>
      </c>
      <c r="D1917" s="116">
        <v>517</v>
      </c>
      <c r="E1917" s="116">
        <v>522</v>
      </c>
      <c r="F1917" s="116">
        <v>533.54999999999995</v>
      </c>
      <c r="G1917">
        <v>1073421</v>
      </c>
      <c r="H1917" s="116"/>
      <c r="I1917" s="116"/>
      <c r="L1917" s="170">
        <v>44826</v>
      </c>
      <c r="M1917" s="116">
        <v>534.04999999999995</v>
      </c>
      <c r="N1917" s="116">
        <v>548.79999999999995</v>
      </c>
      <c r="O1917" s="116">
        <v>516.1</v>
      </c>
      <c r="P1917" s="116">
        <v>524.5</v>
      </c>
      <c r="Q1917" s="116">
        <v>534.04999999999995</v>
      </c>
      <c r="R1917">
        <v>24714675</v>
      </c>
    </row>
    <row r="1918" spans="1:18" x14ac:dyDescent="0.25">
      <c r="A1918" s="170">
        <v>44827</v>
      </c>
      <c r="B1918" s="116">
        <v>554.9</v>
      </c>
      <c r="C1918" s="116">
        <v>539.35</v>
      </c>
      <c r="D1918" s="116">
        <v>533.04999999999995</v>
      </c>
      <c r="E1918" s="116">
        <v>533.04999999999995</v>
      </c>
      <c r="F1918" s="116">
        <v>539.35</v>
      </c>
      <c r="G1918">
        <v>567072</v>
      </c>
      <c r="H1918" s="116"/>
      <c r="I1918" s="116"/>
      <c r="L1918" s="170">
        <v>44827</v>
      </c>
      <c r="M1918" s="116">
        <v>539.35</v>
      </c>
      <c r="N1918" s="116">
        <v>555</v>
      </c>
      <c r="O1918" s="116">
        <v>535</v>
      </c>
      <c r="P1918" s="116">
        <v>535</v>
      </c>
      <c r="Q1918" s="116">
        <v>539.35</v>
      </c>
      <c r="R1918">
        <v>17014661</v>
      </c>
    </row>
    <row r="1919" spans="1:18" x14ac:dyDescent="0.25">
      <c r="A1919" s="170">
        <v>44830</v>
      </c>
      <c r="B1919" s="116">
        <v>545</v>
      </c>
      <c r="C1919" s="116">
        <v>511.8</v>
      </c>
      <c r="D1919" s="116">
        <v>499.05</v>
      </c>
      <c r="E1919" s="116">
        <v>536.04999999999995</v>
      </c>
      <c r="F1919" s="116">
        <v>511.8</v>
      </c>
      <c r="G1919">
        <v>611951</v>
      </c>
      <c r="H1919" s="116"/>
      <c r="I1919" s="116"/>
      <c r="L1919" s="170">
        <v>44830</v>
      </c>
      <c r="M1919" s="116">
        <v>511.2</v>
      </c>
      <c r="N1919" s="116">
        <v>544</v>
      </c>
      <c r="O1919" s="116">
        <v>499.1</v>
      </c>
      <c r="P1919" s="116">
        <v>537</v>
      </c>
      <c r="Q1919" s="116">
        <v>511.2</v>
      </c>
      <c r="R1919">
        <v>17756139</v>
      </c>
    </row>
    <row r="1920" spans="1:18" x14ac:dyDescent="0.25">
      <c r="A1920" s="170">
        <v>44831</v>
      </c>
      <c r="B1920" s="116">
        <v>523.75</v>
      </c>
      <c r="C1920" s="116">
        <v>504.75</v>
      </c>
      <c r="D1920" s="116">
        <v>474.1</v>
      </c>
      <c r="E1920" s="116">
        <v>506.7</v>
      </c>
      <c r="F1920" s="116">
        <v>504.75</v>
      </c>
      <c r="G1920">
        <v>920547</v>
      </c>
      <c r="H1920" s="116"/>
      <c r="I1920" s="116"/>
      <c r="L1920" s="170">
        <v>44831</v>
      </c>
      <c r="M1920" s="116">
        <v>504.35</v>
      </c>
      <c r="N1920" s="116">
        <v>524</v>
      </c>
      <c r="O1920" s="116">
        <v>474</v>
      </c>
      <c r="P1920" s="116">
        <v>507.95</v>
      </c>
      <c r="Q1920" s="116">
        <v>504.35</v>
      </c>
      <c r="R1920">
        <v>29131156</v>
      </c>
    </row>
    <row r="1921" spans="1:18" x14ac:dyDescent="0.25">
      <c r="A1921" s="170">
        <v>44832</v>
      </c>
      <c r="B1921" s="116">
        <v>514</v>
      </c>
      <c r="C1921" s="116">
        <v>500.2</v>
      </c>
      <c r="D1921" s="116">
        <v>491.15</v>
      </c>
      <c r="E1921" s="116">
        <v>494.8</v>
      </c>
      <c r="F1921" s="116">
        <v>500.2</v>
      </c>
      <c r="G1921">
        <v>529389</v>
      </c>
      <c r="H1921" s="116"/>
      <c r="I1921" s="116"/>
      <c r="L1921" s="170">
        <v>44832</v>
      </c>
      <c r="M1921" s="116">
        <v>500.05</v>
      </c>
      <c r="N1921" s="116">
        <v>514.35</v>
      </c>
      <c r="O1921" s="116">
        <v>491.05</v>
      </c>
      <c r="P1921" s="116">
        <v>495</v>
      </c>
      <c r="Q1921" s="116">
        <v>500.05</v>
      </c>
      <c r="R1921">
        <v>12029150</v>
      </c>
    </row>
    <row r="1922" spans="1:18" x14ac:dyDescent="0.25">
      <c r="A1922" s="170">
        <v>44833</v>
      </c>
      <c r="B1922" s="116">
        <v>518.6</v>
      </c>
      <c r="C1922" s="116">
        <v>506.55</v>
      </c>
      <c r="D1922" s="116">
        <v>495.2</v>
      </c>
      <c r="E1922" s="116">
        <v>508.5</v>
      </c>
      <c r="F1922" s="116">
        <v>506.55</v>
      </c>
      <c r="G1922">
        <v>463049</v>
      </c>
      <c r="H1922" s="116"/>
      <c r="I1922" s="116"/>
      <c r="L1922" s="170">
        <v>44833</v>
      </c>
      <c r="M1922" s="116">
        <v>506.35</v>
      </c>
      <c r="N1922" s="116">
        <v>519</v>
      </c>
      <c r="O1922" s="116">
        <v>495.2</v>
      </c>
      <c r="P1922" s="116">
        <v>509.6</v>
      </c>
      <c r="Q1922" s="116">
        <v>506.35</v>
      </c>
      <c r="R1922">
        <v>11297808</v>
      </c>
    </row>
    <row r="1923" spans="1:18" x14ac:dyDescent="0.25">
      <c r="A1923" s="170">
        <v>44834</v>
      </c>
      <c r="B1923" s="116">
        <v>523</v>
      </c>
      <c r="C1923" s="116">
        <v>515.45000000000005</v>
      </c>
      <c r="D1923" s="116">
        <v>501.15</v>
      </c>
      <c r="E1923" s="116">
        <v>505.65</v>
      </c>
      <c r="F1923" s="116">
        <v>515.45000000000005</v>
      </c>
      <c r="G1923">
        <v>524184</v>
      </c>
      <c r="H1923" s="116"/>
      <c r="I1923" s="116"/>
      <c r="L1923" s="170">
        <v>44834</v>
      </c>
      <c r="M1923" s="116">
        <v>515.6</v>
      </c>
      <c r="N1923" s="116">
        <v>523.15</v>
      </c>
      <c r="O1923" s="116">
        <v>501</v>
      </c>
      <c r="P1923" s="116">
        <v>507</v>
      </c>
      <c r="Q1923" s="116">
        <v>515.6</v>
      </c>
      <c r="R1923">
        <v>11027478</v>
      </c>
    </row>
    <row r="1924" spans="1:18" x14ac:dyDescent="0.25">
      <c r="A1924" s="170">
        <v>44837</v>
      </c>
      <c r="B1924" s="116">
        <v>519.9</v>
      </c>
      <c r="C1924" s="116">
        <v>488.55</v>
      </c>
      <c r="D1924" s="116">
        <v>471.6</v>
      </c>
      <c r="E1924" s="116">
        <v>515</v>
      </c>
      <c r="F1924" s="116">
        <v>488.55</v>
      </c>
      <c r="G1924">
        <v>667007</v>
      </c>
      <c r="H1924" s="116"/>
      <c r="I1924" s="116"/>
      <c r="L1924" s="170">
        <v>44837</v>
      </c>
      <c r="M1924" s="116">
        <v>488.65</v>
      </c>
      <c r="N1924" s="116">
        <v>519.95000000000005</v>
      </c>
      <c r="O1924" s="116">
        <v>471.05</v>
      </c>
      <c r="P1924" s="116">
        <v>516.1</v>
      </c>
      <c r="Q1924" s="116">
        <v>488.65</v>
      </c>
      <c r="R1924">
        <v>14296197</v>
      </c>
    </row>
    <row r="1925" spans="1:18" x14ac:dyDescent="0.25">
      <c r="A1925" s="170">
        <v>44838</v>
      </c>
      <c r="B1925" s="116">
        <v>506.55</v>
      </c>
      <c r="C1925" s="116">
        <v>491.95</v>
      </c>
      <c r="D1925" s="116">
        <v>482.95</v>
      </c>
      <c r="E1925" s="116">
        <v>502</v>
      </c>
      <c r="F1925" s="116">
        <v>491.95</v>
      </c>
      <c r="G1925">
        <v>388681</v>
      </c>
      <c r="H1925" s="116"/>
      <c r="I1925" s="116"/>
      <c r="L1925" s="170">
        <v>44838</v>
      </c>
      <c r="M1925" s="116">
        <v>492.2</v>
      </c>
      <c r="N1925" s="116">
        <v>506.4</v>
      </c>
      <c r="O1925" s="116">
        <v>482.9</v>
      </c>
      <c r="P1925" s="116">
        <v>502.4</v>
      </c>
      <c r="Q1925" s="116">
        <v>492.2</v>
      </c>
      <c r="R1925">
        <v>12515966</v>
      </c>
    </row>
    <row r="1926" spans="1:18" x14ac:dyDescent="0.25">
      <c r="A1926" s="170">
        <v>44840</v>
      </c>
      <c r="B1926" s="116">
        <v>513.79999999999995</v>
      </c>
      <c r="C1926" s="116">
        <v>506</v>
      </c>
      <c r="D1926" s="116">
        <v>496</v>
      </c>
      <c r="E1926" s="116">
        <v>496</v>
      </c>
      <c r="F1926" s="116">
        <v>506</v>
      </c>
      <c r="G1926">
        <v>302181</v>
      </c>
      <c r="H1926" s="116"/>
      <c r="I1926" s="116"/>
      <c r="L1926" s="170">
        <v>44840</v>
      </c>
      <c r="M1926" s="116">
        <v>506.9</v>
      </c>
      <c r="N1926" s="116">
        <v>513.79999999999995</v>
      </c>
      <c r="O1926" s="116">
        <v>496.15</v>
      </c>
      <c r="P1926" s="116">
        <v>497.9</v>
      </c>
      <c r="Q1926" s="116">
        <v>506.9</v>
      </c>
      <c r="R1926">
        <v>9447220</v>
      </c>
    </row>
    <row r="1927" spans="1:18" x14ac:dyDescent="0.25">
      <c r="A1927" s="170">
        <v>44841</v>
      </c>
      <c r="B1927" s="116">
        <v>526.79999999999995</v>
      </c>
      <c r="C1927" s="116">
        <v>522.4</v>
      </c>
      <c r="D1927" s="116">
        <v>500.05</v>
      </c>
      <c r="E1927" s="116">
        <v>509.65</v>
      </c>
      <c r="F1927" s="116">
        <v>522.4</v>
      </c>
      <c r="G1927">
        <v>194136</v>
      </c>
      <c r="H1927" s="116"/>
      <c r="I1927" s="116"/>
      <c r="L1927" s="170">
        <v>44841</v>
      </c>
      <c r="M1927" s="116">
        <v>521.79999999999995</v>
      </c>
      <c r="N1927" s="116">
        <v>527</v>
      </c>
      <c r="O1927" s="116">
        <v>499.8</v>
      </c>
      <c r="P1927" s="116">
        <v>506.8</v>
      </c>
      <c r="Q1927" s="116">
        <v>521.79999999999995</v>
      </c>
      <c r="R1927">
        <v>9384553</v>
      </c>
    </row>
    <row r="1928" spans="1:18" x14ac:dyDescent="0.25">
      <c r="A1928" s="170">
        <v>44844</v>
      </c>
      <c r="B1928" s="116">
        <v>536</v>
      </c>
      <c r="C1928" s="116">
        <v>522.5</v>
      </c>
      <c r="D1928" s="116">
        <v>515.29999999999995</v>
      </c>
      <c r="E1928" s="116">
        <v>517</v>
      </c>
      <c r="F1928" s="116">
        <v>522.5</v>
      </c>
      <c r="G1928">
        <v>556103</v>
      </c>
      <c r="H1928" s="116"/>
      <c r="I1928" s="116"/>
      <c r="L1928" s="170">
        <v>44844</v>
      </c>
      <c r="M1928" s="116">
        <v>522.65</v>
      </c>
      <c r="N1928" s="116">
        <v>537.95000000000005</v>
      </c>
      <c r="O1928" s="116">
        <v>515.35</v>
      </c>
      <c r="P1928" s="116">
        <v>517</v>
      </c>
      <c r="Q1928" s="116">
        <v>522.65</v>
      </c>
      <c r="R1928">
        <v>12806265</v>
      </c>
    </row>
    <row r="1929" spans="1:18" x14ac:dyDescent="0.25">
      <c r="A1929" s="170">
        <v>44845</v>
      </c>
      <c r="B1929" s="116">
        <v>526.25</v>
      </c>
      <c r="C1929" s="116">
        <v>500.25</v>
      </c>
      <c r="D1929" s="116">
        <v>498.5</v>
      </c>
      <c r="E1929" s="116">
        <v>525.70000000000005</v>
      </c>
      <c r="F1929" s="116">
        <v>500.25</v>
      </c>
      <c r="G1929">
        <v>1005499</v>
      </c>
      <c r="H1929" s="116"/>
      <c r="I1929" s="116"/>
      <c r="L1929" s="170">
        <v>44845</v>
      </c>
      <c r="M1929" s="116">
        <v>500.2</v>
      </c>
      <c r="N1929" s="116">
        <v>526.6</v>
      </c>
      <c r="O1929" s="116">
        <v>498.3</v>
      </c>
      <c r="P1929" s="116">
        <v>525</v>
      </c>
      <c r="Q1929" s="116">
        <v>500.2</v>
      </c>
      <c r="R1929">
        <v>7659702</v>
      </c>
    </row>
    <row r="1930" spans="1:18" x14ac:dyDescent="0.25">
      <c r="A1930" s="170">
        <v>44846</v>
      </c>
      <c r="B1930" s="116">
        <v>507.6</v>
      </c>
      <c r="C1930" s="116">
        <v>505.35</v>
      </c>
      <c r="D1930" s="116">
        <v>484.25</v>
      </c>
      <c r="E1930" s="116">
        <v>501.6</v>
      </c>
      <c r="F1930" s="116">
        <v>505.35</v>
      </c>
      <c r="G1930">
        <v>431599</v>
      </c>
      <c r="H1930" s="116"/>
      <c r="I1930" s="116"/>
      <c r="L1930" s="170">
        <v>44846</v>
      </c>
      <c r="M1930" s="116">
        <v>505.45</v>
      </c>
      <c r="N1930" s="116">
        <v>507.45</v>
      </c>
      <c r="O1930" s="116">
        <v>484.2</v>
      </c>
      <c r="P1930" s="116">
        <v>502.75</v>
      </c>
      <c r="Q1930" s="116">
        <v>505.45</v>
      </c>
      <c r="R1930">
        <v>11786907</v>
      </c>
    </row>
    <row r="1931" spans="1:18" x14ac:dyDescent="0.25">
      <c r="A1931" s="170">
        <v>44847</v>
      </c>
      <c r="B1931" s="116">
        <v>505.4</v>
      </c>
      <c r="C1931" s="116">
        <v>497.5</v>
      </c>
      <c r="D1931" s="116">
        <v>491.4</v>
      </c>
      <c r="E1931" s="116">
        <v>501.85</v>
      </c>
      <c r="F1931" s="116">
        <v>497.5</v>
      </c>
      <c r="G1931">
        <v>126112</v>
      </c>
      <c r="H1931" s="116"/>
      <c r="I1931" s="116"/>
      <c r="L1931" s="170">
        <v>44847</v>
      </c>
      <c r="M1931" s="116">
        <v>496.85</v>
      </c>
      <c r="N1931" s="116">
        <v>505.4</v>
      </c>
      <c r="O1931" s="116">
        <v>491.5</v>
      </c>
      <c r="P1931" s="116">
        <v>505.4</v>
      </c>
      <c r="Q1931" s="116">
        <v>496.85</v>
      </c>
      <c r="R1931">
        <v>6212954</v>
      </c>
    </row>
    <row r="1932" spans="1:18" x14ac:dyDescent="0.25">
      <c r="A1932" s="170">
        <v>44848</v>
      </c>
      <c r="B1932" s="116">
        <v>512.29999999999995</v>
      </c>
      <c r="C1932" s="116">
        <v>501.75</v>
      </c>
      <c r="D1932" s="116">
        <v>497.75</v>
      </c>
      <c r="E1932" s="116">
        <v>506.55</v>
      </c>
      <c r="F1932" s="116">
        <v>501.75</v>
      </c>
      <c r="G1932">
        <v>399015</v>
      </c>
      <c r="H1932" s="116"/>
      <c r="I1932" s="116"/>
      <c r="L1932" s="170">
        <v>44848</v>
      </c>
      <c r="M1932" s="116">
        <v>501.85</v>
      </c>
      <c r="N1932" s="116">
        <v>512</v>
      </c>
      <c r="O1932" s="116">
        <v>497.5</v>
      </c>
      <c r="P1932" s="116">
        <v>508</v>
      </c>
      <c r="Q1932" s="116">
        <v>501.85</v>
      </c>
      <c r="R1932">
        <v>6337662</v>
      </c>
    </row>
    <row r="1933" spans="1:18" x14ac:dyDescent="0.25">
      <c r="A1933" s="170">
        <v>44851</v>
      </c>
      <c r="B1933" s="116">
        <v>522.75</v>
      </c>
      <c r="C1933" s="116">
        <v>520.79999999999995</v>
      </c>
      <c r="D1933" s="116">
        <v>496.05</v>
      </c>
      <c r="E1933" s="116">
        <v>496.05</v>
      </c>
      <c r="F1933" s="116">
        <v>520.79999999999995</v>
      </c>
      <c r="G1933">
        <v>1050773</v>
      </c>
      <c r="H1933" s="116"/>
      <c r="I1933" s="116"/>
      <c r="L1933" s="170">
        <v>44851</v>
      </c>
      <c r="M1933" s="116">
        <v>520.54999999999995</v>
      </c>
      <c r="N1933" s="116">
        <v>522.70000000000005</v>
      </c>
      <c r="O1933" s="116">
        <v>497.45</v>
      </c>
      <c r="P1933" s="116">
        <v>499</v>
      </c>
      <c r="Q1933" s="116">
        <v>520.54999999999995</v>
      </c>
      <c r="R1933">
        <v>9626670</v>
      </c>
    </row>
    <row r="1934" spans="1:18" x14ac:dyDescent="0.25">
      <c r="A1934" s="170">
        <v>44852</v>
      </c>
      <c r="B1934" s="116">
        <v>524.70000000000005</v>
      </c>
      <c r="C1934" s="116">
        <v>507.5</v>
      </c>
      <c r="D1934" s="116">
        <v>505.6</v>
      </c>
      <c r="E1934" s="116">
        <v>523.04999999999995</v>
      </c>
      <c r="F1934" s="116">
        <v>507.5</v>
      </c>
      <c r="G1934">
        <v>376826</v>
      </c>
      <c r="H1934" s="116"/>
      <c r="I1934" s="116"/>
      <c r="L1934" s="170">
        <v>44852</v>
      </c>
      <c r="M1934" s="116">
        <v>507.85</v>
      </c>
      <c r="N1934" s="116">
        <v>524.20000000000005</v>
      </c>
      <c r="O1934" s="116">
        <v>506.05</v>
      </c>
      <c r="P1934" s="116">
        <v>523</v>
      </c>
      <c r="Q1934" s="116">
        <v>507.85</v>
      </c>
      <c r="R1934">
        <v>10116195</v>
      </c>
    </row>
    <row r="1935" spans="1:18" x14ac:dyDescent="0.25">
      <c r="A1935" s="170">
        <v>44853</v>
      </c>
      <c r="B1935" s="116">
        <v>519.1</v>
      </c>
      <c r="C1935" s="116">
        <v>510.55</v>
      </c>
      <c r="D1935" s="116">
        <v>506.75</v>
      </c>
      <c r="E1935" s="116">
        <v>512.85</v>
      </c>
      <c r="F1935" s="116">
        <v>510.55</v>
      </c>
      <c r="G1935">
        <v>220448</v>
      </c>
      <c r="H1935" s="116"/>
      <c r="I1935" s="116"/>
      <c r="L1935" s="170">
        <v>44853</v>
      </c>
      <c r="M1935" s="116">
        <v>510.7</v>
      </c>
      <c r="N1935" s="116">
        <v>519</v>
      </c>
      <c r="O1935" s="116">
        <v>506.7</v>
      </c>
      <c r="P1935" s="116">
        <v>511</v>
      </c>
      <c r="Q1935" s="116">
        <v>510.7</v>
      </c>
      <c r="R1935">
        <v>6646701</v>
      </c>
    </row>
    <row r="1936" spans="1:18" x14ac:dyDescent="0.25">
      <c r="A1936" s="170">
        <v>44854</v>
      </c>
      <c r="B1936" s="116">
        <v>519</v>
      </c>
      <c r="C1936" s="116">
        <v>517.54999999999995</v>
      </c>
      <c r="D1936" s="116">
        <v>506.8</v>
      </c>
      <c r="E1936" s="116">
        <v>509.5</v>
      </c>
      <c r="F1936" s="116">
        <v>517.54999999999995</v>
      </c>
      <c r="G1936">
        <v>149055</v>
      </c>
      <c r="H1936" s="116"/>
      <c r="I1936" s="116"/>
      <c r="L1936" s="170">
        <v>44854</v>
      </c>
      <c r="M1936" s="116">
        <v>517.70000000000005</v>
      </c>
      <c r="N1936" s="116">
        <v>519</v>
      </c>
      <c r="O1936" s="116">
        <v>507</v>
      </c>
      <c r="P1936" s="116">
        <v>509</v>
      </c>
      <c r="Q1936" s="116">
        <v>517.70000000000005</v>
      </c>
      <c r="R1936">
        <v>5223412</v>
      </c>
    </row>
    <row r="1937" spans="1:18" x14ac:dyDescent="0.25">
      <c r="A1937" s="170">
        <v>44855</v>
      </c>
      <c r="B1937" s="116">
        <v>522.79999999999995</v>
      </c>
      <c r="C1937" s="116">
        <v>512.25</v>
      </c>
      <c r="D1937" s="116">
        <v>504</v>
      </c>
      <c r="E1937" s="116">
        <v>517.04999999999995</v>
      </c>
      <c r="F1937" s="116">
        <v>512.25</v>
      </c>
      <c r="G1937">
        <v>388246</v>
      </c>
      <c r="H1937" s="116"/>
      <c r="I1937" s="116"/>
      <c r="L1937" s="170">
        <v>44855</v>
      </c>
      <c r="M1937" s="116">
        <v>512.6</v>
      </c>
      <c r="N1937" s="116">
        <v>522.9</v>
      </c>
      <c r="O1937" s="116">
        <v>503.8</v>
      </c>
      <c r="P1937" s="116">
        <v>518</v>
      </c>
      <c r="Q1937" s="116">
        <v>512.6</v>
      </c>
      <c r="R1937">
        <v>9693780</v>
      </c>
    </row>
    <row r="1938" spans="1:18" x14ac:dyDescent="0.25">
      <c r="A1938" s="170">
        <v>44858</v>
      </c>
      <c r="B1938" s="116">
        <v>521.35</v>
      </c>
      <c r="C1938" s="116">
        <v>516.95000000000005</v>
      </c>
      <c r="D1938" s="116">
        <v>515.79999999999995</v>
      </c>
      <c r="E1938" s="116">
        <v>515.79999999999995</v>
      </c>
      <c r="F1938" s="116">
        <v>516.95000000000005</v>
      </c>
      <c r="G1938">
        <v>35269</v>
      </c>
      <c r="H1938" s="116"/>
      <c r="I1938" s="116"/>
      <c r="L1938" s="170">
        <v>44858</v>
      </c>
      <c r="M1938" s="116">
        <v>516.9</v>
      </c>
      <c r="N1938" s="116">
        <v>521.04999999999995</v>
      </c>
      <c r="O1938" s="116">
        <v>516</v>
      </c>
      <c r="P1938" s="116">
        <v>518</v>
      </c>
      <c r="Q1938" s="116">
        <v>516.9</v>
      </c>
      <c r="R1938">
        <v>1415497</v>
      </c>
    </row>
    <row r="1939" spans="1:18" x14ac:dyDescent="0.25">
      <c r="A1939" s="170">
        <v>44859</v>
      </c>
      <c r="B1939" s="116">
        <v>521.70000000000005</v>
      </c>
      <c r="C1939" s="116">
        <v>513</v>
      </c>
      <c r="D1939" s="116">
        <v>511.7</v>
      </c>
      <c r="E1939" s="116">
        <v>514.85</v>
      </c>
      <c r="F1939" s="116">
        <v>513</v>
      </c>
      <c r="G1939">
        <v>747324</v>
      </c>
      <c r="H1939" s="116"/>
      <c r="I1939" s="116"/>
      <c r="L1939" s="170">
        <v>44859</v>
      </c>
      <c r="M1939" s="116">
        <v>513.1</v>
      </c>
      <c r="N1939" s="116">
        <v>521.79999999999995</v>
      </c>
      <c r="O1939" s="116">
        <v>511.65</v>
      </c>
      <c r="P1939" s="116">
        <v>516.20000000000005</v>
      </c>
      <c r="Q1939" s="116">
        <v>513.1</v>
      </c>
      <c r="R1939">
        <v>5007924</v>
      </c>
    </row>
    <row r="1940" spans="1:18" x14ac:dyDescent="0.25">
      <c r="A1940" s="170">
        <v>44861</v>
      </c>
      <c r="B1940" s="116">
        <v>532.5</v>
      </c>
      <c r="C1940" s="116">
        <v>527.70000000000005</v>
      </c>
      <c r="D1940" s="116">
        <v>513.79999999999995</v>
      </c>
      <c r="E1940" s="116">
        <v>514.5</v>
      </c>
      <c r="F1940" s="116">
        <v>527.70000000000005</v>
      </c>
      <c r="G1940">
        <v>253742</v>
      </c>
      <c r="H1940" s="116"/>
      <c r="I1940" s="116"/>
      <c r="L1940" s="170">
        <v>44861</v>
      </c>
      <c r="M1940" s="116">
        <v>527.6</v>
      </c>
      <c r="N1940" s="116">
        <v>532.6</v>
      </c>
      <c r="O1940" s="116">
        <v>513.25</v>
      </c>
      <c r="P1940" s="116">
        <v>515.35</v>
      </c>
      <c r="Q1940" s="116">
        <v>527.6</v>
      </c>
      <c r="R1940">
        <v>10067299</v>
      </c>
    </row>
    <row r="1941" spans="1:18" x14ac:dyDescent="0.25">
      <c r="A1941" s="170">
        <v>44862</v>
      </c>
      <c r="B1941" s="116">
        <v>530.25</v>
      </c>
      <c r="C1941" s="116">
        <v>519.95000000000005</v>
      </c>
      <c r="D1941" s="116">
        <v>515.79999999999995</v>
      </c>
      <c r="E1941" s="116">
        <v>529.1</v>
      </c>
      <c r="F1941" s="116">
        <v>519.95000000000005</v>
      </c>
      <c r="G1941">
        <v>318019</v>
      </c>
      <c r="H1941" s="116"/>
      <c r="I1941" s="116"/>
      <c r="L1941" s="170">
        <v>44862</v>
      </c>
      <c r="M1941" s="116">
        <v>520.1</v>
      </c>
      <c r="N1941" s="116">
        <v>530.20000000000005</v>
      </c>
      <c r="O1941" s="116">
        <v>515.65</v>
      </c>
      <c r="P1941" s="116">
        <v>530.20000000000005</v>
      </c>
      <c r="Q1941" s="116">
        <v>520.1</v>
      </c>
      <c r="R1941">
        <v>6679582</v>
      </c>
    </row>
    <row r="1942" spans="1:18" x14ac:dyDescent="0.25">
      <c r="A1942" s="170">
        <v>44865</v>
      </c>
      <c r="B1942" s="116">
        <v>538.5</v>
      </c>
      <c r="C1942" s="116">
        <v>533.1</v>
      </c>
      <c r="D1942" s="116">
        <v>521.25</v>
      </c>
      <c r="E1942" s="116">
        <v>521.4</v>
      </c>
      <c r="F1942" s="116">
        <v>533.1</v>
      </c>
      <c r="G1942">
        <v>318853</v>
      </c>
      <c r="H1942" s="116"/>
      <c r="I1942" s="116"/>
      <c r="L1942" s="170">
        <v>44865</v>
      </c>
      <c r="M1942" s="116">
        <v>532.95000000000005</v>
      </c>
      <c r="N1942" s="116">
        <v>538.6</v>
      </c>
      <c r="O1942" s="116">
        <v>521.35</v>
      </c>
      <c r="P1942" s="116">
        <v>522.45000000000005</v>
      </c>
      <c r="Q1942" s="116">
        <v>532.95000000000005</v>
      </c>
      <c r="R1942">
        <v>8601980</v>
      </c>
    </row>
    <row r="1943" spans="1:18" x14ac:dyDescent="0.25">
      <c r="A1943" s="170">
        <v>44866</v>
      </c>
      <c r="B1943" s="116">
        <v>545.5</v>
      </c>
      <c r="C1943" s="116">
        <v>543.9</v>
      </c>
      <c r="D1943" s="116">
        <v>533.1</v>
      </c>
      <c r="E1943" s="116">
        <v>533.1</v>
      </c>
      <c r="F1943" s="116">
        <v>543.9</v>
      </c>
      <c r="G1943">
        <v>635730</v>
      </c>
      <c r="H1943" s="116"/>
      <c r="I1943" s="116"/>
      <c r="L1943" s="170">
        <v>44866</v>
      </c>
      <c r="M1943" s="116">
        <v>544.04999999999995</v>
      </c>
      <c r="N1943" s="116">
        <v>545.6</v>
      </c>
      <c r="O1943" s="116">
        <v>533.75</v>
      </c>
      <c r="P1943" s="116">
        <v>535</v>
      </c>
      <c r="Q1943" s="116">
        <v>544.04999999999995</v>
      </c>
      <c r="R1943">
        <v>8669246</v>
      </c>
    </row>
    <row r="1944" spans="1:18" x14ac:dyDescent="0.25">
      <c r="A1944" s="170">
        <v>44867</v>
      </c>
      <c r="B1944" s="116">
        <v>549.1</v>
      </c>
      <c r="C1944" s="116">
        <v>545.25</v>
      </c>
      <c r="D1944" s="116">
        <v>539.6</v>
      </c>
      <c r="E1944" s="116">
        <v>545.25</v>
      </c>
      <c r="F1944" s="116">
        <v>545.25</v>
      </c>
      <c r="G1944">
        <v>324802</v>
      </c>
      <c r="H1944" s="116"/>
      <c r="I1944" s="116"/>
      <c r="L1944" s="170">
        <v>44867</v>
      </c>
      <c r="M1944" s="116">
        <v>545</v>
      </c>
      <c r="N1944" s="116">
        <v>549</v>
      </c>
      <c r="O1944" s="116">
        <v>539.29999999999995</v>
      </c>
      <c r="P1944" s="116">
        <v>546.75</v>
      </c>
      <c r="Q1944" s="116">
        <v>545</v>
      </c>
      <c r="R1944">
        <v>7740170</v>
      </c>
    </row>
    <row r="1945" spans="1:18" x14ac:dyDescent="0.25">
      <c r="A1945" s="170">
        <v>44868</v>
      </c>
      <c r="B1945" s="116">
        <v>547.45000000000005</v>
      </c>
      <c r="C1945" s="116">
        <v>539.1</v>
      </c>
      <c r="D1945" s="116">
        <v>538.25</v>
      </c>
      <c r="E1945" s="116">
        <v>539.25</v>
      </c>
      <c r="F1945" s="116">
        <v>539.1</v>
      </c>
      <c r="G1945">
        <v>211571</v>
      </c>
      <c r="H1945" s="116"/>
      <c r="I1945" s="116"/>
      <c r="L1945" s="170">
        <v>44868</v>
      </c>
      <c r="M1945" s="116">
        <v>539.5</v>
      </c>
      <c r="N1945" s="116">
        <v>547.5</v>
      </c>
      <c r="O1945" s="116">
        <v>538.5</v>
      </c>
      <c r="P1945" s="116">
        <v>540</v>
      </c>
      <c r="Q1945" s="116">
        <v>539.5</v>
      </c>
      <c r="R1945">
        <v>3945015</v>
      </c>
    </row>
    <row r="1946" spans="1:18" x14ac:dyDescent="0.25">
      <c r="A1946" s="170">
        <v>44869</v>
      </c>
      <c r="B1946" s="116">
        <v>560.45000000000005</v>
      </c>
      <c r="C1946" s="116">
        <v>558.5</v>
      </c>
      <c r="D1946" s="116">
        <v>538.9</v>
      </c>
      <c r="E1946" s="116">
        <v>539.25</v>
      </c>
      <c r="F1946" s="116">
        <v>558.5</v>
      </c>
      <c r="G1946">
        <v>269006</v>
      </c>
      <c r="H1946" s="116"/>
      <c r="I1946" s="116"/>
      <c r="L1946" s="170">
        <v>44869</v>
      </c>
      <c r="M1946" s="116">
        <v>558.6</v>
      </c>
      <c r="N1946" s="116">
        <v>560.29999999999995</v>
      </c>
      <c r="O1946" s="116">
        <v>538.85</v>
      </c>
      <c r="P1946" s="116">
        <v>540.9</v>
      </c>
      <c r="Q1946" s="116">
        <v>558.6</v>
      </c>
      <c r="R1946">
        <v>8028860</v>
      </c>
    </row>
    <row r="1947" spans="1:18" x14ac:dyDescent="0.25">
      <c r="A1947" s="170">
        <v>44872</v>
      </c>
      <c r="B1947" s="116">
        <v>572.95000000000005</v>
      </c>
      <c r="C1947" s="116">
        <v>567.65</v>
      </c>
      <c r="D1947" s="116">
        <v>553.79999999999995</v>
      </c>
      <c r="E1947" s="116">
        <v>558.6</v>
      </c>
      <c r="F1947" s="116">
        <v>567.65</v>
      </c>
      <c r="G1947">
        <v>380818</v>
      </c>
      <c r="H1947" s="116"/>
      <c r="I1947" s="116"/>
      <c r="L1947" s="170">
        <v>44872</v>
      </c>
      <c r="M1947" s="116">
        <v>568.1</v>
      </c>
      <c r="N1947" s="116">
        <v>573</v>
      </c>
      <c r="O1947" s="116">
        <v>553.15</v>
      </c>
      <c r="P1947" s="116">
        <v>561</v>
      </c>
      <c r="Q1947" s="116">
        <v>568.1</v>
      </c>
      <c r="R1947">
        <v>9287441</v>
      </c>
    </row>
    <row r="1948" spans="1:18" x14ac:dyDescent="0.25">
      <c r="A1948" s="170">
        <v>44874</v>
      </c>
      <c r="B1948" s="116">
        <v>580.35</v>
      </c>
      <c r="C1948" s="116">
        <v>564.29999999999995</v>
      </c>
      <c r="D1948" s="116">
        <v>561.04999999999995</v>
      </c>
      <c r="E1948" s="116">
        <v>568.1</v>
      </c>
      <c r="F1948" s="116">
        <v>564.29999999999995</v>
      </c>
      <c r="G1948">
        <v>228444</v>
      </c>
      <c r="H1948" s="116"/>
      <c r="I1948" s="116"/>
      <c r="L1948" s="170">
        <v>44874</v>
      </c>
      <c r="M1948" s="116">
        <v>564.5</v>
      </c>
      <c r="N1948" s="116">
        <v>580.70000000000005</v>
      </c>
      <c r="O1948" s="116">
        <v>561.20000000000005</v>
      </c>
      <c r="P1948" s="116">
        <v>570</v>
      </c>
      <c r="Q1948" s="116">
        <v>564.5</v>
      </c>
      <c r="R1948">
        <v>10307830</v>
      </c>
    </row>
    <row r="1949" spans="1:18" x14ac:dyDescent="0.25">
      <c r="A1949" s="170">
        <v>44875</v>
      </c>
      <c r="B1949" s="116">
        <v>568</v>
      </c>
      <c r="C1949" s="116">
        <v>558.15</v>
      </c>
      <c r="D1949" s="116">
        <v>551.5</v>
      </c>
      <c r="E1949" s="116">
        <v>561.54999999999995</v>
      </c>
      <c r="F1949" s="116">
        <v>558.15</v>
      </c>
      <c r="G1949">
        <v>222367</v>
      </c>
      <c r="H1949" s="116"/>
      <c r="I1949" s="116"/>
      <c r="L1949" s="170">
        <v>44875</v>
      </c>
      <c r="M1949" s="116">
        <v>558.15</v>
      </c>
      <c r="N1949" s="116">
        <v>568.4</v>
      </c>
      <c r="O1949" s="116">
        <v>551.5</v>
      </c>
      <c r="P1949" s="116">
        <v>563</v>
      </c>
      <c r="Q1949" s="116">
        <v>558.15</v>
      </c>
      <c r="R1949">
        <v>5700059</v>
      </c>
    </row>
    <row r="1950" spans="1:18" x14ac:dyDescent="0.25">
      <c r="A1950" s="170">
        <v>44876</v>
      </c>
      <c r="B1950" s="116">
        <v>565.95000000000005</v>
      </c>
      <c r="C1950" s="116">
        <v>557.45000000000005</v>
      </c>
      <c r="D1950" s="116">
        <v>553.85</v>
      </c>
      <c r="E1950" s="116">
        <v>563.6</v>
      </c>
      <c r="F1950" s="116">
        <v>557.45000000000005</v>
      </c>
      <c r="G1950">
        <v>246716</v>
      </c>
      <c r="H1950" s="116"/>
      <c r="I1950" s="116"/>
      <c r="L1950" s="170">
        <v>44876</v>
      </c>
      <c r="M1950" s="116">
        <v>557.54999999999995</v>
      </c>
      <c r="N1950" s="116">
        <v>566.9</v>
      </c>
      <c r="O1950" s="116">
        <v>553.85</v>
      </c>
      <c r="P1950" s="116">
        <v>565</v>
      </c>
      <c r="Q1950" s="116">
        <v>557.54999999999995</v>
      </c>
      <c r="R1950">
        <v>5254274</v>
      </c>
    </row>
    <row r="1951" spans="1:18" x14ac:dyDescent="0.25">
      <c r="A1951" s="170">
        <v>44879</v>
      </c>
      <c r="B1951" s="116">
        <v>586.45000000000005</v>
      </c>
      <c r="C1951" s="116">
        <v>580</v>
      </c>
      <c r="D1951" s="116">
        <v>557.54999999999995</v>
      </c>
      <c r="E1951" s="116">
        <v>558</v>
      </c>
      <c r="F1951" s="116">
        <v>580</v>
      </c>
      <c r="G1951">
        <v>326361</v>
      </c>
      <c r="H1951" s="116"/>
      <c r="I1951" s="116"/>
      <c r="L1951" s="170">
        <v>44879</v>
      </c>
      <c r="M1951" s="116">
        <v>580.29999999999995</v>
      </c>
      <c r="N1951" s="116">
        <v>586.54999999999995</v>
      </c>
      <c r="O1951" s="116">
        <v>557.54999999999995</v>
      </c>
      <c r="P1951" s="116">
        <v>558.9</v>
      </c>
      <c r="Q1951" s="116">
        <v>580.29999999999995</v>
      </c>
      <c r="R1951">
        <v>9070550</v>
      </c>
    </row>
    <row r="1952" spans="1:18" x14ac:dyDescent="0.25">
      <c r="A1952" s="170">
        <v>44880</v>
      </c>
      <c r="B1952" s="116">
        <v>593</v>
      </c>
      <c r="C1952" s="116">
        <v>586.70000000000005</v>
      </c>
      <c r="D1952" s="116">
        <v>575.29999999999995</v>
      </c>
      <c r="E1952" s="116">
        <v>583</v>
      </c>
      <c r="F1952" s="116">
        <v>586.70000000000005</v>
      </c>
      <c r="G1952">
        <v>572430</v>
      </c>
      <c r="H1952" s="116"/>
      <c r="I1952" s="116"/>
      <c r="L1952" s="170">
        <v>44880</v>
      </c>
      <c r="M1952" s="116">
        <v>586.45000000000005</v>
      </c>
      <c r="N1952" s="116">
        <v>593</v>
      </c>
      <c r="O1952" s="116">
        <v>575.29999999999995</v>
      </c>
      <c r="P1952" s="116">
        <v>583.9</v>
      </c>
      <c r="Q1952" s="116">
        <v>586.45000000000005</v>
      </c>
      <c r="R1952">
        <v>11897606</v>
      </c>
    </row>
    <row r="1953" spans="1:18" x14ac:dyDescent="0.25">
      <c r="A1953" s="170">
        <v>44881</v>
      </c>
      <c r="B1953" s="116">
        <v>593.75</v>
      </c>
      <c r="C1953" s="116">
        <v>577.15</v>
      </c>
      <c r="D1953" s="116">
        <v>568</v>
      </c>
      <c r="E1953" s="116">
        <v>587</v>
      </c>
      <c r="F1953" s="116">
        <v>577.15</v>
      </c>
      <c r="G1953">
        <v>480810</v>
      </c>
      <c r="H1953" s="116"/>
      <c r="I1953" s="116"/>
      <c r="L1953" s="170">
        <v>44881</v>
      </c>
      <c r="M1953" s="116">
        <v>577.20000000000005</v>
      </c>
      <c r="N1953" s="116">
        <v>593.5</v>
      </c>
      <c r="O1953" s="116">
        <v>568.20000000000005</v>
      </c>
      <c r="P1953" s="116">
        <v>586.5</v>
      </c>
      <c r="Q1953" s="116">
        <v>577.20000000000005</v>
      </c>
      <c r="R1953">
        <v>8557056</v>
      </c>
    </row>
    <row r="1954" spans="1:18" x14ac:dyDescent="0.25">
      <c r="A1954" s="170">
        <v>44882</v>
      </c>
      <c r="B1954" s="116">
        <v>581.35</v>
      </c>
      <c r="C1954" s="116">
        <v>574.5</v>
      </c>
      <c r="D1954" s="116">
        <v>570.5</v>
      </c>
      <c r="E1954" s="116">
        <v>577.5</v>
      </c>
      <c r="F1954" s="116">
        <v>574.5</v>
      </c>
      <c r="G1954">
        <v>179489</v>
      </c>
      <c r="H1954" s="116"/>
      <c r="I1954" s="116"/>
      <c r="L1954" s="170">
        <v>44882</v>
      </c>
      <c r="M1954" s="116">
        <v>574.20000000000005</v>
      </c>
      <c r="N1954" s="116">
        <v>581.29999999999995</v>
      </c>
      <c r="O1954" s="116">
        <v>570.25</v>
      </c>
      <c r="P1954" s="116">
        <v>578</v>
      </c>
      <c r="Q1954" s="116">
        <v>574.20000000000005</v>
      </c>
      <c r="R1954">
        <v>3652873</v>
      </c>
    </row>
    <row r="1955" spans="1:18" x14ac:dyDescent="0.25">
      <c r="A1955" s="170">
        <v>44883</v>
      </c>
      <c r="B1955" s="116">
        <v>576</v>
      </c>
      <c r="C1955" s="116">
        <v>573.70000000000005</v>
      </c>
      <c r="D1955" s="116">
        <v>563.75</v>
      </c>
      <c r="E1955" s="116">
        <v>573.6</v>
      </c>
      <c r="F1955" s="116">
        <v>573.70000000000005</v>
      </c>
      <c r="G1955">
        <v>257846</v>
      </c>
      <c r="H1955" s="116"/>
      <c r="I1955" s="116"/>
      <c r="L1955" s="170">
        <v>44883</v>
      </c>
      <c r="M1955" s="116">
        <v>574.1</v>
      </c>
      <c r="N1955" s="116">
        <v>576</v>
      </c>
      <c r="O1955" s="116">
        <v>563.9</v>
      </c>
      <c r="P1955" s="116">
        <v>574.5</v>
      </c>
      <c r="Q1955" s="116">
        <v>574.1</v>
      </c>
      <c r="R1955">
        <v>4114267</v>
      </c>
    </row>
    <row r="1956" spans="1:18" x14ac:dyDescent="0.25">
      <c r="A1956" s="170">
        <v>44886</v>
      </c>
      <c r="B1956" s="116">
        <v>573.15</v>
      </c>
      <c r="C1956" s="116">
        <v>564.04999999999995</v>
      </c>
      <c r="D1956" s="116">
        <v>562.65</v>
      </c>
      <c r="E1956" s="116">
        <v>572</v>
      </c>
      <c r="F1956" s="116">
        <v>564.04999999999995</v>
      </c>
      <c r="G1956">
        <v>111214</v>
      </c>
      <c r="H1956" s="116"/>
      <c r="I1956" s="116"/>
      <c r="L1956" s="170">
        <v>44886</v>
      </c>
      <c r="M1956" s="116">
        <v>564.04999999999995</v>
      </c>
      <c r="N1956" s="116">
        <v>573.79999999999995</v>
      </c>
      <c r="O1956" s="116">
        <v>562.70000000000005</v>
      </c>
      <c r="P1956" s="116">
        <v>573</v>
      </c>
      <c r="Q1956" s="116">
        <v>564.04999999999995</v>
      </c>
      <c r="R1956">
        <v>3480076</v>
      </c>
    </row>
    <row r="1957" spans="1:18" x14ac:dyDescent="0.25">
      <c r="A1957" s="170">
        <v>44887</v>
      </c>
      <c r="B1957" s="116">
        <v>578.35</v>
      </c>
      <c r="C1957" s="116">
        <v>565.85</v>
      </c>
      <c r="D1957" s="116">
        <v>560.4</v>
      </c>
      <c r="E1957" s="116">
        <v>562.1</v>
      </c>
      <c r="F1957" s="116">
        <v>565.85</v>
      </c>
      <c r="G1957">
        <v>240283</v>
      </c>
      <c r="H1957" s="116"/>
      <c r="I1957" s="116"/>
      <c r="L1957" s="170">
        <v>44887</v>
      </c>
      <c r="M1957" s="116">
        <v>565.85</v>
      </c>
      <c r="N1957" s="116">
        <v>578.45000000000005</v>
      </c>
      <c r="O1957" s="116">
        <v>560.5</v>
      </c>
      <c r="P1957" s="116">
        <v>564</v>
      </c>
      <c r="Q1957" s="116">
        <v>565.85</v>
      </c>
      <c r="R1957">
        <v>7405911</v>
      </c>
    </row>
    <row r="1958" spans="1:18" x14ac:dyDescent="0.25">
      <c r="A1958" s="170">
        <v>44888</v>
      </c>
      <c r="B1958" s="116">
        <v>570.95000000000005</v>
      </c>
      <c r="C1958" s="116">
        <v>562.20000000000005</v>
      </c>
      <c r="D1958" s="116">
        <v>560.15</v>
      </c>
      <c r="E1958" s="116">
        <v>566.4</v>
      </c>
      <c r="F1958" s="116">
        <v>562.20000000000005</v>
      </c>
      <c r="G1958">
        <v>131759</v>
      </c>
      <c r="H1958" s="116"/>
      <c r="I1958" s="116"/>
      <c r="L1958" s="170">
        <v>44888</v>
      </c>
      <c r="M1958" s="116">
        <v>562.9</v>
      </c>
      <c r="N1958" s="116">
        <v>571</v>
      </c>
      <c r="O1958" s="116">
        <v>560.20000000000005</v>
      </c>
      <c r="P1958" s="116">
        <v>567.79999999999995</v>
      </c>
      <c r="Q1958" s="116">
        <v>562.9</v>
      </c>
      <c r="R1958">
        <v>2782614</v>
      </c>
    </row>
    <row r="1959" spans="1:18" x14ac:dyDescent="0.25">
      <c r="A1959" s="170">
        <v>44889</v>
      </c>
      <c r="B1959" s="116">
        <v>567.15</v>
      </c>
      <c r="C1959" s="116">
        <v>557.1</v>
      </c>
      <c r="D1959" s="116">
        <v>554.6</v>
      </c>
      <c r="E1959" s="116">
        <v>563.25</v>
      </c>
      <c r="F1959" s="116">
        <v>557.1</v>
      </c>
      <c r="G1959">
        <v>192331</v>
      </c>
      <c r="H1959" s="116"/>
      <c r="I1959" s="116"/>
      <c r="L1959" s="170">
        <v>44889</v>
      </c>
      <c r="M1959" s="116">
        <v>557.85</v>
      </c>
      <c r="N1959" s="116">
        <v>565.95000000000005</v>
      </c>
      <c r="O1959" s="116">
        <v>554.54999999999995</v>
      </c>
      <c r="P1959" s="116">
        <v>564.25</v>
      </c>
      <c r="Q1959" s="116">
        <v>557.85</v>
      </c>
      <c r="R1959">
        <v>3977412</v>
      </c>
    </row>
    <row r="1960" spans="1:18" x14ac:dyDescent="0.25">
      <c r="A1960" s="170">
        <v>44890</v>
      </c>
      <c r="B1960" s="116">
        <v>567.6</v>
      </c>
      <c r="C1960" s="116">
        <v>564.85</v>
      </c>
      <c r="D1960" s="116">
        <v>557.1</v>
      </c>
      <c r="E1960" s="116">
        <v>559.54999999999995</v>
      </c>
      <c r="F1960" s="116">
        <v>564.85</v>
      </c>
      <c r="G1960">
        <v>117173</v>
      </c>
      <c r="H1960" s="116"/>
      <c r="I1960" s="116"/>
      <c r="L1960" s="170">
        <v>44890</v>
      </c>
      <c r="M1960" s="116">
        <v>564.65</v>
      </c>
      <c r="N1960" s="116">
        <v>567.4</v>
      </c>
      <c r="O1960" s="116">
        <v>556.54999999999995</v>
      </c>
      <c r="P1960" s="116">
        <v>560.4</v>
      </c>
      <c r="Q1960" s="116">
        <v>564.65</v>
      </c>
      <c r="R1960">
        <v>4010892</v>
      </c>
    </row>
    <row r="1961" spans="1:18" x14ac:dyDescent="0.25">
      <c r="A1961" s="170">
        <v>44893</v>
      </c>
      <c r="B1961" s="116">
        <v>572.45000000000005</v>
      </c>
      <c r="C1961" s="116">
        <v>568.79999999999995</v>
      </c>
      <c r="D1961" s="116">
        <v>563.20000000000005</v>
      </c>
      <c r="E1961" s="116">
        <v>564</v>
      </c>
      <c r="F1961" s="116">
        <v>568.79999999999995</v>
      </c>
      <c r="G1961">
        <v>162793</v>
      </c>
      <c r="H1961" s="116"/>
      <c r="I1961" s="116"/>
      <c r="L1961" s="170">
        <v>44893</v>
      </c>
      <c r="M1961" s="116">
        <v>568.45000000000005</v>
      </c>
      <c r="N1961" s="116">
        <v>572.5</v>
      </c>
      <c r="O1961" s="116">
        <v>562.79999999999995</v>
      </c>
      <c r="P1961" s="116">
        <v>564</v>
      </c>
      <c r="Q1961" s="116">
        <v>568.45000000000005</v>
      </c>
      <c r="R1961">
        <v>4078114</v>
      </c>
    </row>
    <row r="1962" spans="1:18" x14ac:dyDescent="0.25">
      <c r="A1962" s="170">
        <v>44894</v>
      </c>
      <c r="B1962" s="116">
        <v>574.25</v>
      </c>
      <c r="C1962" s="116">
        <v>564.65</v>
      </c>
      <c r="D1962" s="116">
        <v>563.35</v>
      </c>
      <c r="E1962" s="116">
        <v>569.29999999999995</v>
      </c>
      <c r="F1962" s="116">
        <v>564.65</v>
      </c>
      <c r="G1962">
        <v>168866</v>
      </c>
      <c r="H1962" s="116"/>
      <c r="I1962" s="116"/>
      <c r="L1962" s="170">
        <v>44894</v>
      </c>
      <c r="M1962" s="116">
        <v>564.95000000000005</v>
      </c>
      <c r="N1962" s="116">
        <v>574.4</v>
      </c>
      <c r="O1962" s="116">
        <v>563.75</v>
      </c>
      <c r="P1962" s="116">
        <v>569.6</v>
      </c>
      <c r="Q1962" s="116">
        <v>564.95000000000005</v>
      </c>
      <c r="R1962">
        <v>3646853</v>
      </c>
    </row>
    <row r="1963" spans="1:18" x14ac:dyDescent="0.25">
      <c r="A1963" s="170">
        <v>44895</v>
      </c>
      <c r="B1963" s="116">
        <v>574</v>
      </c>
      <c r="C1963" s="116">
        <v>571.35</v>
      </c>
      <c r="D1963" s="116">
        <v>561</v>
      </c>
      <c r="E1963" s="116">
        <v>564.75</v>
      </c>
      <c r="F1963" s="116">
        <v>571.35</v>
      </c>
      <c r="G1963">
        <v>100117</v>
      </c>
      <c r="H1963" s="116"/>
      <c r="I1963" s="116"/>
      <c r="L1963" s="170">
        <v>44895</v>
      </c>
      <c r="M1963" s="116">
        <v>570.75</v>
      </c>
      <c r="N1963" s="116">
        <v>573.95000000000005</v>
      </c>
      <c r="O1963" s="116">
        <v>560.54999999999995</v>
      </c>
      <c r="P1963" s="116">
        <v>565.9</v>
      </c>
      <c r="Q1963" s="116">
        <v>570.75</v>
      </c>
      <c r="R1963">
        <v>6139270</v>
      </c>
    </row>
    <row r="1964" spans="1:18" x14ac:dyDescent="0.25">
      <c r="A1964" s="170">
        <v>44896</v>
      </c>
      <c r="B1964" s="116">
        <v>585</v>
      </c>
      <c r="C1964" s="116">
        <v>581.04999999999995</v>
      </c>
      <c r="D1964" s="116">
        <v>569.6</v>
      </c>
      <c r="E1964" s="116">
        <v>572.20000000000005</v>
      </c>
      <c r="F1964" s="116">
        <v>581.04999999999995</v>
      </c>
      <c r="G1964">
        <v>350251</v>
      </c>
      <c r="H1964" s="116"/>
      <c r="I1964" s="116"/>
      <c r="L1964" s="170">
        <v>44896</v>
      </c>
      <c r="M1964" s="116">
        <v>580.95000000000005</v>
      </c>
      <c r="N1964" s="116">
        <v>585</v>
      </c>
      <c r="O1964" s="116">
        <v>569.5</v>
      </c>
      <c r="P1964" s="116">
        <v>573.5</v>
      </c>
      <c r="Q1964" s="116">
        <v>580.95000000000005</v>
      </c>
      <c r="R1964">
        <v>8400806</v>
      </c>
    </row>
    <row r="1965" spans="1:18" x14ac:dyDescent="0.25">
      <c r="A1965" s="170">
        <v>44897</v>
      </c>
      <c r="B1965" s="116">
        <v>583.5</v>
      </c>
      <c r="C1965" s="116">
        <v>577.6</v>
      </c>
      <c r="D1965" s="116">
        <v>573.29999999999995</v>
      </c>
      <c r="E1965" s="116">
        <v>581.15</v>
      </c>
      <c r="F1965" s="116">
        <v>577.6</v>
      </c>
      <c r="G1965">
        <v>220834</v>
      </c>
      <c r="H1965" s="116"/>
      <c r="I1965" s="116"/>
      <c r="L1965" s="170">
        <v>44897</v>
      </c>
      <c r="M1965" s="116">
        <v>577.95000000000005</v>
      </c>
      <c r="N1965" s="116">
        <v>584.15</v>
      </c>
      <c r="O1965" s="116">
        <v>573.4</v>
      </c>
      <c r="P1965" s="116">
        <v>582.54999999999995</v>
      </c>
      <c r="Q1965" s="116">
        <v>577.95000000000005</v>
      </c>
      <c r="R1965">
        <v>7097523</v>
      </c>
    </row>
    <row r="1966" spans="1:18" x14ac:dyDescent="0.25">
      <c r="A1966" s="170">
        <v>44900</v>
      </c>
      <c r="B1966" s="116">
        <v>582.4</v>
      </c>
      <c r="C1966" s="116">
        <v>572.95000000000005</v>
      </c>
      <c r="D1966" s="116">
        <v>571.20000000000005</v>
      </c>
      <c r="E1966" s="116">
        <v>579.95000000000005</v>
      </c>
      <c r="F1966" s="116">
        <v>572.95000000000005</v>
      </c>
      <c r="G1966">
        <v>123193</v>
      </c>
      <c r="H1966" s="116"/>
      <c r="I1966" s="116"/>
      <c r="L1966" s="170">
        <v>44900</v>
      </c>
      <c r="M1966" s="116">
        <v>573.35</v>
      </c>
      <c r="N1966" s="116">
        <v>582.35</v>
      </c>
      <c r="O1966" s="116">
        <v>571.79999999999995</v>
      </c>
      <c r="P1966" s="116">
        <v>580.85</v>
      </c>
      <c r="Q1966" s="116">
        <v>573.35</v>
      </c>
      <c r="R1966">
        <v>5491648</v>
      </c>
    </row>
    <row r="1967" spans="1:18" x14ac:dyDescent="0.25">
      <c r="A1967" s="170">
        <v>44901</v>
      </c>
      <c r="B1967" s="116">
        <v>585.35</v>
      </c>
      <c r="C1967" s="116">
        <v>581.35</v>
      </c>
      <c r="D1967" s="116">
        <v>570.54999999999995</v>
      </c>
      <c r="E1967" s="116">
        <v>573.20000000000005</v>
      </c>
      <c r="F1967" s="116">
        <v>581.35</v>
      </c>
      <c r="G1967">
        <v>315135</v>
      </c>
      <c r="H1967" s="116"/>
      <c r="I1967" s="116"/>
      <c r="L1967" s="170">
        <v>44901</v>
      </c>
      <c r="M1967" s="116">
        <v>581</v>
      </c>
      <c r="N1967" s="116">
        <v>585</v>
      </c>
      <c r="O1967" s="116">
        <v>570.6</v>
      </c>
      <c r="P1967" s="116">
        <v>572.5</v>
      </c>
      <c r="Q1967" s="116">
        <v>581</v>
      </c>
      <c r="R1967">
        <v>6009003</v>
      </c>
    </row>
    <row r="1968" spans="1:18" x14ac:dyDescent="0.25">
      <c r="A1968" s="170">
        <v>44902</v>
      </c>
      <c r="B1968" s="116">
        <v>587.9</v>
      </c>
      <c r="C1968" s="116">
        <v>581.85</v>
      </c>
      <c r="D1968" s="116">
        <v>575.1</v>
      </c>
      <c r="E1968" s="116">
        <v>581.45000000000005</v>
      </c>
      <c r="F1968" s="116">
        <v>581.85</v>
      </c>
      <c r="G1968">
        <v>232897</v>
      </c>
      <c r="H1968" s="116"/>
      <c r="I1968" s="116"/>
      <c r="L1968" s="170">
        <v>44902</v>
      </c>
      <c r="M1968" s="116">
        <v>582</v>
      </c>
      <c r="N1968" s="116">
        <v>588.35</v>
      </c>
      <c r="O1968" s="116">
        <v>575.1</v>
      </c>
      <c r="P1968" s="116">
        <v>582.9</v>
      </c>
      <c r="Q1968" s="116">
        <v>582</v>
      </c>
      <c r="R1968">
        <v>5406859</v>
      </c>
    </row>
    <row r="1969" spans="1:18" x14ac:dyDescent="0.25">
      <c r="A1969" s="170">
        <v>44903</v>
      </c>
      <c r="B1969" s="116">
        <v>590.5</v>
      </c>
      <c r="C1969" s="116">
        <v>587.6</v>
      </c>
      <c r="D1969" s="116">
        <v>581.79999999999995</v>
      </c>
      <c r="E1969" s="116">
        <v>585</v>
      </c>
      <c r="F1969" s="116">
        <v>587.6</v>
      </c>
      <c r="G1969">
        <v>138789</v>
      </c>
      <c r="H1969" s="116"/>
      <c r="I1969" s="116"/>
      <c r="L1969" s="170">
        <v>44903</v>
      </c>
      <c r="M1969" s="116">
        <v>587.75</v>
      </c>
      <c r="N1969" s="116">
        <v>590.79999999999995</v>
      </c>
      <c r="O1969" s="116">
        <v>581.6</v>
      </c>
      <c r="P1969" s="116">
        <v>583.95000000000005</v>
      </c>
      <c r="Q1969" s="116">
        <v>587.75</v>
      </c>
      <c r="R1969">
        <v>2897290</v>
      </c>
    </row>
    <row r="1970" spans="1:18" x14ac:dyDescent="0.25">
      <c r="A1970" s="170">
        <v>44904</v>
      </c>
      <c r="B1970" s="116">
        <v>598.15</v>
      </c>
      <c r="C1970" s="116">
        <v>580.95000000000005</v>
      </c>
      <c r="D1970" s="116">
        <v>572.5</v>
      </c>
      <c r="E1970" s="116">
        <v>593.5</v>
      </c>
      <c r="F1970" s="116">
        <v>580.95000000000005</v>
      </c>
      <c r="G1970">
        <v>316301</v>
      </c>
      <c r="H1970" s="116"/>
      <c r="I1970" s="116"/>
      <c r="L1970" s="170">
        <v>44904</v>
      </c>
      <c r="M1970" s="116">
        <v>581</v>
      </c>
      <c r="N1970" s="116">
        <v>598</v>
      </c>
      <c r="O1970" s="116">
        <v>572.25</v>
      </c>
      <c r="P1970" s="116">
        <v>593.9</v>
      </c>
      <c r="Q1970" s="116">
        <v>581</v>
      </c>
      <c r="R1970">
        <v>7795856</v>
      </c>
    </row>
    <row r="1971" spans="1:18" x14ac:dyDescent="0.25">
      <c r="A1971" s="170">
        <v>44907</v>
      </c>
      <c r="B1971" s="116">
        <v>587.25</v>
      </c>
      <c r="C1971" s="116">
        <v>584.85</v>
      </c>
      <c r="D1971" s="116">
        <v>573.5</v>
      </c>
      <c r="E1971" s="116">
        <v>580.6</v>
      </c>
      <c r="F1971" s="116">
        <v>584.85</v>
      </c>
      <c r="G1971">
        <v>87534</v>
      </c>
      <c r="H1971" s="116"/>
      <c r="I1971" s="116"/>
      <c r="L1971" s="170">
        <v>44907</v>
      </c>
      <c r="M1971" s="116">
        <v>585.04999999999995</v>
      </c>
      <c r="N1971" s="116">
        <v>587.29999999999995</v>
      </c>
      <c r="O1971" s="116">
        <v>573.4</v>
      </c>
      <c r="P1971" s="116">
        <v>580</v>
      </c>
      <c r="Q1971" s="116">
        <v>585.04999999999995</v>
      </c>
      <c r="R1971">
        <v>4062852</v>
      </c>
    </row>
    <row r="1972" spans="1:18" x14ac:dyDescent="0.25">
      <c r="A1972" s="170">
        <v>44908</v>
      </c>
      <c r="B1972" s="116">
        <v>589</v>
      </c>
      <c r="C1972" s="116">
        <v>584.25</v>
      </c>
      <c r="D1972" s="116">
        <v>583.1</v>
      </c>
      <c r="E1972" s="116">
        <v>585.04999999999995</v>
      </c>
      <c r="F1972" s="116">
        <v>584.25</v>
      </c>
      <c r="G1972">
        <v>55064</v>
      </c>
      <c r="H1972" s="116"/>
      <c r="I1972" s="116"/>
      <c r="L1972" s="170">
        <v>44908</v>
      </c>
      <c r="M1972" s="116">
        <v>584.54999999999995</v>
      </c>
      <c r="N1972" s="116">
        <v>589</v>
      </c>
      <c r="O1972" s="116">
        <v>583.04999999999995</v>
      </c>
      <c r="P1972" s="116">
        <v>587</v>
      </c>
      <c r="Q1972" s="116">
        <v>584.54999999999995</v>
      </c>
      <c r="R1972">
        <v>2436178</v>
      </c>
    </row>
    <row r="1973" spans="1:18" x14ac:dyDescent="0.25">
      <c r="A1973" s="170">
        <v>44909</v>
      </c>
      <c r="B1973" s="116">
        <v>589.29999999999995</v>
      </c>
      <c r="C1973" s="116">
        <v>582.15</v>
      </c>
      <c r="D1973" s="116">
        <v>581.45000000000005</v>
      </c>
      <c r="E1973" s="116">
        <v>585.4</v>
      </c>
      <c r="F1973" s="116">
        <v>582.15</v>
      </c>
      <c r="G1973">
        <v>46841</v>
      </c>
      <c r="H1973" s="116"/>
      <c r="I1973" s="116"/>
      <c r="L1973" s="170">
        <v>44909</v>
      </c>
      <c r="M1973" s="116">
        <v>582.20000000000005</v>
      </c>
      <c r="N1973" s="116">
        <v>589.5</v>
      </c>
      <c r="O1973" s="116">
        <v>581.04999999999995</v>
      </c>
      <c r="P1973" s="116">
        <v>585.1</v>
      </c>
      <c r="Q1973" s="116">
        <v>582.20000000000005</v>
      </c>
      <c r="R1973">
        <v>1682787</v>
      </c>
    </row>
    <row r="1974" spans="1:18" x14ac:dyDescent="0.25">
      <c r="A1974" s="170">
        <v>44910</v>
      </c>
      <c r="B1974" s="116">
        <v>583.54999999999995</v>
      </c>
      <c r="C1974" s="116">
        <v>561.04999999999995</v>
      </c>
      <c r="D1974" s="116">
        <v>558.95000000000005</v>
      </c>
      <c r="E1974" s="116">
        <v>580.54999999999995</v>
      </c>
      <c r="F1974" s="116">
        <v>561.04999999999995</v>
      </c>
      <c r="G1974">
        <v>133019</v>
      </c>
      <c r="H1974" s="116"/>
      <c r="I1974" s="116"/>
      <c r="L1974" s="170">
        <v>44910</v>
      </c>
      <c r="M1974" s="116">
        <v>561.20000000000005</v>
      </c>
      <c r="N1974" s="116">
        <v>584</v>
      </c>
      <c r="O1974" s="116">
        <v>558.75</v>
      </c>
      <c r="P1974" s="116">
        <v>583</v>
      </c>
      <c r="Q1974" s="116">
        <v>561.20000000000005</v>
      </c>
      <c r="R1974">
        <v>5047769</v>
      </c>
    </row>
    <row r="1975" spans="1:18" x14ac:dyDescent="0.25">
      <c r="A1975" s="170">
        <v>44911</v>
      </c>
      <c r="B1975" s="116">
        <v>568.04999999999995</v>
      </c>
      <c r="C1975" s="116">
        <v>556.35</v>
      </c>
      <c r="D1975" s="116">
        <v>554.04999999999995</v>
      </c>
      <c r="E1975" s="116">
        <v>558</v>
      </c>
      <c r="F1975" s="116">
        <v>556.35</v>
      </c>
      <c r="G1975">
        <v>137148</v>
      </c>
      <c r="H1975" s="116"/>
      <c r="I1975" s="116"/>
      <c r="L1975" s="170">
        <v>44911</v>
      </c>
      <c r="M1975" s="116">
        <v>556.04999999999995</v>
      </c>
      <c r="N1975" s="116">
        <v>568.6</v>
      </c>
      <c r="O1975" s="116">
        <v>553.5</v>
      </c>
      <c r="P1975" s="116">
        <v>558</v>
      </c>
      <c r="Q1975" s="116">
        <v>556.04999999999995</v>
      </c>
      <c r="R1975">
        <v>4854309</v>
      </c>
    </row>
    <row r="1976" spans="1:18" x14ac:dyDescent="0.25">
      <c r="A1976" s="170">
        <v>44914</v>
      </c>
      <c r="B1976" s="116">
        <v>566.15</v>
      </c>
      <c r="C1976" s="116">
        <v>564.35</v>
      </c>
      <c r="D1976" s="116">
        <v>555</v>
      </c>
      <c r="E1976" s="116">
        <v>555.04999999999995</v>
      </c>
      <c r="F1976" s="116">
        <v>564.35</v>
      </c>
      <c r="G1976">
        <v>170790</v>
      </c>
      <c r="H1976" s="116"/>
      <c r="I1976" s="116"/>
      <c r="L1976" s="170">
        <v>44914</v>
      </c>
      <c r="M1976" s="116">
        <v>563.85</v>
      </c>
      <c r="N1976" s="116">
        <v>566.35</v>
      </c>
      <c r="O1976" s="116">
        <v>555</v>
      </c>
      <c r="P1976" s="116">
        <v>556.95000000000005</v>
      </c>
      <c r="Q1976" s="116">
        <v>563.85</v>
      </c>
      <c r="R1976">
        <v>2341796</v>
      </c>
    </row>
    <row r="1977" spans="1:18" x14ac:dyDescent="0.25">
      <c r="A1977" s="170">
        <v>44915</v>
      </c>
      <c r="B1977" s="116">
        <v>564.9</v>
      </c>
      <c r="C1977" s="116">
        <v>560.25</v>
      </c>
      <c r="D1977" s="116">
        <v>554.29999999999995</v>
      </c>
      <c r="E1977" s="116">
        <v>562.15</v>
      </c>
      <c r="F1977" s="116">
        <v>560.25</v>
      </c>
      <c r="G1977">
        <v>136439</v>
      </c>
      <c r="H1977" s="116"/>
      <c r="I1977" s="116"/>
      <c r="L1977" s="170">
        <v>44915</v>
      </c>
      <c r="M1977" s="116">
        <v>560.1</v>
      </c>
      <c r="N1977" s="116">
        <v>565</v>
      </c>
      <c r="O1977" s="116">
        <v>554.1</v>
      </c>
      <c r="P1977" s="116">
        <v>563.9</v>
      </c>
      <c r="Q1977" s="116">
        <v>560.1</v>
      </c>
      <c r="R1977">
        <v>2314297</v>
      </c>
    </row>
    <row r="1978" spans="1:18" x14ac:dyDescent="0.25">
      <c r="A1978" s="170">
        <v>44916</v>
      </c>
      <c r="B1978" s="116">
        <v>564</v>
      </c>
      <c r="C1978" s="116">
        <v>538.5</v>
      </c>
      <c r="D1978" s="116">
        <v>532.4</v>
      </c>
      <c r="E1978" s="116">
        <v>560.45000000000005</v>
      </c>
      <c r="F1978" s="116">
        <v>538.5</v>
      </c>
      <c r="G1978">
        <v>304028</v>
      </c>
      <c r="H1978" s="116"/>
      <c r="I1978" s="116"/>
      <c r="L1978" s="170">
        <v>44916</v>
      </c>
      <c r="M1978" s="116">
        <v>539.20000000000005</v>
      </c>
      <c r="N1978" s="116">
        <v>564</v>
      </c>
      <c r="O1978" s="116">
        <v>532.20000000000005</v>
      </c>
      <c r="P1978" s="116">
        <v>562</v>
      </c>
      <c r="Q1978" s="116">
        <v>539.20000000000005</v>
      </c>
      <c r="R1978">
        <v>6698446</v>
      </c>
    </row>
    <row r="1979" spans="1:18" x14ac:dyDescent="0.25">
      <c r="A1979" s="170">
        <v>44917</v>
      </c>
      <c r="B1979" s="116">
        <v>544.9</v>
      </c>
      <c r="C1979" s="116">
        <v>532.95000000000005</v>
      </c>
      <c r="D1979" s="116">
        <v>525.15</v>
      </c>
      <c r="E1979" s="116">
        <v>540.45000000000005</v>
      </c>
      <c r="F1979" s="116">
        <v>532.95000000000005</v>
      </c>
      <c r="G1979">
        <v>187325</v>
      </c>
      <c r="H1979" s="116"/>
      <c r="I1979" s="116"/>
      <c r="L1979" s="170">
        <v>44917</v>
      </c>
      <c r="M1979" s="116">
        <v>532.85</v>
      </c>
      <c r="N1979" s="116">
        <v>544.6</v>
      </c>
      <c r="O1979" s="116">
        <v>525.25</v>
      </c>
      <c r="P1979" s="116">
        <v>543.5</v>
      </c>
      <c r="Q1979" s="116">
        <v>532.85</v>
      </c>
      <c r="R1979">
        <v>7913985</v>
      </c>
    </row>
    <row r="1980" spans="1:18" x14ac:dyDescent="0.25">
      <c r="A1980" s="170">
        <v>44918</v>
      </c>
      <c r="B1980" s="116">
        <v>531.5</v>
      </c>
      <c r="C1980" s="116">
        <v>491.25</v>
      </c>
      <c r="D1980" s="116">
        <v>486</v>
      </c>
      <c r="E1980" s="116">
        <v>527.20000000000005</v>
      </c>
      <c r="F1980" s="116">
        <v>491.25</v>
      </c>
      <c r="G1980">
        <v>499374</v>
      </c>
      <c r="H1980" s="116"/>
      <c r="I1980" s="116"/>
      <c r="L1980" s="170">
        <v>44918</v>
      </c>
      <c r="M1980" s="116">
        <v>491.25</v>
      </c>
      <c r="N1980" s="116">
        <v>531.79999999999995</v>
      </c>
      <c r="O1980" s="116">
        <v>486</v>
      </c>
      <c r="P1980" s="116">
        <v>528.95000000000005</v>
      </c>
      <c r="Q1980" s="116">
        <v>491.25</v>
      </c>
      <c r="R1980">
        <v>10542194</v>
      </c>
    </row>
    <row r="1981" spans="1:18" x14ac:dyDescent="0.25">
      <c r="A1981" s="170">
        <v>44921</v>
      </c>
      <c r="B1981" s="116">
        <v>522.5</v>
      </c>
      <c r="C1981" s="116">
        <v>514.45000000000005</v>
      </c>
      <c r="D1981" s="116">
        <v>490</v>
      </c>
      <c r="E1981" s="116">
        <v>491.3</v>
      </c>
      <c r="F1981" s="116">
        <v>514.45000000000005</v>
      </c>
      <c r="G1981">
        <v>262697</v>
      </c>
      <c r="H1981" s="116"/>
      <c r="I1981" s="116"/>
      <c r="L1981" s="170">
        <v>44921</v>
      </c>
      <c r="M1981" s="116">
        <v>514.15</v>
      </c>
      <c r="N1981" s="116">
        <v>522.35</v>
      </c>
      <c r="O1981" s="116">
        <v>489.9</v>
      </c>
      <c r="P1981" s="116">
        <v>493.95</v>
      </c>
      <c r="Q1981" s="116">
        <v>514.15</v>
      </c>
      <c r="R1981">
        <v>8583591</v>
      </c>
    </row>
    <row r="1982" spans="1:18" x14ac:dyDescent="0.25">
      <c r="A1982" s="170">
        <v>44922</v>
      </c>
      <c r="B1982" s="116">
        <v>527.6</v>
      </c>
      <c r="C1982" s="116">
        <v>523.6</v>
      </c>
      <c r="D1982" s="116">
        <v>509.6</v>
      </c>
      <c r="E1982" s="116">
        <v>519.95000000000005</v>
      </c>
      <c r="F1982" s="116">
        <v>523.6</v>
      </c>
      <c r="G1982">
        <v>221926</v>
      </c>
      <c r="H1982" s="116"/>
      <c r="I1982" s="116"/>
      <c r="L1982" s="170">
        <v>44922</v>
      </c>
      <c r="M1982" s="116">
        <v>523.29999999999995</v>
      </c>
      <c r="N1982" s="116">
        <v>527.29999999999995</v>
      </c>
      <c r="O1982" s="116">
        <v>509.35</v>
      </c>
      <c r="P1982" s="116">
        <v>520</v>
      </c>
      <c r="Q1982" s="116">
        <v>523.29999999999995</v>
      </c>
      <c r="R1982">
        <v>5808135</v>
      </c>
    </row>
    <row r="1983" spans="1:18" x14ac:dyDescent="0.25">
      <c r="A1983" s="170">
        <v>44923</v>
      </c>
      <c r="B1983" s="116">
        <v>527.35</v>
      </c>
      <c r="C1983" s="116">
        <v>518.54999999999995</v>
      </c>
      <c r="D1983" s="116">
        <v>516.6</v>
      </c>
      <c r="E1983" s="116">
        <v>526.95000000000005</v>
      </c>
      <c r="F1983" s="116">
        <v>518.54999999999995</v>
      </c>
      <c r="G1983">
        <v>181904</v>
      </c>
      <c r="H1983" s="116"/>
      <c r="I1983" s="116"/>
      <c r="L1983" s="170">
        <v>44923</v>
      </c>
      <c r="M1983" s="116">
        <v>518.4</v>
      </c>
      <c r="N1983" s="116">
        <v>527.5</v>
      </c>
      <c r="O1983" s="116">
        <v>516.45000000000005</v>
      </c>
      <c r="P1983" s="116">
        <v>525</v>
      </c>
      <c r="Q1983" s="116">
        <v>518.4</v>
      </c>
      <c r="R1983">
        <v>3959786</v>
      </c>
    </row>
    <row r="1984" spans="1:18" x14ac:dyDescent="0.25">
      <c r="A1984" s="170">
        <v>44924</v>
      </c>
      <c r="B1984" s="116">
        <v>526</v>
      </c>
      <c r="C1984" s="116">
        <v>522.75</v>
      </c>
      <c r="D1984" s="116">
        <v>504.95</v>
      </c>
      <c r="E1984" s="116">
        <v>515.75</v>
      </c>
      <c r="F1984" s="116">
        <v>522.75</v>
      </c>
      <c r="G1984">
        <v>191320</v>
      </c>
      <c r="H1984" s="116"/>
      <c r="I1984" s="116"/>
      <c r="L1984" s="170">
        <v>44924</v>
      </c>
      <c r="M1984" s="116">
        <v>522.75</v>
      </c>
      <c r="N1984" s="116">
        <v>534.4</v>
      </c>
      <c r="O1984" s="116">
        <v>504.6</v>
      </c>
      <c r="P1984" s="116">
        <v>517.20000000000005</v>
      </c>
      <c r="Q1984" s="116">
        <v>522.75</v>
      </c>
      <c r="R1984">
        <v>7354986</v>
      </c>
    </row>
    <row r="1985" spans="1:18" x14ac:dyDescent="0.25">
      <c r="A1985" s="170">
        <v>44925</v>
      </c>
      <c r="B1985" s="116">
        <v>531.9</v>
      </c>
      <c r="C1985" s="116">
        <v>524.1</v>
      </c>
      <c r="D1985" s="116">
        <v>522.29999999999995</v>
      </c>
      <c r="E1985" s="116">
        <v>524.29999999999995</v>
      </c>
      <c r="F1985" s="116">
        <v>524.1</v>
      </c>
      <c r="G1985">
        <v>175392</v>
      </c>
      <c r="H1985" s="116"/>
      <c r="I1985" s="116"/>
      <c r="L1985" s="170">
        <v>44925</v>
      </c>
      <c r="M1985" s="116">
        <v>524.1</v>
      </c>
      <c r="N1985" s="116">
        <v>531.9</v>
      </c>
      <c r="O1985" s="116">
        <v>522.1</v>
      </c>
      <c r="P1985" s="116">
        <v>525</v>
      </c>
      <c r="Q1985" s="116">
        <v>524.1</v>
      </c>
      <c r="R1985">
        <v>3361557</v>
      </c>
    </row>
    <row r="1986" spans="1:18" x14ac:dyDescent="0.25">
      <c r="A1986" s="170">
        <v>44928</v>
      </c>
      <c r="B1986" s="116">
        <v>530.79999999999995</v>
      </c>
      <c r="C1986" s="116">
        <v>526.45000000000005</v>
      </c>
      <c r="D1986" s="116">
        <v>523.1</v>
      </c>
      <c r="E1986" s="116">
        <v>525.70000000000005</v>
      </c>
      <c r="F1986" s="116">
        <v>526.45000000000005</v>
      </c>
      <c r="G1986">
        <v>133848</v>
      </c>
      <c r="H1986" s="116"/>
      <c r="I1986" s="116"/>
      <c r="L1986" s="170">
        <v>44928</v>
      </c>
      <c r="M1986" s="116">
        <v>526.5</v>
      </c>
      <c r="N1986" s="116">
        <v>530.9</v>
      </c>
      <c r="O1986" s="116">
        <v>523</v>
      </c>
      <c r="P1986" s="116">
        <v>526.75</v>
      </c>
      <c r="Q1986" s="116">
        <v>526.5</v>
      </c>
      <c r="R1986">
        <v>2226882</v>
      </c>
    </row>
    <row r="1987" spans="1:18" x14ac:dyDescent="0.25">
      <c r="A1987" s="170">
        <v>44929</v>
      </c>
      <c r="B1987" s="116">
        <v>533.25</v>
      </c>
      <c r="C1987" s="116">
        <v>531.65</v>
      </c>
      <c r="D1987" s="116">
        <v>523.25</v>
      </c>
      <c r="E1987" s="116">
        <v>526.45000000000005</v>
      </c>
      <c r="F1987" s="116">
        <v>531.65</v>
      </c>
      <c r="G1987">
        <v>87347</v>
      </c>
      <c r="H1987" s="116"/>
      <c r="I1987" s="116"/>
      <c r="L1987" s="170">
        <v>44929</v>
      </c>
      <c r="M1987" s="116">
        <v>530.95000000000005</v>
      </c>
      <c r="N1987" s="116">
        <v>533.4</v>
      </c>
      <c r="O1987" s="116">
        <v>523.04999999999995</v>
      </c>
      <c r="P1987" s="116">
        <v>527.5</v>
      </c>
      <c r="Q1987" s="116">
        <v>530.95000000000005</v>
      </c>
      <c r="R1987">
        <v>3247177</v>
      </c>
    </row>
    <row r="1988" spans="1:18" x14ac:dyDescent="0.25">
      <c r="A1988" s="170">
        <v>44930</v>
      </c>
      <c r="B1988" s="116">
        <v>536.70000000000005</v>
      </c>
      <c r="C1988" s="116">
        <v>518.79999999999995</v>
      </c>
      <c r="D1988" s="116">
        <v>517.20000000000005</v>
      </c>
      <c r="E1988" s="116">
        <v>533.04999999999995</v>
      </c>
      <c r="F1988" s="116">
        <v>518.79999999999995</v>
      </c>
      <c r="G1988">
        <v>261901</v>
      </c>
      <c r="H1988" s="116"/>
      <c r="I1988" s="116"/>
      <c r="L1988" s="170">
        <v>44930</v>
      </c>
      <c r="M1988" s="116">
        <v>518.85</v>
      </c>
      <c r="N1988" s="116">
        <v>536.75</v>
      </c>
      <c r="O1988" s="116">
        <v>517.4</v>
      </c>
      <c r="P1988" s="116">
        <v>532.20000000000005</v>
      </c>
      <c r="Q1988" s="116">
        <v>518.85</v>
      </c>
      <c r="R1988">
        <v>7145153</v>
      </c>
    </row>
    <row r="1989" spans="1:18" x14ac:dyDescent="0.25">
      <c r="A1989" s="170">
        <v>44931</v>
      </c>
      <c r="B1989" s="116">
        <v>526.1</v>
      </c>
      <c r="C1989" s="116">
        <v>525.04999999999995</v>
      </c>
      <c r="D1989" s="116">
        <v>513.75</v>
      </c>
      <c r="E1989" s="116">
        <v>519.5</v>
      </c>
      <c r="F1989" s="116">
        <v>525.04999999999995</v>
      </c>
      <c r="G1989">
        <v>99840</v>
      </c>
      <c r="H1989" s="116"/>
      <c r="I1989" s="116"/>
      <c r="L1989" s="170">
        <v>44931</v>
      </c>
      <c r="M1989" s="116">
        <v>524.75</v>
      </c>
      <c r="N1989" s="116">
        <v>525.95000000000005</v>
      </c>
      <c r="O1989" s="116">
        <v>513.54999999999995</v>
      </c>
      <c r="P1989" s="116">
        <v>518.95000000000005</v>
      </c>
      <c r="Q1989" s="116">
        <v>524.75</v>
      </c>
      <c r="R1989">
        <v>3166328</v>
      </c>
    </row>
    <row r="1990" spans="1:18" x14ac:dyDescent="0.25">
      <c r="A1990" s="170">
        <v>44932</v>
      </c>
      <c r="B1990" s="116">
        <v>528</v>
      </c>
      <c r="C1990" s="116">
        <v>519.79999999999995</v>
      </c>
      <c r="D1990" s="116">
        <v>514.5</v>
      </c>
      <c r="E1990" s="116">
        <v>526</v>
      </c>
      <c r="F1990" s="116">
        <v>519.79999999999995</v>
      </c>
      <c r="G1990">
        <v>157022</v>
      </c>
      <c r="H1990" s="116"/>
      <c r="I1990" s="116"/>
      <c r="L1990" s="170">
        <v>44932</v>
      </c>
      <c r="M1990" s="116">
        <v>519.79999999999995</v>
      </c>
      <c r="N1990" s="116">
        <v>528.45000000000005</v>
      </c>
      <c r="O1990" s="116">
        <v>514.35</v>
      </c>
      <c r="P1990" s="116">
        <v>525.85</v>
      </c>
      <c r="Q1990" s="116">
        <v>519.79999999999995</v>
      </c>
      <c r="R1990">
        <v>3454408</v>
      </c>
    </row>
    <row r="1991" spans="1:18" x14ac:dyDescent="0.25">
      <c r="A1991" s="170">
        <v>44935</v>
      </c>
      <c r="B1991" s="116">
        <v>527.45000000000005</v>
      </c>
      <c r="C1991" s="116">
        <v>524.65</v>
      </c>
      <c r="D1991" s="116">
        <v>520.5</v>
      </c>
      <c r="E1991" s="116">
        <v>524.35</v>
      </c>
      <c r="F1991" s="116">
        <v>524.65</v>
      </c>
      <c r="G1991">
        <v>102845</v>
      </c>
      <c r="H1991" s="116"/>
      <c r="I1991" s="116"/>
      <c r="L1991" s="170">
        <v>44935</v>
      </c>
      <c r="M1991" s="116">
        <v>524.75</v>
      </c>
      <c r="N1991" s="116">
        <v>527.5</v>
      </c>
      <c r="O1991" s="116">
        <v>520.65</v>
      </c>
      <c r="P1991" s="116">
        <v>523</v>
      </c>
      <c r="Q1991" s="116">
        <v>524.75</v>
      </c>
      <c r="R1991">
        <v>1841059</v>
      </c>
    </row>
    <row r="1992" spans="1:18" x14ac:dyDescent="0.25">
      <c r="A1992" s="170">
        <v>44936</v>
      </c>
      <c r="B1992" s="116">
        <v>526.20000000000005</v>
      </c>
      <c r="C1992" s="116">
        <v>514.70000000000005</v>
      </c>
      <c r="D1992" s="116">
        <v>502.85</v>
      </c>
      <c r="E1992" s="116">
        <v>525.1</v>
      </c>
      <c r="F1992" s="116">
        <v>514.70000000000005</v>
      </c>
      <c r="G1992">
        <v>172412</v>
      </c>
      <c r="H1992" s="116"/>
      <c r="I1992" s="116"/>
      <c r="L1992" s="170">
        <v>44936</v>
      </c>
      <c r="M1992" s="116">
        <v>514.45000000000005</v>
      </c>
      <c r="N1992" s="116">
        <v>526.5</v>
      </c>
      <c r="O1992" s="116">
        <v>502.7</v>
      </c>
      <c r="P1992" s="116">
        <v>526.5</v>
      </c>
      <c r="Q1992" s="116">
        <v>514.45000000000005</v>
      </c>
      <c r="R1992">
        <v>5366443</v>
      </c>
    </row>
    <row r="1993" spans="1:18" x14ac:dyDescent="0.25">
      <c r="A1993" s="170">
        <v>44937</v>
      </c>
      <c r="B1993" s="116">
        <v>515.79999999999995</v>
      </c>
      <c r="C1993" s="116">
        <v>508.1</v>
      </c>
      <c r="D1993" s="116">
        <v>505.85</v>
      </c>
      <c r="E1993" s="116">
        <v>515.1</v>
      </c>
      <c r="F1993" s="116">
        <v>508.1</v>
      </c>
      <c r="G1993">
        <v>156417</v>
      </c>
      <c r="H1993" s="116"/>
      <c r="I1993" s="116"/>
      <c r="L1993" s="170">
        <v>44937</v>
      </c>
      <c r="M1993" s="116">
        <v>508.1</v>
      </c>
      <c r="N1993" s="116">
        <v>515.95000000000005</v>
      </c>
      <c r="O1993" s="116">
        <v>505.65</v>
      </c>
      <c r="P1993" s="116">
        <v>515.95000000000005</v>
      </c>
      <c r="Q1993" s="116">
        <v>508.1</v>
      </c>
      <c r="R1993">
        <v>3308303</v>
      </c>
    </row>
    <row r="1994" spans="1:18" x14ac:dyDescent="0.25">
      <c r="A1994" s="170">
        <v>44938</v>
      </c>
      <c r="B1994" s="116">
        <v>514.25</v>
      </c>
      <c r="C1994" s="116">
        <v>510.4</v>
      </c>
      <c r="D1994" s="116">
        <v>507</v>
      </c>
      <c r="E1994" s="116">
        <v>509.05</v>
      </c>
      <c r="F1994" s="116">
        <v>510.4</v>
      </c>
      <c r="G1994">
        <v>133074</v>
      </c>
      <c r="H1994" s="116"/>
      <c r="I1994" s="116"/>
      <c r="L1994" s="170">
        <v>44938</v>
      </c>
      <c r="M1994" s="116">
        <v>510.4</v>
      </c>
      <c r="N1994" s="116">
        <v>514.5</v>
      </c>
      <c r="O1994" s="116">
        <v>507</v>
      </c>
      <c r="P1994" s="116">
        <v>509.9</v>
      </c>
      <c r="Q1994" s="116">
        <v>510.4</v>
      </c>
      <c r="R1994">
        <v>4129397</v>
      </c>
    </row>
    <row r="1995" spans="1:18" x14ac:dyDescent="0.25">
      <c r="A1995" s="170">
        <v>44939</v>
      </c>
      <c r="B1995" s="116">
        <v>520.20000000000005</v>
      </c>
      <c r="C1995" s="116">
        <v>518.70000000000005</v>
      </c>
      <c r="D1995" s="116">
        <v>510.6</v>
      </c>
      <c r="E1995" s="116">
        <v>510.6</v>
      </c>
      <c r="F1995" s="116">
        <v>518.70000000000005</v>
      </c>
      <c r="G1995">
        <v>166398</v>
      </c>
      <c r="H1995" s="116"/>
      <c r="I1995" s="116"/>
      <c r="L1995" s="170">
        <v>44939</v>
      </c>
      <c r="M1995" s="116">
        <v>518.65</v>
      </c>
      <c r="N1995" s="116">
        <v>520.5</v>
      </c>
      <c r="O1995" s="116">
        <v>511.4</v>
      </c>
      <c r="P1995" s="116">
        <v>511.4</v>
      </c>
      <c r="Q1995" s="116">
        <v>518.65</v>
      </c>
      <c r="R1995">
        <v>4195766</v>
      </c>
    </row>
    <row r="1996" spans="1:18" x14ac:dyDescent="0.25">
      <c r="A1996" s="170">
        <v>44942</v>
      </c>
      <c r="B1996" s="116">
        <v>521.85</v>
      </c>
      <c r="C1996" s="116">
        <v>516.5</v>
      </c>
      <c r="D1996" s="116">
        <v>512.9</v>
      </c>
      <c r="E1996" s="116">
        <v>521.85</v>
      </c>
      <c r="F1996" s="116">
        <v>516.5</v>
      </c>
      <c r="G1996">
        <v>109694</v>
      </c>
      <c r="H1996" s="116"/>
      <c r="I1996" s="116"/>
      <c r="L1996" s="170">
        <v>44942</v>
      </c>
      <c r="M1996" s="116">
        <v>517</v>
      </c>
      <c r="N1996" s="116">
        <v>521.6</v>
      </c>
      <c r="O1996" s="116">
        <v>512.9</v>
      </c>
      <c r="P1996" s="116">
        <v>521</v>
      </c>
      <c r="Q1996" s="116">
        <v>517</v>
      </c>
      <c r="R1996">
        <v>2181662</v>
      </c>
    </row>
    <row r="1997" spans="1:18" x14ac:dyDescent="0.25">
      <c r="A1997" s="170">
        <v>44943</v>
      </c>
      <c r="B1997" s="116">
        <v>520.29999999999995</v>
      </c>
      <c r="C1997" s="116">
        <v>517.20000000000005</v>
      </c>
      <c r="D1997" s="116">
        <v>511.5</v>
      </c>
      <c r="E1997" s="116">
        <v>516.04999999999995</v>
      </c>
      <c r="F1997" s="116">
        <v>517.20000000000005</v>
      </c>
      <c r="G1997">
        <v>82978</v>
      </c>
      <c r="H1997" s="116"/>
      <c r="I1997" s="116"/>
      <c r="L1997" s="170">
        <v>44943</v>
      </c>
      <c r="M1997" s="116">
        <v>517.5</v>
      </c>
      <c r="N1997" s="116">
        <v>520.5</v>
      </c>
      <c r="O1997" s="116">
        <v>511.3</v>
      </c>
      <c r="P1997" s="116">
        <v>517.25</v>
      </c>
      <c r="Q1997" s="116">
        <v>517.5</v>
      </c>
      <c r="R1997">
        <v>2346252</v>
      </c>
    </row>
    <row r="1998" spans="1:18" x14ac:dyDescent="0.25">
      <c r="A1998" s="170">
        <v>44944</v>
      </c>
      <c r="B1998" s="116">
        <v>522</v>
      </c>
      <c r="C1998" s="116">
        <v>519.9</v>
      </c>
      <c r="D1998" s="116">
        <v>513</v>
      </c>
      <c r="E1998" s="116">
        <v>516.65</v>
      </c>
      <c r="F1998" s="116">
        <v>519.9</v>
      </c>
      <c r="G1998">
        <v>82300</v>
      </c>
      <c r="H1998" s="116"/>
      <c r="I1998" s="116"/>
      <c r="L1998" s="170">
        <v>44944</v>
      </c>
      <c r="M1998" s="116">
        <v>520.45000000000005</v>
      </c>
      <c r="N1998" s="116">
        <v>522.45000000000005</v>
      </c>
      <c r="O1998" s="116">
        <v>513</v>
      </c>
      <c r="P1998" s="116">
        <v>517.9</v>
      </c>
      <c r="Q1998" s="116">
        <v>520.45000000000005</v>
      </c>
      <c r="R1998">
        <v>2338626</v>
      </c>
    </row>
    <row r="1999" spans="1:18" x14ac:dyDescent="0.25">
      <c r="A1999" s="170">
        <v>44945</v>
      </c>
      <c r="B1999" s="116">
        <v>525.4</v>
      </c>
      <c r="C1999" s="116">
        <v>519</v>
      </c>
      <c r="D1999" s="116">
        <v>517.29999999999995</v>
      </c>
      <c r="E1999" s="116">
        <v>518.5</v>
      </c>
      <c r="F1999" s="116">
        <v>519</v>
      </c>
      <c r="G1999">
        <v>82121</v>
      </c>
      <c r="H1999" s="116"/>
      <c r="I1999" s="116"/>
      <c r="L1999" s="170">
        <v>44945</v>
      </c>
      <c r="M1999" s="116">
        <v>519.25</v>
      </c>
      <c r="N1999" s="116">
        <v>525.4</v>
      </c>
      <c r="O1999" s="116">
        <v>517.04999999999995</v>
      </c>
      <c r="P1999" s="116">
        <v>519</v>
      </c>
      <c r="Q1999" s="116">
        <v>519.25</v>
      </c>
      <c r="R1999">
        <v>2809131</v>
      </c>
    </row>
    <row r="2000" spans="1:18" x14ac:dyDescent="0.25">
      <c r="A2000" s="170">
        <v>44946</v>
      </c>
      <c r="B2000" s="116">
        <v>522.70000000000005</v>
      </c>
      <c r="C2000" s="116">
        <v>517.20000000000005</v>
      </c>
      <c r="D2000" s="116">
        <v>515.29999999999995</v>
      </c>
      <c r="E2000" s="116">
        <v>519.04999999999995</v>
      </c>
      <c r="F2000" s="116">
        <v>517.20000000000005</v>
      </c>
      <c r="G2000">
        <v>55838</v>
      </c>
      <c r="H2000" s="116"/>
      <c r="I2000" s="116"/>
      <c r="L2000" s="170">
        <v>44946</v>
      </c>
      <c r="M2000" s="116">
        <v>517.75</v>
      </c>
      <c r="N2000" s="116">
        <v>523</v>
      </c>
      <c r="O2000" s="116">
        <v>515.4</v>
      </c>
      <c r="P2000" s="116">
        <v>520</v>
      </c>
      <c r="Q2000" s="116">
        <v>517.75</v>
      </c>
      <c r="R2000">
        <v>2656548</v>
      </c>
    </row>
    <row r="2001" spans="1:18" x14ac:dyDescent="0.25">
      <c r="A2001" s="170">
        <v>44949</v>
      </c>
      <c r="B2001" s="116">
        <v>518.45000000000005</v>
      </c>
      <c r="C2001" s="116">
        <v>500.9</v>
      </c>
      <c r="D2001" s="116">
        <v>498.55</v>
      </c>
      <c r="E2001" s="116">
        <v>517.4</v>
      </c>
      <c r="F2001" s="116">
        <v>500.9</v>
      </c>
      <c r="G2001">
        <v>126483</v>
      </c>
      <c r="H2001" s="116"/>
      <c r="I2001" s="116"/>
      <c r="L2001" s="170">
        <v>44949</v>
      </c>
      <c r="M2001" s="116">
        <v>501.1</v>
      </c>
      <c r="N2001" s="116">
        <v>518.70000000000005</v>
      </c>
      <c r="O2001" s="116">
        <v>498.25</v>
      </c>
      <c r="P2001" s="116">
        <v>518</v>
      </c>
      <c r="Q2001" s="116">
        <v>501.1</v>
      </c>
      <c r="R2001">
        <v>4154237</v>
      </c>
    </row>
    <row r="2002" spans="1:18" x14ac:dyDescent="0.25">
      <c r="A2002" s="170">
        <v>44950</v>
      </c>
      <c r="B2002" s="116">
        <v>508.55</v>
      </c>
      <c r="C2002" s="116">
        <v>498.55</v>
      </c>
      <c r="D2002" s="116">
        <v>497.55</v>
      </c>
      <c r="E2002" s="116">
        <v>501.2</v>
      </c>
      <c r="F2002" s="116">
        <v>498.55</v>
      </c>
      <c r="G2002">
        <v>100346</v>
      </c>
      <c r="H2002" s="116"/>
      <c r="I2002" s="116"/>
      <c r="L2002" s="170">
        <v>44950</v>
      </c>
      <c r="M2002" s="116">
        <v>498.95</v>
      </c>
      <c r="N2002" s="116">
        <v>508.5</v>
      </c>
      <c r="O2002" s="116">
        <v>497.95</v>
      </c>
      <c r="P2002" s="116">
        <v>502.2</v>
      </c>
      <c r="Q2002" s="116">
        <v>498.95</v>
      </c>
      <c r="R2002">
        <v>2166537</v>
      </c>
    </row>
    <row r="2003" spans="1:18" x14ac:dyDescent="0.25">
      <c r="A2003" s="170">
        <v>44951</v>
      </c>
      <c r="B2003" s="116">
        <v>498.4</v>
      </c>
      <c r="C2003" s="116">
        <v>460.1</v>
      </c>
      <c r="D2003" s="116">
        <v>450.75</v>
      </c>
      <c r="E2003" s="116">
        <v>498.4</v>
      </c>
      <c r="F2003" s="116">
        <v>460.1</v>
      </c>
      <c r="G2003">
        <v>1031419</v>
      </c>
      <c r="H2003" s="116"/>
      <c r="I2003" s="116"/>
      <c r="L2003" s="170">
        <v>44951</v>
      </c>
      <c r="M2003" s="116">
        <v>460.2</v>
      </c>
      <c r="N2003" s="116">
        <v>498</v>
      </c>
      <c r="O2003" s="116">
        <v>450.7</v>
      </c>
      <c r="P2003" s="116">
        <v>497</v>
      </c>
      <c r="Q2003" s="116">
        <v>460.2</v>
      </c>
      <c r="R2003">
        <v>33646469</v>
      </c>
    </row>
    <row r="2004" spans="1:18" x14ac:dyDescent="0.25">
      <c r="A2004" s="170">
        <v>44953</v>
      </c>
      <c r="B2004" s="116">
        <v>457.95</v>
      </c>
      <c r="C2004" s="116">
        <v>381.15</v>
      </c>
      <c r="D2004" s="116">
        <v>345.1</v>
      </c>
      <c r="E2004" s="116">
        <v>457.95</v>
      </c>
      <c r="F2004" s="116">
        <v>381.15</v>
      </c>
      <c r="G2004">
        <v>2689531</v>
      </c>
      <c r="H2004" s="116"/>
      <c r="I2004" s="116"/>
      <c r="L2004" s="170">
        <v>44953</v>
      </c>
      <c r="M2004" s="116">
        <v>380.45</v>
      </c>
      <c r="N2004" s="116">
        <v>457.5</v>
      </c>
      <c r="O2004" s="116">
        <v>345.15</v>
      </c>
      <c r="P2004" s="116">
        <v>457.5</v>
      </c>
      <c r="Q2004" s="116">
        <v>380.45</v>
      </c>
      <c r="R2004">
        <v>91035714</v>
      </c>
    </row>
    <row r="2005" spans="1:18" x14ac:dyDescent="0.25">
      <c r="A2005" s="170">
        <v>44956</v>
      </c>
      <c r="B2005" s="116">
        <v>426.3</v>
      </c>
      <c r="C2005" s="116">
        <v>387.45</v>
      </c>
      <c r="D2005" s="116">
        <v>351.7</v>
      </c>
      <c r="E2005" s="116">
        <v>388.05</v>
      </c>
      <c r="F2005" s="116">
        <v>387.45</v>
      </c>
      <c r="G2005">
        <v>4906548</v>
      </c>
      <c r="H2005" s="116"/>
      <c r="I2005" s="116"/>
      <c r="L2005" s="170">
        <v>44956</v>
      </c>
      <c r="M2005" s="116">
        <v>387.5</v>
      </c>
      <c r="N2005" s="116">
        <v>427.65</v>
      </c>
      <c r="O2005" s="116">
        <v>352</v>
      </c>
      <c r="P2005" s="116">
        <v>400</v>
      </c>
      <c r="Q2005" s="116">
        <v>387.5</v>
      </c>
      <c r="R2005">
        <v>71717149</v>
      </c>
    </row>
    <row r="2006" spans="1:18" x14ac:dyDescent="0.25">
      <c r="A2006" s="170">
        <v>44957</v>
      </c>
      <c r="B2006" s="116">
        <v>414.6</v>
      </c>
      <c r="C2006" s="116">
        <v>401</v>
      </c>
      <c r="D2006" s="116">
        <v>390.2</v>
      </c>
      <c r="E2006" s="116">
        <v>393</v>
      </c>
      <c r="F2006" s="116">
        <v>401</v>
      </c>
      <c r="G2006">
        <v>1651713</v>
      </c>
      <c r="H2006" s="116"/>
      <c r="I2006" s="116"/>
      <c r="L2006" s="170">
        <v>44957</v>
      </c>
      <c r="M2006" s="116">
        <v>401.2</v>
      </c>
      <c r="N2006" s="116">
        <v>414.65</v>
      </c>
      <c r="O2006" s="116">
        <v>390.1</v>
      </c>
      <c r="P2006" s="116">
        <v>394</v>
      </c>
      <c r="Q2006" s="116">
        <v>401.2</v>
      </c>
      <c r="R2006">
        <v>40532400</v>
      </c>
    </row>
    <row r="2007" spans="1:18" x14ac:dyDescent="0.25">
      <c r="A2007" s="170">
        <v>44958</v>
      </c>
      <c r="B2007" s="116">
        <v>412.65</v>
      </c>
      <c r="C2007" s="116">
        <v>334.6</v>
      </c>
      <c r="D2007" s="116">
        <v>320.8</v>
      </c>
      <c r="E2007" s="116">
        <v>410</v>
      </c>
      <c r="F2007" s="116">
        <v>334.6</v>
      </c>
      <c r="G2007">
        <v>4496439</v>
      </c>
      <c r="H2007" s="116"/>
      <c r="I2007" s="116"/>
      <c r="L2007" s="170">
        <v>44958</v>
      </c>
      <c r="M2007" s="116">
        <v>334.1</v>
      </c>
      <c r="N2007" s="116">
        <v>412.7</v>
      </c>
      <c r="O2007" s="116">
        <v>320.5</v>
      </c>
      <c r="P2007" s="116">
        <v>409.2</v>
      </c>
      <c r="Q2007" s="116">
        <v>334.1</v>
      </c>
      <c r="R2007">
        <v>78282914</v>
      </c>
    </row>
    <row r="2008" spans="1:18" x14ac:dyDescent="0.25">
      <c r="A2008" s="170">
        <v>44959</v>
      </c>
      <c r="B2008" s="116">
        <v>367</v>
      </c>
      <c r="C2008" s="116">
        <v>352.45</v>
      </c>
      <c r="D2008" s="116">
        <v>315.3</v>
      </c>
      <c r="E2008" s="116">
        <v>334.6</v>
      </c>
      <c r="F2008" s="116">
        <v>352.45</v>
      </c>
      <c r="G2008">
        <v>5692728</v>
      </c>
      <c r="H2008" s="116"/>
      <c r="I2008" s="116"/>
      <c r="L2008" s="170">
        <v>44959</v>
      </c>
      <c r="M2008" s="116">
        <v>352.55</v>
      </c>
      <c r="N2008" s="116">
        <v>367</v>
      </c>
      <c r="O2008" s="116">
        <v>315.3</v>
      </c>
      <c r="P2008" s="116">
        <v>355</v>
      </c>
      <c r="Q2008" s="116">
        <v>352.55</v>
      </c>
      <c r="R2008">
        <v>79579639</v>
      </c>
    </row>
    <row r="2009" spans="1:18" x14ac:dyDescent="0.25">
      <c r="A2009" s="170">
        <v>44960</v>
      </c>
      <c r="B2009" s="116">
        <v>380.4</v>
      </c>
      <c r="C2009" s="116">
        <v>373.7</v>
      </c>
      <c r="D2009" s="116">
        <v>318.89999999999998</v>
      </c>
      <c r="E2009" s="116">
        <v>352</v>
      </c>
      <c r="F2009" s="116">
        <v>373.7</v>
      </c>
      <c r="G2009">
        <v>2282600</v>
      </c>
      <c r="H2009" s="116"/>
      <c r="I2009" s="116"/>
      <c r="L2009" s="170">
        <v>44960</v>
      </c>
      <c r="M2009" s="116">
        <v>373.6</v>
      </c>
      <c r="N2009" s="116">
        <v>380.7</v>
      </c>
      <c r="O2009" s="116">
        <v>318.5</v>
      </c>
      <c r="P2009" s="116">
        <v>351.95</v>
      </c>
      <c r="Q2009" s="116">
        <v>373.6</v>
      </c>
      <c r="R2009">
        <v>58296804</v>
      </c>
    </row>
    <row r="2010" spans="1:18" x14ac:dyDescent="0.25">
      <c r="A2010" s="170">
        <v>44963</v>
      </c>
      <c r="B2010" s="116">
        <v>383.7</v>
      </c>
      <c r="C2010" s="116">
        <v>379.45</v>
      </c>
      <c r="D2010" s="116">
        <v>358.3</v>
      </c>
      <c r="E2010" s="116">
        <v>373.6</v>
      </c>
      <c r="F2010" s="116">
        <v>379.45</v>
      </c>
      <c r="G2010">
        <v>1770676</v>
      </c>
      <c r="H2010" s="116"/>
      <c r="I2010" s="116"/>
      <c r="L2010" s="170">
        <v>44963</v>
      </c>
      <c r="M2010" s="116">
        <v>379.75</v>
      </c>
      <c r="N2010" s="116">
        <v>383.8</v>
      </c>
      <c r="O2010" s="116">
        <v>358.45</v>
      </c>
      <c r="P2010" s="116">
        <v>371</v>
      </c>
      <c r="Q2010" s="116">
        <v>379.75</v>
      </c>
      <c r="R2010">
        <v>33168803</v>
      </c>
    </row>
    <row r="2011" spans="1:18" x14ac:dyDescent="0.25">
      <c r="A2011" s="170">
        <v>44964</v>
      </c>
      <c r="B2011" s="116">
        <v>406.85</v>
      </c>
      <c r="C2011" s="116">
        <v>383.7</v>
      </c>
      <c r="D2011" s="116">
        <v>371.65</v>
      </c>
      <c r="E2011" s="116">
        <v>385</v>
      </c>
      <c r="F2011" s="116">
        <v>383.7</v>
      </c>
      <c r="G2011">
        <v>1708246</v>
      </c>
      <c r="H2011" s="116"/>
      <c r="I2011" s="116"/>
      <c r="L2011" s="170">
        <v>44964</v>
      </c>
      <c r="M2011" s="116">
        <v>384.05</v>
      </c>
      <c r="N2011" s="116">
        <v>406.7</v>
      </c>
      <c r="O2011" s="116">
        <v>371.7</v>
      </c>
      <c r="P2011" s="116">
        <v>384.5</v>
      </c>
      <c r="Q2011" s="116">
        <v>384.05</v>
      </c>
      <c r="R2011">
        <v>42723721</v>
      </c>
    </row>
    <row r="2012" spans="1:18" x14ac:dyDescent="0.25">
      <c r="A2012" s="170">
        <v>44965</v>
      </c>
      <c r="B2012" s="116">
        <v>397.55</v>
      </c>
      <c r="C2012" s="116">
        <v>384.35</v>
      </c>
      <c r="D2012" s="116">
        <v>382</v>
      </c>
      <c r="E2012" s="116">
        <v>394.3</v>
      </c>
      <c r="F2012" s="116">
        <v>384.35</v>
      </c>
      <c r="G2012">
        <v>876528</v>
      </c>
      <c r="H2012" s="116"/>
      <c r="I2012" s="116"/>
      <c r="L2012" s="170">
        <v>44965</v>
      </c>
      <c r="M2012" s="116">
        <v>384.65</v>
      </c>
      <c r="N2012" s="116">
        <v>397.6</v>
      </c>
      <c r="O2012" s="116">
        <v>382</v>
      </c>
      <c r="P2012" s="116">
        <v>393.65</v>
      </c>
      <c r="Q2012" s="116">
        <v>384.65</v>
      </c>
      <c r="R2012">
        <v>18573925</v>
      </c>
    </row>
    <row r="2013" spans="1:18" x14ac:dyDescent="0.25">
      <c r="A2013" s="170">
        <v>44966</v>
      </c>
      <c r="B2013" s="116">
        <v>381.95</v>
      </c>
      <c r="C2013" s="116">
        <v>358</v>
      </c>
      <c r="D2013" s="116">
        <v>354</v>
      </c>
      <c r="E2013" s="116">
        <v>381.95</v>
      </c>
      <c r="F2013" s="116">
        <v>358</v>
      </c>
      <c r="G2013">
        <v>1160729</v>
      </c>
      <c r="H2013" s="116"/>
      <c r="I2013" s="116"/>
      <c r="L2013" s="170">
        <v>44966</v>
      </c>
      <c r="M2013" s="116">
        <v>357.8</v>
      </c>
      <c r="N2013" s="116">
        <v>378</v>
      </c>
      <c r="O2013" s="116">
        <v>354</v>
      </c>
      <c r="P2013" s="116">
        <v>378</v>
      </c>
      <c r="Q2013" s="116">
        <v>357.8</v>
      </c>
      <c r="R2013">
        <v>28134958</v>
      </c>
    </row>
    <row r="2014" spans="1:18" x14ac:dyDescent="0.25">
      <c r="A2014" s="170">
        <v>44967</v>
      </c>
      <c r="B2014" s="116">
        <v>368.15</v>
      </c>
      <c r="C2014" s="116">
        <v>361.05</v>
      </c>
      <c r="D2014" s="116">
        <v>350</v>
      </c>
      <c r="E2014" s="116">
        <v>356</v>
      </c>
      <c r="F2014" s="116">
        <v>361.05</v>
      </c>
      <c r="G2014">
        <v>823611</v>
      </c>
      <c r="H2014" s="116"/>
      <c r="I2014" s="116"/>
      <c r="L2014" s="170">
        <v>44967</v>
      </c>
      <c r="M2014" s="116">
        <v>360.8</v>
      </c>
      <c r="N2014" s="116">
        <v>368.45</v>
      </c>
      <c r="O2014" s="116">
        <v>350</v>
      </c>
      <c r="P2014" s="116">
        <v>354.75</v>
      </c>
      <c r="Q2014" s="116">
        <v>360.8</v>
      </c>
      <c r="R2014">
        <v>12021081</v>
      </c>
    </row>
    <row r="2015" spans="1:18" x14ac:dyDescent="0.25">
      <c r="A2015" s="170">
        <v>44970</v>
      </c>
      <c r="B2015" s="116">
        <v>366.9</v>
      </c>
      <c r="C2015" s="116">
        <v>342.4</v>
      </c>
      <c r="D2015" s="116">
        <v>336.7</v>
      </c>
      <c r="E2015" s="116">
        <v>361.65</v>
      </c>
      <c r="F2015" s="116">
        <v>342.4</v>
      </c>
      <c r="G2015">
        <v>1634101</v>
      </c>
      <c r="H2015" s="116"/>
      <c r="I2015" s="116"/>
      <c r="L2015" s="170">
        <v>44970</v>
      </c>
      <c r="M2015" s="116">
        <v>342.45</v>
      </c>
      <c r="N2015" s="116">
        <v>366.9</v>
      </c>
      <c r="O2015" s="116">
        <v>336.55</v>
      </c>
      <c r="P2015" s="116">
        <v>363.5</v>
      </c>
      <c r="Q2015" s="116">
        <v>342.45</v>
      </c>
      <c r="R2015">
        <v>20202357</v>
      </c>
    </row>
    <row r="2016" spans="1:18" x14ac:dyDescent="0.25">
      <c r="A2016" s="170">
        <v>44971</v>
      </c>
      <c r="B2016" s="116">
        <v>349</v>
      </c>
      <c r="C2016" s="116">
        <v>336.65</v>
      </c>
      <c r="D2016" s="116">
        <v>325.10000000000002</v>
      </c>
      <c r="E2016" s="116">
        <v>343.95</v>
      </c>
      <c r="F2016" s="116">
        <v>336.65</v>
      </c>
      <c r="G2016">
        <v>1707228</v>
      </c>
      <c r="H2016" s="116"/>
      <c r="I2016" s="116"/>
      <c r="L2016" s="170">
        <v>44971</v>
      </c>
      <c r="M2016" s="116">
        <v>336.5</v>
      </c>
      <c r="N2016" s="116">
        <v>349</v>
      </c>
      <c r="O2016" s="116">
        <v>325.10000000000002</v>
      </c>
      <c r="P2016" s="116">
        <v>344</v>
      </c>
      <c r="Q2016" s="116">
        <v>336.5</v>
      </c>
      <c r="R2016">
        <v>29650470</v>
      </c>
    </row>
    <row r="2017" spans="1:18" x14ac:dyDescent="0.25">
      <c r="A2017" s="170">
        <v>44972</v>
      </c>
      <c r="B2017" s="116">
        <v>350.8</v>
      </c>
      <c r="C2017" s="116">
        <v>344.6</v>
      </c>
      <c r="D2017" s="116">
        <v>335.05</v>
      </c>
      <c r="E2017" s="116">
        <v>337.15</v>
      </c>
      <c r="F2017" s="116">
        <v>344.6</v>
      </c>
      <c r="G2017">
        <v>1048495</v>
      </c>
      <c r="H2017" s="116"/>
      <c r="I2017" s="116"/>
      <c r="L2017" s="170">
        <v>44972</v>
      </c>
      <c r="M2017" s="116">
        <v>344.85</v>
      </c>
      <c r="N2017" s="116">
        <v>350.95</v>
      </c>
      <c r="O2017" s="116">
        <v>335</v>
      </c>
      <c r="P2017" s="116">
        <v>336.5</v>
      </c>
      <c r="Q2017" s="116">
        <v>344.85</v>
      </c>
      <c r="R2017">
        <v>14504126</v>
      </c>
    </row>
    <row r="2018" spans="1:18" x14ac:dyDescent="0.25">
      <c r="A2018" s="170">
        <v>44973</v>
      </c>
      <c r="B2018" s="116">
        <v>354.25</v>
      </c>
      <c r="C2018" s="116">
        <v>348</v>
      </c>
      <c r="D2018" s="116">
        <v>346.25</v>
      </c>
      <c r="E2018" s="116">
        <v>352</v>
      </c>
      <c r="F2018" s="116">
        <v>348</v>
      </c>
      <c r="G2018">
        <v>846712</v>
      </c>
      <c r="H2018" s="116"/>
      <c r="I2018" s="116"/>
      <c r="L2018" s="170">
        <v>44973</v>
      </c>
      <c r="M2018" s="116">
        <v>347.8</v>
      </c>
      <c r="N2018" s="116">
        <v>354.3</v>
      </c>
      <c r="O2018" s="116">
        <v>346.15</v>
      </c>
      <c r="P2018" s="116">
        <v>351.9</v>
      </c>
      <c r="Q2018" s="116">
        <v>347.8</v>
      </c>
      <c r="R2018">
        <v>13932368</v>
      </c>
    </row>
    <row r="2019" spans="1:18" x14ac:dyDescent="0.25">
      <c r="A2019" s="170">
        <v>44974</v>
      </c>
      <c r="B2019" s="116">
        <v>355.9</v>
      </c>
      <c r="C2019" s="116">
        <v>353.3</v>
      </c>
      <c r="D2019" s="116">
        <v>343.1</v>
      </c>
      <c r="E2019" s="116">
        <v>346.8</v>
      </c>
      <c r="F2019" s="116">
        <v>353.3</v>
      </c>
      <c r="G2019">
        <v>1186467</v>
      </c>
      <c r="H2019" s="116"/>
      <c r="I2019" s="116"/>
      <c r="L2019" s="170">
        <v>44974</v>
      </c>
      <c r="M2019" s="116">
        <v>353.3</v>
      </c>
      <c r="N2019" s="116">
        <v>355.95</v>
      </c>
      <c r="O2019" s="116">
        <v>343</v>
      </c>
      <c r="P2019" s="116">
        <v>346.4</v>
      </c>
      <c r="Q2019" s="116">
        <v>353.3</v>
      </c>
      <c r="R2019">
        <v>12417704</v>
      </c>
    </row>
    <row r="2020" spans="1:18" x14ac:dyDescent="0.25">
      <c r="A2020" s="170">
        <v>44977</v>
      </c>
      <c r="B2020" s="116">
        <v>356</v>
      </c>
      <c r="C2020" s="116">
        <v>353.3</v>
      </c>
      <c r="D2020" s="116">
        <v>345.65</v>
      </c>
      <c r="E2020" s="116">
        <v>349</v>
      </c>
      <c r="F2020" s="116">
        <v>353.3</v>
      </c>
      <c r="G2020">
        <v>1022381</v>
      </c>
      <c r="H2020" s="116"/>
      <c r="I2020" s="116"/>
      <c r="L2020" s="170">
        <v>44977</v>
      </c>
      <c r="M2020" s="116">
        <v>352.45</v>
      </c>
      <c r="N2020" s="116">
        <v>356</v>
      </c>
      <c r="O2020" s="116">
        <v>345.65</v>
      </c>
      <c r="P2020" s="116">
        <v>349.7</v>
      </c>
      <c r="Q2020" s="116">
        <v>352.45</v>
      </c>
      <c r="R2020">
        <v>10433187</v>
      </c>
    </row>
    <row r="2021" spans="1:18" x14ac:dyDescent="0.25">
      <c r="A2021" s="170">
        <v>44978</v>
      </c>
      <c r="B2021" s="116">
        <v>366.6</v>
      </c>
      <c r="C2021" s="116">
        <v>352.9</v>
      </c>
      <c r="D2021" s="116">
        <v>351.65</v>
      </c>
      <c r="E2021" s="116">
        <v>353</v>
      </c>
      <c r="F2021" s="116">
        <v>352.9</v>
      </c>
      <c r="G2021">
        <v>1417489</v>
      </c>
      <c r="H2021" s="116"/>
      <c r="I2021" s="116"/>
      <c r="L2021" s="170">
        <v>44978</v>
      </c>
      <c r="M2021" s="116">
        <v>352.85</v>
      </c>
      <c r="N2021" s="116">
        <v>366.5</v>
      </c>
      <c r="O2021" s="116">
        <v>351.5</v>
      </c>
      <c r="P2021" s="116">
        <v>353.35</v>
      </c>
      <c r="Q2021" s="116">
        <v>352.85</v>
      </c>
      <c r="R2021">
        <v>18031338</v>
      </c>
    </row>
    <row r="2022" spans="1:18" x14ac:dyDescent="0.25">
      <c r="A2022" s="170">
        <v>44979</v>
      </c>
      <c r="B2022" s="116">
        <v>351.3</v>
      </c>
      <c r="C2022" s="116">
        <v>335.55</v>
      </c>
      <c r="D2022" s="116">
        <v>332.1</v>
      </c>
      <c r="E2022" s="116">
        <v>350.05</v>
      </c>
      <c r="F2022" s="116">
        <v>335.55</v>
      </c>
      <c r="G2022">
        <v>933930</v>
      </c>
      <c r="H2022" s="116"/>
      <c r="I2022" s="116"/>
      <c r="L2022" s="170">
        <v>44979</v>
      </c>
      <c r="M2022" s="116">
        <v>335.4</v>
      </c>
      <c r="N2022" s="116">
        <v>352</v>
      </c>
      <c r="O2022" s="116">
        <v>332.1</v>
      </c>
      <c r="P2022" s="116">
        <v>352</v>
      </c>
      <c r="Q2022" s="116">
        <v>335.4</v>
      </c>
      <c r="R2022">
        <v>12696127</v>
      </c>
    </row>
    <row r="2023" spans="1:18" x14ac:dyDescent="0.25">
      <c r="A2023" s="170">
        <v>44980</v>
      </c>
      <c r="B2023" s="116">
        <v>343.65</v>
      </c>
      <c r="C2023" s="116">
        <v>337</v>
      </c>
      <c r="D2023" s="116">
        <v>331.1</v>
      </c>
      <c r="E2023" s="116">
        <v>335.1</v>
      </c>
      <c r="F2023" s="116">
        <v>337</v>
      </c>
      <c r="G2023">
        <v>680409</v>
      </c>
      <c r="H2023" s="116"/>
      <c r="I2023" s="116"/>
      <c r="L2023" s="170">
        <v>44980</v>
      </c>
      <c r="M2023" s="116">
        <v>336.9</v>
      </c>
      <c r="N2023" s="116">
        <v>343.85</v>
      </c>
      <c r="O2023" s="116">
        <v>331.35</v>
      </c>
      <c r="P2023" s="116">
        <v>336</v>
      </c>
      <c r="Q2023" s="116">
        <v>336.9</v>
      </c>
      <c r="R2023">
        <v>10669135</v>
      </c>
    </row>
    <row r="2024" spans="1:18" x14ac:dyDescent="0.25">
      <c r="A2024" s="170">
        <v>44981</v>
      </c>
      <c r="B2024" s="116">
        <v>346.8</v>
      </c>
      <c r="C2024" s="116">
        <v>345.25</v>
      </c>
      <c r="D2024" s="116">
        <v>338.15</v>
      </c>
      <c r="E2024" s="116">
        <v>338.15</v>
      </c>
      <c r="F2024" s="116">
        <v>345.25</v>
      </c>
      <c r="G2024">
        <v>770772</v>
      </c>
      <c r="H2024" s="116"/>
      <c r="I2024" s="116"/>
      <c r="L2024" s="170">
        <v>44981</v>
      </c>
      <c r="M2024" s="116">
        <v>345.25</v>
      </c>
      <c r="N2024" s="116">
        <v>346.95</v>
      </c>
      <c r="O2024" s="116">
        <v>338.7</v>
      </c>
      <c r="P2024" s="116">
        <v>339.3</v>
      </c>
      <c r="Q2024" s="116">
        <v>345.25</v>
      </c>
      <c r="R2024">
        <v>10758533</v>
      </c>
    </row>
    <row r="2025" spans="1:18" x14ac:dyDescent="0.25">
      <c r="A2025" s="170">
        <v>44984</v>
      </c>
      <c r="B2025" s="116">
        <v>344.45</v>
      </c>
      <c r="C2025" s="116">
        <v>329.7</v>
      </c>
      <c r="D2025" s="116">
        <v>326.05</v>
      </c>
      <c r="E2025" s="116">
        <v>341.15</v>
      </c>
      <c r="F2025" s="116">
        <v>329.7</v>
      </c>
      <c r="G2025">
        <v>708287</v>
      </c>
      <c r="H2025" s="116"/>
      <c r="I2025" s="116"/>
      <c r="L2025" s="170">
        <v>44984</v>
      </c>
      <c r="M2025" s="116">
        <v>329.9</v>
      </c>
      <c r="N2025" s="116">
        <v>344.45</v>
      </c>
      <c r="O2025" s="116">
        <v>326</v>
      </c>
      <c r="P2025" s="116">
        <v>340.4</v>
      </c>
      <c r="Q2025" s="116">
        <v>329.9</v>
      </c>
      <c r="R2025">
        <v>8739164</v>
      </c>
    </row>
    <row r="2026" spans="1:18" x14ac:dyDescent="0.25">
      <c r="A2026" s="170">
        <v>44985</v>
      </c>
      <c r="B2026" s="116">
        <v>353.35</v>
      </c>
      <c r="C2026" s="116">
        <v>342.05</v>
      </c>
      <c r="D2026" s="116">
        <v>324.3</v>
      </c>
      <c r="E2026" s="116">
        <v>329.5</v>
      </c>
      <c r="F2026" s="116">
        <v>342.05</v>
      </c>
      <c r="G2026">
        <v>1146096</v>
      </c>
      <c r="H2026" s="116"/>
      <c r="I2026" s="116"/>
      <c r="L2026" s="170">
        <v>44985</v>
      </c>
      <c r="M2026" s="116">
        <v>342.1</v>
      </c>
      <c r="N2026" s="116">
        <v>353.45</v>
      </c>
      <c r="O2026" s="116">
        <v>324.3</v>
      </c>
      <c r="P2026" s="116">
        <v>330</v>
      </c>
      <c r="Q2026" s="116">
        <v>342.1</v>
      </c>
      <c r="R2026">
        <v>21986286</v>
      </c>
    </row>
    <row r="2027" spans="1:18" x14ac:dyDescent="0.25">
      <c r="A2027" s="170">
        <v>44986</v>
      </c>
      <c r="B2027" s="116">
        <v>354.75</v>
      </c>
      <c r="C2027" s="116">
        <v>353.4</v>
      </c>
      <c r="D2027" s="116">
        <v>343.4</v>
      </c>
      <c r="E2027" s="116">
        <v>343.4</v>
      </c>
      <c r="F2027" s="116">
        <v>353.4</v>
      </c>
      <c r="G2027">
        <v>785471</v>
      </c>
      <c r="H2027" s="116"/>
      <c r="I2027" s="116"/>
      <c r="L2027" s="170">
        <v>44986</v>
      </c>
      <c r="M2027" s="116">
        <v>353.6</v>
      </c>
      <c r="N2027" s="116">
        <v>354.9</v>
      </c>
      <c r="O2027" s="116">
        <v>344.2</v>
      </c>
      <c r="P2027" s="116">
        <v>344.2</v>
      </c>
      <c r="Q2027" s="116">
        <v>353.6</v>
      </c>
      <c r="R2027">
        <v>14144946</v>
      </c>
    </row>
    <row r="2028" spans="1:18" x14ac:dyDescent="0.25">
      <c r="A2028" s="170">
        <v>44987</v>
      </c>
      <c r="B2028" s="116">
        <v>372.1</v>
      </c>
      <c r="C2028" s="116">
        <v>370.85</v>
      </c>
      <c r="D2028" s="116">
        <v>347.25</v>
      </c>
      <c r="E2028" s="116">
        <v>354.4</v>
      </c>
      <c r="F2028" s="116">
        <v>370.85</v>
      </c>
      <c r="G2028">
        <v>1082223</v>
      </c>
      <c r="H2028" s="116"/>
      <c r="I2028" s="116"/>
      <c r="L2028" s="170">
        <v>44987</v>
      </c>
      <c r="M2028" s="116">
        <v>370.7</v>
      </c>
      <c r="N2028" s="116">
        <v>372</v>
      </c>
      <c r="O2028" s="116">
        <v>347.3</v>
      </c>
      <c r="P2028" s="116">
        <v>354.45</v>
      </c>
      <c r="Q2028" s="116">
        <v>370.7</v>
      </c>
      <c r="R2028">
        <v>24526040</v>
      </c>
    </row>
    <row r="2029" spans="1:18" x14ac:dyDescent="0.25">
      <c r="A2029" s="170">
        <v>44988</v>
      </c>
      <c r="B2029" s="116">
        <v>399.25</v>
      </c>
      <c r="C2029" s="116">
        <v>392</v>
      </c>
      <c r="D2029" s="116">
        <v>375.75</v>
      </c>
      <c r="E2029" s="116">
        <v>379.55</v>
      </c>
      <c r="F2029" s="116">
        <v>392</v>
      </c>
      <c r="G2029">
        <v>2829990</v>
      </c>
      <c r="H2029" s="116"/>
      <c r="I2029" s="116"/>
      <c r="L2029" s="170">
        <v>44988</v>
      </c>
      <c r="M2029" s="116">
        <v>391.85</v>
      </c>
      <c r="N2029" s="116">
        <v>399.4</v>
      </c>
      <c r="O2029" s="116">
        <v>375.6</v>
      </c>
      <c r="P2029" s="116">
        <v>382.7</v>
      </c>
      <c r="Q2029" s="116">
        <v>391.85</v>
      </c>
      <c r="R2029">
        <v>40022359</v>
      </c>
    </row>
    <row r="2030" spans="1:18" x14ac:dyDescent="0.25">
      <c r="A2030" s="170">
        <v>44991</v>
      </c>
      <c r="B2030" s="116">
        <v>404.95</v>
      </c>
      <c r="C2030" s="116">
        <v>385.55</v>
      </c>
      <c r="D2030" s="116">
        <v>381.3</v>
      </c>
      <c r="E2030" s="116">
        <v>396</v>
      </c>
      <c r="F2030" s="116">
        <v>385.55</v>
      </c>
      <c r="G2030">
        <v>2447811</v>
      </c>
      <c r="H2030" s="116"/>
      <c r="I2030" s="116"/>
      <c r="L2030" s="170">
        <v>44991</v>
      </c>
      <c r="M2030" s="116">
        <v>385.5</v>
      </c>
      <c r="N2030" s="116">
        <v>404.9</v>
      </c>
      <c r="O2030" s="116">
        <v>381.3</v>
      </c>
      <c r="P2030" s="116">
        <v>397.8</v>
      </c>
      <c r="Q2030" s="116">
        <v>385.5</v>
      </c>
      <c r="R2030">
        <v>24525562</v>
      </c>
    </row>
    <row r="2031" spans="1:18" x14ac:dyDescent="0.25">
      <c r="A2031" s="170">
        <v>44993</v>
      </c>
      <c r="B2031" s="116">
        <v>393.5</v>
      </c>
      <c r="C2031" s="116">
        <v>392.05</v>
      </c>
      <c r="D2031" s="116">
        <v>378.6</v>
      </c>
      <c r="E2031" s="116">
        <v>383.8</v>
      </c>
      <c r="F2031" s="116">
        <v>392.05</v>
      </c>
      <c r="G2031">
        <v>1071835</v>
      </c>
      <c r="H2031" s="116"/>
      <c r="I2031" s="116"/>
      <c r="L2031" s="170">
        <v>44993</v>
      </c>
      <c r="M2031" s="116">
        <v>392.1</v>
      </c>
      <c r="N2031" s="116">
        <v>393.5</v>
      </c>
      <c r="O2031" s="116">
        <v>378.65</v>
      </c>
      <c r="P2031" s="116">
        <v>384.8</v>
      </c>
      <c r="Q2031" s="116">
        <v>392.1</v>
      </c>
      <c r="R2031">
        <v>12403307</v>
      </c>
    </row>
    <row r="2032" spans="1:18" x14ac:dyDescent="0.25">
      <c r="A2032" s="170">
        <v>44994</v>
      </c>
      <c r="B2032" s="116">
        <v>394.8</v>
      </c>
      <c r="C2032" s="116">
        <v>384.75</v>
      </c>
      <c r="D2032" s="116">
        <v>383.15</v>
      </c>
      <c r="E2032" s="116">
        <v>393</v>
      </c>
      <c r="F2032" s="116">
        <v>384.75</v>
      </c>
      <c r="G2032">
        <v>571283</v>
      </c>
      <c r="H2032" s="116"/>
      <c r="I2032" s="116"/>
      <c r="L2032" s="170">
        <v>44994</v>
      </c>
      <c r="M2032" s="116">
        <v>384.7</v>
      </c>
      <c r="N2032" s="116">
        <v>395</v>
      </c>
      <c r="O2032" s="116">
        <v>383</v>
      </c>
      <c r="P2032" s="116">
        <v>394.85</v>
      </c>
      <c r="Q2032" s="116">
        <v>384.7</v>
      </c>
      <c r="R2032">
        <v>10496900</v>
      </c>
    </row>
    <row r="2033" spans="1:18" x14ac:dyDescent="0.25">
      <c r="A2033" s="170">
        <v>44995</v>
      </c>
      <c r="B2033" s="116">
        <v>382.7</v>
      </c>
      <c r="C2033" s="116">
        <v>378.35</v>
      </c>
      <c r="D2033" s="116">
        <v>373.35</v>
      </c>
      <c r="E2033" s="116">
        <v>380</v>
      </c>
      <c r="F2033" s="116">
        <v>378.35</v>
      </c>
      <c r="G2033">
        <v>659427</v>
      </c>
      <c r="H2033" s="116"/>
      <c r="I2033" s="116"/>
      <c r="L2033" s="170">
        <v>44995</v>
      </c>
      <c r="M2033" s="116">
        <v>378.35</v>
      </c>
      <c r="N2033" s="116">
        <v>382.35</v>
      </c>
      <c r="O2033" s="116">
        <v>373.4</v>
      </c>
      <c r="P2033" s="116">
        <v>380</v>
      </c>
      <c r="Q2033" s="116">
        <v>378.35</v>
      </c>
      <c r="R2033">
        <v>8021603</v>
      </c>
    </row>
    <row r="2034" spans="1:18" x14ac:dyDescent="0.25">
      <c r="A2034" s="170">
        <v>44998</v>
      </c>
      <c r="B2034" s="116">
        <v>389</v>
      </c>
      <c r="C2034" s="116">
        <v>367.85</v>
      </c>
      <c r="D2034" s="116">
        <v>366.65</v>
      </c>
      <c r="E2034" s="116">
        <v>382.55</v>
      </c>
      <c r="F2034" s="116">
        <v>367.85</v>
      </c>
      <c r="G2034">
        <v>968635</v>
      </c>
      <c r="H2034" s="116"/>
      <c r="I2034" s="116"/>
      <c r="L2034" s="170">
        <v>44998</v>
      </c>
      <c r="M2034" s="116">
        <v>368</v>
      </c>
      <c r="N2034" s="116">
        <v>389.15</v>
      </c>
      <c r="O2034" s="116">
        <v>366.4</v>
      </c>
      <c r="P2034" s="116">
        <v>382.9</v>
      </c>
      <c r="Q2034" s="116">
        <v>368</v>
      </c>
      <c r="R2034">
        <v>12295435</v>
      </c>
    </row>
    <row r="2035" spans="1:18" x14ac:dyDescent="0.25">
      <c r="A2035" s="170">
        <v>44999</v>
      </c>
      <c r="B2035" s="116">
        <v>367.8</v>
      </c>
      <c r="C2035" s="116">
        <v>353.35</v>
      </c>
      <c r="D2035" s="116">
        <v>340.95</v>
      </c>
      <c r="E2035" s="116">
        <v>365.5</v>
      </c>
      <c r="F2035" s="116">
        <v>353.35</v>
      </c>
      <c r="G2035">
        <v>830916</v>
      </c>
      <c r="H2035" s="116"/>
      <c r="I2035" s="116"/>
      <c r="L2035" s="170">
        <v>44999</v>
      </c>
      <c r="M2035" s="116">
        <v>353.4</v>
      </c>
      <c r="N2035" s="116">
        <v>367.85</v>
      </c>
      <c r="O2035" s="116">
        <v>340.8</v>
      </c>
      <c r="P2035" s="116">
        <v>366.05</v>
      </c>
      <c r="Q2035" s="116">
        <v>353.4</v>
      </c>
      <c r="R2035">
        <v>18116432</v>
      </c>
    </row>
    <row r="2036" spans="1:18" x14ac:dyDescent="0.25">
      <c r="A2036" s="170">
        <v>45000</v>
      </c>
      <c r="B2036" s="116">
        <v>366.8</v>
      </c>
      <c r="C2036" s="116">
        <v>364.95</v>
      </c>
      <c r="D2036" s="116">
        <v>347.75</v>
      </c>
      <c r="E2036" s="116">
        <v>354</v>
      </c>
      <c r="F2036" s="116">
        <v>364.95</v>
      </c>
      <c r="G2036">
        <v>907796</v>
      </c>
      <c r="H2036" s="116"/>
      <c r="I2036" s="116"/>
      <c r="L2036" s="170">
        <v>45000</v>
      </c>
      <c r="M2036" s="116">
        <v>365.15</v>
      </c>
      <c r="N2036" s="116">
        <v>367</v>
      </c>
      <c r="O2036" s="116">
        <v>347.65</v>
      </c>
      <c r="P2036" s="116">
        <v>354.5</v>
      </c>
      <c r="Q2036" s="116">
        <v>365.15</v>
      </c>
      <c r="R2036">
        <v>17244370</v>
      </c>
    </row>
    <row r="2037" spans="1:18" x14ac:dyDescent="0.25">
      <c r="A2037" s="170">
        <v>45001</v>
      </c>
      <c r="B2037" s="116">
        <v>384.4</v>
      </c>
      <c r="C2037" s="116">
        <v>378.6</v>
      </c>
      <c r="D2037" s="116">
        <v>360.3</v>
      </c>
      <c r="E2037" s="116">
        <v>366</v>
      </c>
      <c r="F2037" s="116">
        <v>378.6</v>
      </c>
      <c r="G2037">
        <v>604546</v>
      </c>
      <c r="H2037" s="116"/>
      <c r="I2037" s="116"/>
      <c r="L2037" s="170">
        <v>45001</v>
      </c>
      <c r="M2037" s="116">
        <v>378.8</v>
      </c>
      <c r="N2037" s="116">
        <v>384</v>
      </c>
      <c r="O2037" s="116">
        <v>360.25</v>
      </c>
      <c r="P2037" s="116">
        <v>365.9</v>
      </c>
      <c r="Q2037" s="116">
        <v>378.8</v>
      </c>
      <c r="R2037">
        <v>17263261</v>
      </c>
    </row>
    <row r="2038" spans="1:18" x14ac:dyDescent="0.25">
      <c r="A2038" s="170">
        <v>45002</v>
      </c>
      <c r="B2038" s="116">
        <v>386.35</v>
      </c>
      <c r="C2038" s="116">
        <v>378.25</v>
      </c>
      <c r="D2038" s="116">
        <v>371.05</v>
      </c>
      <c r="E2038" s="116">
        <v>381.25</v>
      </c>
      <c r="F2038" s="116">
        <v>378.25</v>
      </c>
      <c r="G2038">
        <v>483263</v>
      </c>
      <c r="H2038" s="116"/>
      <c r="I2038" s="116"/>
      <c r="L2038" s="170">
        <v>45002</v>
      </c>
      <c r="M2038" s="116">
        <v>378.45</v>
      </c>
      <c r="N2038" s="116">
        <v>386.65</v>
      </c>
      <c r="O2038" s="116">
        <v>371.05</v>
      </c>
      <c r="P2038" s="116">
        <v>384</v>
      </c>
      <c r="Q2038" s="116">
        <v>378.45</v>
      </c>
      <c r="R2038">
        <v>12121438</v>
      </c>
    </row>
    <row r="2039" spans="1:18" x14ac:dyDescent="0.25">
      <c r="A2039" s="170">
        <v>45005</v>
      </c>
      <c r="B2039" s="116">
        <v>376.4</v>
      </c>
      <c r="C2039" s="116">
        <v>365.5</v>
      </c>
      <c r="D2039" s="116">
        <v>360.35</v>
      </c>
      <c r="E2039" s="116">
        <v>374.25</v>
      </c>
      <c r="F2039" s="116">
        <v>365.5</v>
      </c>
      <c r="G2039">
        <v>387926</v>
      </c>
      <c r="H2039" s="116"/>
      <c r="I2039" s="116"/>
      <c r="L2039" s="170">
        <v>45005</v>
      </c>
      <c r="M2039" s="116">
        <v>365.4</v>
      </c>
      <c r="N2039" s="116">
        <v>376.55</v>
      </c>
      <c r="O2039" s="116">
        <v>360.3</v>
      </c>
      <c r="P2039" s="116">
        <v>376.1</v>
      </c>
      <c r="Q2039" s="116">
        <v>365.4</v>
      </c>
      <c r="R2039">
        <v>9301805</v>
      </c>
    </row>
    <row r="2040" spans="1:18" x14ac:dyDescent="0.25">
      <c r="A2040" s="170">
        <v>45006</v>
      </c>
      <c r="B2040" s="116">
        <v>374.65</v>
      </c>
      <c r="C2040" s="116">
        <v>370.9</v>
      </c>
      <c r="D2040" s="116">
        <v>366.55</v>
      </c>
      <c r="E2040" s="116">
        <v>368.6</v>
      </c>
      <c r="F2040" s="116">
        <v>370.9</v>
      </c>
      <c r="G2040">
        <v>407129</v>
      </c>
      <c r="H2040" s="116"/>
      <c r="I2040" s="116"/>
      <c r="L2040" s="170">
        <v>45006</v>
      </c>
      <c r="M2040" s="116">
        <v>370.9</v>
      </c>
      <c r="N2040" s="116">
        <v>374.7</v>
      </c>
      <c r="O2040" s="116">
        <v>366.2</v>
      </c>
      <c r="P2040" s="116">
        <v>369.7</v>
      </c>
      <c r="Q2040" s="116">
        <v>370.9</v>
      </c>
      <c r="R2040">
        <v>7159231</v>
      </c>
    </row>
    <row r="2041" spans="1:18" x14ac:dyDescent="0.25">
      <c r="A2041" s="170">
        <v>45007</v>
      </c>
      <c r="B2041" s="116">
        <v>378.2</v>
      </c>
      <c r="C2041" s="116">
        <v>375.7</v>
      </c>
      <c r="D2041" s="116">
        <v>371.5</v>
      </c>
      <c r="E2041" s="116">
        <v>372.05</v>
      </c>
      <c r="F2041" s="116">
        <v>375.7</v>
      </c>
      <c r="G2041">
        <v>445042</v>
      </c>
      <c r="H2041" s="116"/>
      <c r="I2041" s="116"/>
      <c r="L2041" s="170">
        <v>45007</v>
      </c>
      <c r="M2041" s="116">
        <v>375.55</v>
      </c>
      <c r="N2041" s="116">
        <v>378.2</v>
      </c>
      <c r="O2041" s="116">
        <v>371.4</v>
      </c>
      <c r="P2041" s="116">
        <v>373.4</v>
      </c>
      <c r="Q2041" s="116">
        <v>375.55</v>
      </c>
      <c r="R2041">
        <v>6498593</v>
      </c>
    </row>
    <row r="2042" spans="1:18" x14ac:dyDescent="0.25">
      <c r="A2042" s="170">
        <v>45008</v>
      </c>
      <c r="B2042" s="116">
        <v>377.35</v>
      </c>
      <c r="C2042" s="116">
        <v>372</v>
      </c>
      <c r="D2042" s="116">
        <v>370.8</v>
      </c>
      <c r="E2042" s="116">
        <v>373</v>
      </c>
      <c r="F2042" s="116">
        <v>372</v>
      </c>
      <c r="G2042">
        <v>451587</v>
      </c>
      <c r="H2042" s="116"/>
      <c r="I2042" s="116"/>
      <c r="L2042" s="170">
        <v>45008</v>
      </c>
      <c r="M2042" s="116">
        <v>372.15</v>
      </c>
      <c r="N2042" s="116">
        <v>377.3</v>
      </c>
      <c r="O2042" s="116">
        <v>370.4</v>
      </c>
      <c r="P2042" s="116">
        <v>373</v>
      </c>
      <c r="Q2042" s="116">
        <v>372.15</v>
      </c>
      <c r="R2042">
        <v>8428310</v>
      </c>
    </row>
    <row r="2043" spans="1:18" x14ac:dyDescent="0.25">
      <c r="A2043" s="170">
        <v>45009</v>
      </c>
      <c r="B2043" s="116">
        <v>376.35</v>
      </c>
      <c r="C2043" s="116">
        <v>371.95</v>
      </c>
      <c r="D2043" s="116">
        <v>369</v>
      </c>
      <c r="E2043" s="116">
        <v>372.4</v>
      </c>
      <c r="F2043" s="116">
        <v>371.95</v>
      </c>
      <c r="G2043">
        <v>358147</v>
      </c>
      <c r="H2043" s="116"/>
      <c r="I2043" s="116"/>
      <c r="L2043" s="170">
        <v>45009</v>
      </c>
      <c r="M2043" s="116">
        <v>371.8</v>
      </c>
      <c r="N2043" s="116">
        <v>376.5</v>
      </c>
      <c r="O2043" s="116">
        <v>368.05</v>
      </c>
      <c r="P2043" s="116">
        <v>373</v>
      </c>
      <c r="Q2043" s="116">
        <v>371.8</v>
      </c>
      <c r="R2043">
        <v>9512792</v>
      </c>
    </row>
    <row r="2044" spans="1:18" x14ac:dyDescent="0.25">
      <c r="A2044" s="170">
        <v>45012</v>
      </c>
      <c r="B2044" s="116">
        <v>374.7</v>
      </c>
      <c r="C2044" s="116">
        <v>369.75</v>
      </c>
      <c r="D2044" s="116">
        <v>367.4</v>
      </c>
      <c r="E2044" s="116">
        <v>371.35</v>
      </c>
      <c r="F2044" s="116">
        <v>369.75</v>
      </c>
      <c r="G2044">
        <v>466383</v>
      </c>
      <c r="H2044" s="116"/>
      <c r="I2044" s="116"/>
      <c r="L2044" s="170">
        <v>45012</v>
      </c>
      <c r="M2044" s="116">
        <v>370</v>
      </c>
      <c r="N2044" s="116">
        <v>374.8</v>
      </c>
      <c r="O2044" s="116">
        <v>367.45</v>
      </c>
      <c r="P2044" s="116">
        <v>372.6</v>
      </c>
      <c r="Q2044" s="116">
        <v>370</v>
      </c>
      <c r="R2044">
        <v>6288107</v>
      </c>
    </row>
    <row r="2045" spans="1:18" x14ac:dyDescent="0.25">
      <c r="A2045" s="170">
        <v>45013</v>
      </c>
      <c r="B2045" s="116">
        <v>373.45</v>
      </c>
      <c r="C2045" s="116">
        <v>359</v>
      </c>
      <c r="D2045" s="116">
        <v>354.2</v>
      </c>
      <c r="E2045" s="116">
        <v>370.55</v>
      </c>
      <c r="F2045" s="116">
        <v>359</v>
      </c>
      <c r="G2045">
        <v>540319</v>
      </c>
      <c r="H2045" s="116"/>
      <c r="I2045" s="116"/>
      <c r="L2045" s="170">
        <v>45013</v>
      </c>
      <c r="M2045" s="116">
        <v>358.95</v>
      </c>
      <c r="N2045" s="116">
        <v>373.65</v>
      </c>
      <c r="O2045" s="116">
        <v>354.3</v>
      </c>
      <c r="P2045" s="116">
        <v>371.8</v>
      </c>
      <c r="Q2045" s="116">
        <v>358.95</v>
      </c>
      <c r="R2045">
        <v>15688794</v>
      </c>
    </row>
    <row r="2046" spans="1:18" x14ac:dyDescent="0.25">
      <c r="A2046" s="170">
        <v>45014</v>
      </c>
      <c r="B2046" s="116">
        <v>366.95</v>
      </c>
      <c r="C2046" s="116">
        <v>364.45</v>
      </c>
      <c r="D2046" s="116">
        <v>358.2</v>
      </c>
      <c r="E2046" s="116">
        <v>359</v>
      </c>
      <c r="F2046" s="116">
        <v>364.45</v>
      </c>
      <c r="G2046">
        <v>502606</v>
      </c>
      <c r="H2046" s="116"/>
      <c r="I2046" s="116"/>
      <c r="L2046" s="170">
        <v>45014</v>
      </c>
      <c r="M2046" s="116">
        <v>363.9</v>
      </c>
      <c r="N2046" s="116">
        <v>367.05</v>
      </c>
      <c r="O2046" s="116">
        <v>358.2</v>
      </c>
      <c r="P2046" s="116">
        <v>360</v>
      </c>
      <c r="Q2046" s="116">
        <v>363.9</v>
      </c>
      <c r="R2046">
        <v>9558023</v>
      </c>
    </row>
    <row r="2047" spans="1:18" x14ac:dyDescent="0.25">
      <c r="A2047" s="170">
        <v>45016</v>
      </c>
      <c r="B2047" s="116">
        <v>370.6</v>
      </c>
      <c r="C2047" s="116">
        <v>365.45</v>
      </c>
      <c r="D2047" s="116">
        <v>364</v>
      </c>
      <c r="E2047" s="116">
        <v>366.15</v>
      </c>
      <c r="F2047" s="116">
        <v>365.45</v>
      </c>
      <c r="G2047">
        <v>382296</v>
      </c>
      <c r="H2047" s="116"/>
      <c r="I2047" s="116"/>
      <c r="L2047" s="170">
        <v>45016</v>
      </c>
      <c r="M2047" s="116">
        <v>365.55</v>
      </c>
      <c r="N2047" s="116">
        <v>370.6</v>
      </c>
      <c r="O2047" s="116">
        <v>364</v>
      </c>
      <c r="P2047" s="116">
        <v>367.5</v>
      </c>
      <c r="Q2047" s="116">
        <v>365.55</v>
      </c>
      <c r="R2047">
        <v>5945285</v>
      </c>
    </row>
    <row r="2048" spans="1:18" x14ac:dyDescent="0.25">
      <c r="A2048" s="170">
        <v>45019</v>
      </c>
      <c r="B2048" s="116">
        <v>376.5</v>
      </c>
      <c r="C2048" s="116">
        <v>374.85</v>
      </c>
      <c r="D2048" s="116">
        <v>363.8</v>
      </c>
      <c r="E2048" s="116">
        <v>367.7</v>
      </c>
      <c r="F2048" s="116">
        <v>374.85</v>
      </c>
      <c r="G2048">
        <v>191503</v>
      </c>
      <c r="H2048" s="116"/>
      <c r="I2048" s="116"/>
      <c r="L2048" s="170">
        <v>45019</v>
      </c>
      <c r="M2048" s="116">
        <v>374.8</v>
      </c>
      <c r="N2048" s="116">
        <v>376.65</v>
      </c>
      <c r="O2048" s="116">
        <v>363.5</v>
      </c>
      <c r="P2048" s="116">
        <v>368.95</v>
      </c>
      <c r="Q2048" s="116">
        <v>374.8</v>
      </c>
      <c r="R2048">
        <v>6083504</v>
      </c>
    </row>
    <row r="2049" spans="1:18" x14ac:dyDescent="0.25">
      <c r="A2049" s="170">
        <v>45021</v>
      </c>
      <c r="B2049" s="116">
        <v>380.65</v>
      </c>
      <c r="C2049" s="116">
        <v>379.95</v>
      </c>
      <c r="D2049" s="116">
        <v>371.45</v>
      </c>
      <c r="E2049" s="116">
        <v>373.1</v>
      </c>
      <c r="F2049" s="116">
        <v>379.95</v>
      </c>
      <c r="G2049">
        <v>410715</v>
      </c>
      <c r="H2049" s="116"/>
      <c r="I2049" s="116"/>
      <c r="L2049" s="170">
        <v>45021</v>
      </c>
      <c r="M2049" s="116">
        <v>379.95</v>
      </c>
      <c r="N2049" s="116">
        <v>380.9</v>
      </c>
      <c r="O2049" s="116">
        <v>371.25</v>
      </c>
      <c r="P2049" s="116">
        <v>374.5</v>
      </c>
      <c r="Q2049" s="116">
        <v>379.95</v>
      </c>
      <c r="R2049">
        <v>6528840</v>
      </c>
    </row>
    <row r="2050" spans="1:18" x14ac:dyDescent="0.25">
      <c r="A2050" s="170">
        <v>45022</v>
      </c>
      <c r="B2050" s="116">
        <v>386.4</v>
      </c>
      <c r="C2050" s="116">
        <v>383.45</v>
      </c>
      <c r="D2050" s="116">
        <v>376.4</v>
      </c>
      <c r="E2050" s="116">
        <v>376.4</v>
      </c>
      <c r="F2050" s="116">
        <v>383.45</v>
      </c>
      <c r="G2050">
        <v>290682</v>
      </c>
      <c r="H2050" s="116"/>
      <c r="I2050" s="116"/>
      <c r="L2050" s="170">
        <v>45022</v>
      </c>
      <c r="M2050" s="116">
        <v>383.6</v>
      </c>
      <c r="N2050" s="116">
        <v>386.5</v>
      </c>
      <c r="O2050" s="116">
        <v>377.2</v>
      </c>
      <c r="P2050" s="116">
        <v>378.85</v>
      </c>
      <c r="Q2050" s="116">
        <v>383.6</v>
      </c>
      <c r="R2050">
        <v>5658596</v>
      </c>
    </row>
    <row r="2051" spans="1:18" x14ac:dyDescent="0.25">
      <c r="A2051" s="170">
        <v>45026</v>
      </c>
      <c r="B2051" s="116">
        <v>389.65</v>
      </c>
      <c r="C2051" s="116">
        <v>384.1</v>
      </c>
      <c r="D2051" s="116">
        <v>383.25</v>
      </c>
      <c r="E2051" s="116">
        <v>384</v>
      </c>
      <c r="F2051" s="116">
        <v>384.1</v>
      </c>
      <c r="G2051">
        <v>125040</v>
      </c>
      <c r="H2051" s="116"/>
      <c r="I2051" s="116"/>
      <c r="L2051" s="170">
        <v>45026</v>
      </c>
      <c r="M2051" s="116">
        <v>384.35</v>
      </c>
      <c r="N2051" s="116">
        <v>389.6</v>
      </c>
      <c r="O2051" s="116">
        <v>383.25</v>
      </c>
      <c r="P2051" s="116">
        <v>385.7</v>
      </c>
      <c r="Q2051" s="116">
        <v>384.35</v>
      </c>
      <c r="R2051">
        <v>3153982</v>
      </c>
    </row>
    <row r="2052" spans="1:18" x14ac:dyDescent="0.25">
      <c r="A2052" s="170">
        <v>45027</v>
      </c>
      <c r="B2052" s="116">
        <v>388.55</v>
      </c>
      <c r="C2052" s="116">
        <v>384.25</v>
      </c>
      <c r="D2052" s="116">
        <v>381</v>
      </c>
      <c r="E2052" s="116">
        <v>385</v>
      </c>
      <c r="F2052" s="116">
        <v>384.25</v>
      </c>
      <c r="G2052">
        <v>151996</v>
      </c>
      <c r="H2052" s="116"/>
      <c r="I2052" s="116"/>
      <c r="L2052" s="170">
        <v>45027</v>
      </c>
      <c r="M2052" s="116">
        <v>384.4</v>
      </c>
      <c r="N2052" s="116">
        <v>388.5</v>
      </c>
      <c r="O2052" s="116">
        <v>380.8</v>
      </c>
      <c r="P2052" s="116">
        <v>385.95</v>
      </c>
      <c r="Q2052" s="116">
        <v>384.4</v>
      </c>
      <c r="R2052">
        <v>3415299</v>
      </c>
    </row>
    <row r="2053" spans="1:18" x14ac:dyDescent="0.25">
      <c r="A2053" s="170">
        <v>45028</v>
      </c>
      <c r="B2053" s="116">
        <v>397.65</v>
      </c>
      <c r="C2053" s="116">
        <v>396.1</v>
      </c>
      <c r="D2053" s="116">
        <v>382.8</v>
      </c>
      <c r="E2053" s="116">
        <v>384.65</v>
      </c>
      <c r="F2053" s="116">
        <v>396.1</v>
      </c>
      <c r="G2053">
        <v>266621</v>
      </c>
      <c r="H2053" s="116"/>
      <c r="I2053" s="116"/>
      <c r="L2053" s="170">
        <v>45028</v>
      </c>
      <c r="M2053" s="116">
        <v>396.05</v>
      </c>
      <c r="N2053" s="116">
        <v>397.75</v>
      </c>
      <c r="O2053" s="116">
        <v>382.7</v>
      </c>
      <c r="P2053" s="116">
        <v>385.9</v>
      </c>
      <c r="Q2053" s="116">
        <v>396.05</v>
      </c>
      <c r="R2053">
        <v>9415387</v>
      </c>
    </row>
    <row r="2054" spans="1:18" x14ac:dyDescent="0.25">
      <c r="A2054" s="170">
        <v>45029</v>
      </c>
      <c r="B2054" s="116">
        <v>396.5</v>
      </c>
      <c r="C2054" s="116">
        <v>392.45</v>
      </c>
      <c r="D2054" s="116">
        <v>390.05</v>
      </c>
      <c r="E2054" s="116">
        <v>394.55</v>
      </c>
      <c r="F2054" s="116">
        <v>392.45</v>
      </c>
      <c r="G2054">
        <v>266646</v>
      </c>
      <c r="H2054" s="116"/>
      <c r="I2054" s="116"/>
      <c r="L2054" s="170">
        <v>45029</v>
      </c>
      <c r="M2054" s="116">
        <v>392.65</v>
      </c>
      <c r="N2054" s="116">
        <v>396.6</v>
      </c>
      <c r="O2054" s="116">
        <v>390.05</v>
      </c>
      <c r="P2054" s="116">
        <v>394.9</v>
      </c>
      <c r="Q2054" s="116">
        <v>392.65</v>
      </c>
      <c r="R2054">
        <v>6239974</v>
      </c>
    </row>
    <row r="2055" spans="1:18" x14ac:dyDescent="0.25">
      <c r="A2055" s="170">
        <v>45033</v>
      </c>
      <c r="B2055" s="116">
        <v>394.95</v>
      </c>
      <c r="C2055" s="116">
        <v>391.4</v>
      </c>
      <c r="D2055" s="116">
        <v>387</v>
      </c>
      <c r="E2055" s="116">
        <v>389.25</v>
      </c>
      <c r="F2055" s="116">
        <v>391.4</v>
      </c>
      <c r="G2055">
        <v>155453</v>
      </c>
      <c r="H2055" s="116"/>
      <c r="I2055" s="116"/>
      <c r="L2055" s="170">
        <v>45033</v>
      </c>
      <c r="M2055" s="116">
        <v>391.55</v>
      </c>
      <c r="N2055" s="116">
        <v>395.05</v>
      </c>
      <c r="O2055" s="116">
        <v>387.05</v>
      </c>
      <c r="P2055" s="116">
        <v>392</v>
      </c>
      <c r="Q2055" s="116">
        <v>391.55</v>
      </c>
      <c r="R2055">
        <v>4916449</v>
      </c>
    </row>
    <row r="2056" spans="1:18" x14ac:dyDescent="0.25">
      <c r="A2056" s="170">
        <v>45034</v>
      </c>
      <c r="B2056" s="116">
        <v>394</v>
      </c>
      <c r="C2056" s="116">
        <v>382.8</v>
      </c>
      <c r="D2056" s="116">
        <v>380.15</v>
      </c>
      <c r="E2056" s="116">
        <v>390.8</v>
      </c>
      <c r="F2056" s="116">
        <v>382.8</v>
      </c>
      <c r="G2056">
        <v>104800</v>
      </c>
      <c r="H2056" s="116"/>
      <c r="I2056" s="116"/>
      <c r="L2056" s="170">
        <v>45034</v>
      </c>
      <c r="M2056" s="116">
        <v>383.05</v>
      </c>
      <c r="N2056" s="116">
        <v>394.3</v>
      </c>
      <c r="O2056" s="116">
        <v>379.9</v>
      </c>
      <c r="P2056" s="116">
        <v>391.55</v>
      </c>
      <c r="Q2056" s="116">
        <v>383.05</v>
      </c>
      <c r="R2056">
        <v>3986619</v>
      </c>
    </row>
    <row r="2057" spans="1:18" x14ac:dyDescent="0.25">
      <c r="A2057" s="170">
        <v>45035</v>
      </c>
      <c r="B2057" s="116">
        <v>388</v>
      </c>
      <c r="C2057" s="116">
        <v>379.8</v>
      </c>
      <c r="D2057" s="116">
        <v>377.7</v>
      </c>
      <c r="E2057" s="116">
        <v>383.55</v>
      </c>
      <c r="F2057" s="116">
        <v>379.8</v>
      </c>
      <c r="G2057">
        <v>99966</v>
      </c>
      <c r="H2057" s="116"/>
      <c r="I2057" s="116"/>
      <c r="L2057" s="170">
        <v>45035</v>
      </c>
      <c r="M2057" s="116">
        <v>380.05</v>
      </c>
      <c r="N2057" s="116">
        <v>388.2</v>
      </c>
      <c r="O2057" s="116">
        <v>377.65</v>
      </c>
      <c r="P2057" s="116">
        <v>384</v>
      </c>
      <c r="Q2057" s="116">
        <v>380.05</v>
      </c>
      <c r="R2057">
        <v>3600019</v>
      </c>
    </row>
    <row r="2058" spans="1:18" x14ac:dyDescent="0.25">
      <c r="A2058" s="170">
        <v>45036</v>
      </c>
      <c r="B2058" s="116">
        <v>382.15</v>
      </c>
      <c r="C2058" s="116">
        <v>380.75</v>
      </c>
      <c r="D2058" s="116">
        <v>378.4</v>
      </c>
      <c r="E2058" s="116">
        <v>378.55</v>
      </c>
      <c r="F2058" s="116">
        <v>380.75</v>
      </c>
      <c r="G2058">
        <v>139083</v>
      </c>
      <c r="H2058" s="116"/>
      <c r="I2058" s="116"/>
      <c r="L2058" s="170">
        <v>45036</v>
      </c>
      <c r="M2058" s="116">
        <v>380.7</v>
      </c>
      <c r="N2058" s="116">
        <v>382.3</v>
      </c>
      <c r="O2058" s="116">
        <v>378.1</v>
      </c>
      <c r="P2058" s="116">
        <v>380.5</v>
      </c>
      <c r="Q2058" s="116">
        <v>380.7</v>
      </c>
      <c r="R2058">
        <v>4345525</v>
      </c>
    </row>
    <row r="2059" spans="1:18" x14ac:dyDescent="0.25">
      <c r="A2059" s="170">
        <v>45037</v>
      </c>
      <c r="B2059" s="116">
        <v>382.5</v>
      </c>
      <c r="C2059" s="116">
        <v>374.5</v>
      </c>
      <c r="D2059" s="116">
        <v>373.3</v>
      </c>
      <c r="E2059" s="116">
        <v>379.7</v>
      </c>
      <c r="F2059" s="116">
        <v>374.5</v>
      </c>
      <c r="G2059">
        <v>184561</v>
      </c>
      <c r="H2059" s="116"/>
      <c r="I2059" s="116"/>
      <c r="L2059" s="170">
        <v>45037</v>
      </c>
      <c r="M2059" s="116">
        <v>375.1</v>
      </c>
      <c r="N2059" s="116">
        <v>382</v>
      </c>
      <c r="O2059" s="116">
        <v>373.4</v>
      </c>
      <c r="P2059" s="116">
        <v>381.25</v>
      </c>
      <c r="Q2059" s="116">
        <v>375.1</v>
      </c>
      <c r="R2059">
        <v>4286701</v>
      </c>
    </row>
    <row r="2060" spans="1:18" x14ac:dyDescent="0.25">
      <c r="A2060" s="170">
        <v>45040</v>
      </c>
      <c r="B2060" s="116">
        <v>383</v>
      </c>
      <c r="C2060" s="116">
        <v>381.7</v>
      </c>
      <c r="D2060" s="116">
        <v>373.4</v>
      </c>
      <c r="E2060" s="116">
        <v>374.45</v>
      </c>
      <c r="F2060" s="116">
        <v>381.7</v>
      </c>
      <c r="G2060">
        <v>116195</v>
      </c>
      <c r="H2060" s="116"/>
      <c r="I2060" s="116"/>
      <c r="L2060" s="170">
        <v>45040</v>
      </c>
      <c r="M2060" s="116">
        <v>380.3</v>
      </c>
      <c r="N2060" s="116">
        <v>382.9</v>
      </c>
      <c r="O2060" s="116">
        <v>373.35</v>
      </c>
      <c r="P2060" s="116">
        <v>375.1</v>
      </c>
      <c r="Q2060" s="116">
        <v>380.3</v>
      </c>
      <c r="R2060">
        <v>3030412</v>
      </c>
    </row>
    <row r="2061" spans="1:18" x14ac:dyDescent="0.25">
      <c r="A2061" s="170">
        <v>45041</v>
      </c>
      <c r="B2061" s="116">
        <v>387.5</v>
      </c>
      <c r="C2061" s="116">
        <v>382.6</v>
      </c>
      <c r="D2061" s="116">
        <v>380.55</v>
      </c>
      <c r="E2061" s="116">
        <v>382</v>
      </c>
      <c r="F2061" s="116">
        <v>382.6</v>
      </c>
      <c r="G2061">
        <v>220433</v>
      </c>
      <c r="H2061" s="116"/>
      <c r="I2061" s="116"/>
      <c r="L2061" s="170">
        <v>45041</v>
      </c>
      <c r="M2061" s="116">
        <v>382.5</v>
      </c>
      <c r="N2061" s="116">
        <v>387.55</v>
      </c>
      <c r="O2061" s="116">
        <v>380.6</v>
      </c>
      <c r="P2061" s="116">
        <v>381.65</v>
      </c>
      <c r="Q2061" s="116">
        <v>382.5</v>
      </c>
      <c r="R2061">
        <v>4790001</v>
      </c>
    </row>
    <row r="2062" spans="1:18" x14ac:dyDescent="0.25">
      <c r="A2062" s="170">
        <v>45042</v>
      </c>
      <c r="B2062" s="116">
        <v>389.85</v>
      </c>
      <c r="C2062" s="116">
        <v>386.7</v>
      </c>
      <c r="D2062" s="116">
        <v>380.2</v>
      </c>
      <c r="E2062" s="116">
        <v>381.05</v>
      </c>
      <c r="F2062" s="116">
        <v>386.7</v>
      </c>
      <c r="G2062">
        <v>189191</v>
      </c>
      <c r="H2062" s="116"/>
      <c r="I2062" s="116"/>
      <c r="L2062" s="170">
        <v>45042</v>
      </c>
      <c r="M2062" s="116">
        <v>386.45</v>
      </c>
      <c r="N2062" s="116">
        <v>390</v>
      </c>
      <c r="O2062" s="116">
        <v>380.15</v>
      </c>
      <c r="P2062" s="116">
        <v>382</v>
      </c>
      <c r="Q2062" s="116">
        <v>386.45</v>
      </c>
      <c r="R2062">
        <v>4369712</v>
      </c>
    </row>
    <row r="2063" spans="1:18" x14ac:dyDescent="0.25">
      <c r="A2063" s="170">
        <v>45043</v>
      </c>
      <c r="B2063" s="116">
        <v>390.35</v>
      </c>
      <c r="C2063" s="116">
        <v>388.85</v>
      </c>
      <c r="D2063" s="116">
        <v>382.7</v>
      </c>
      <c r="E2063" s="116">
        <v>385.25</v>
      </c>
      <c r="F2063" s="116">
        <v>388.85</v>
      </c>
      <c r="G2063">
        <v>270313</v>
      </c>
      <c r="H2063" s="116"/>
      <c r="I2063" s="116"/>
      <c r="L2063" s="170">
        <v>45043</v>
      </c>
      <c r="M2063" s="116">
        <v>388.8</v>
      </c>
      <c r="N2063" s="116">
        <v>390.5</v>
      </c>
      <c r="O2063" s="116">
        <v>382.75</v>
      </c>
      <c r="P2063" s="116">
        <v>386.45</v>
      </c>
      <c r="Q2063" s="116">
        <v>388.8</v>
      </c>
      <c r="R2063">
        <v>5093452</v>
      </c>
    </row>
    <row r="2064" spans="1:18" x14ac:dyDescent="0.25">
      <c r="A2064" s="170">
        <v>45044</v>
      </c>
      <c r="B2064" s="116">
        <v>399.35</v>
      </c>
      <c r="C2064" s="116">
        <v>396.3</v>
      </c>
      <c r="D2064" s="116">
        <v>384.15</v>
      </c>
      <c r="E2064" s="116">
        <v>388.5</v>
      </c>
      <c r="F2064" s="116">
        <v>396.3</v>
      </c>
      <c r="G2064">
        <v>752042</v>
      </c>
      <c r="H2064" s="116"/>
      <c r="I2064" s="116"/>
      <c r="L2064" s="170">
        <v>45044</v>
      </c>
      <c r="M2064" s="116">
        <v>396.5</v>
      </c>
      <c r="N2064" s="116">
        <v>399.5</v>
      </c>
      <c r="O2064" s="116">
        <v>384.1</v>
      </c>
      <c r="P2064" s="116">
        <v>390</v>
      </c>
      <c r="Q2064" s="116">
        <v>396.5</v>
      </c>
      <c r="R2064">
        <v>11030482</v>
      </c>
    </row>
    <row r="2065" spans="1:18" x14ac:dyDescent="0.25">
      <c r="A2065" s="170">
        <v>45048</v>
      </c>
      <c r="B2065" s="116">
        <v>399.2</v>
      </c>
      <c r="C2065" s="116">
        <v>394.4</v>
      </c>
      <c r="D2065" s="116">
        <v>389.1</v>
      </c>
      <c r="E2065" s="116">
        <v>396.35</v>
      </c>
      <c r="F2065" s="116">
        <v>394.4</v>
      </c>
      <c r="G2065">
        <v>387925</v>
      </c>
      <c r="H2065" s="116"/>
      <c r="I2065" s="116"/>
      <c r="L2065" s="170">
        <v>45048</v>
      </c>
      <c r="M2065" s="116">
        <v>394.4</v>
      </c>
      <c r="N2065" s="116">
        <v>399.4</v>
      </c>
      <c r="O2065" s="116">
        <v>389.05</v>
      </c>
      <c r="P2065" s="116">
        <v>398</v>
      </c>
      <c r="Q2065" s="116">
        <v>394.4</v>
      </c>
      <c r="R2065">
        <v>7419371</v>
      </c>
    </row>
    <row r="2066" spans="1:18" x14ac:dyDescent="0.25">
      <c r="A2066" s="170">
        <v>45049</v>
      </c>
      <c r="B2066" s="116">
        <v>400.35</v>
      </c>
      <c r="C2066" s="116">
        <v>383.5</v>
      </c>
      <c r="D2066" s="116">
        <v>376</v>
      </c>
      <c r="E2066" s="116">
        <v>394</v>
      </c>
      <c r="F2066" s="116">
        <v>383.5</v>
      </c>
      <c r="G2066">
        <v>436553</v>
      </c>
      <c r="H2066" s="116"/>
      <c r="I2066" s="116"/>
      <c r="L2066" s="170">
        <v>45049</v>
      </c>
      <c r="M2066" s="116">
        <v>383.65</v>
      </c>
      <c r="N2066" s="116">
        <v>400.55</v>
      </c>
      <c r="O2066" s="116">
        <v>375.75</v>
      </c>
      <c r="P2066" s="116">
        <v>392.9</v>
      </c>
      <c r="Q2066" s="116">
        <v>383.65</v>
      </c>
      <c r="R2066">
        <v>13078081</v>
      </c>
    </row>
    <row r="2067" spans="1:18" x14ac:dyDescent="0.25">
      <c r="A2067" s="170">
        <v>45050</v>
      </c>
      <c r="B2067" s="116">
        <v>390.75</v>
      </c>
      <c r="C2067" s="116">
        <v>388.45</v>
      </c>
      <c r="D2067" s="116">
        <v>381.25</v>
      </c>
      <c r="E2067" s="116">
        <v>382.2</v>
      </c>
      <c r="F2067" s="116">
        <v>388.45</v>
      </c>
      <c r="G2067">
        <v>209172</v>
      </c>
      <c r="H2067" s="116"/>
      <c r="I2067" s="116"/>
      <c r="L2067" s="170">
        <v>45050</v>
      </c>
      <c r="M2067" s="116">
        <v>388.3</v>
      </c>
      <c r="N2067" s="116">
        <v>390.85</v>
      </c>
      <c r="O2067" s="116">
        <v>380.6</v>
      </c>
      <c r="P2067" s="116">
        <v>384</v>
      </c>
      <c r="Q2067" s="116">
        <v>388.3</v>
      </c>
      <c r="R2067">
        <v>6828148</v>
      </c>
    </row>
    <row r="2068" spans="1:18" x14ac:dyDescent="0.25">
      <c r="A2068" s="170">
        <v>45051</v>
      </c>
      <c r="B2068" s="116">
        <v>406</v>
      </c>
      <c r="C2068" s="116">
        <v>400.5</v>
      </c>
      <c r="D2068" s="116">
        <v>387.05</v>
      </c>
      <c r="E2068" s="116">
        <v>388.05</v>
      </c>
      <c r="F2068" s="116">
        <v>400.5</v>
      </c>
      <c r="G2068">
        <v>918088</v>
      </c>
      <c r="H2068" s="116"/>
      <c r="I2068" s="116"/>
      <c r="L2068" s="170">
        <v>45051</v>
      </c>
      <c r="M2068" s="116">
        <v>400.55</v>
      </c>
      <c r="N2068" s="116">
        <v>406</v>
      </c>
      <c r="O2068" s="116">
        <v>387.45</v>
      </c>
      <c r="P2068" s="116">
        <v>388.5</v>
      </c>
      <c r="Q2068" s="116">
        <v>400.55</v>
      </c>
      <c r="R2068">
        <v>11844907</v>
      </c>
    </row>
    <row r="2069" spans="1:18" x14ac:dyDescent="0.25">
      <c r="A2069" s="170">
        <v>45054</v>
      </c>
      <c r="B2069" s="116">
        <v>408.8</v>
      </c>
      <c r="C2069" s="116">
        <v>405.55</v>
      </c>
      <c r="D2069" s="116">
        <v>401</v>
      </c>
      <c r="E2069" s="116">
        <v>404</v>
      </c>
      <c r="F2069" s="116">
        <v>405.55</v>
      </c>
      <c r="G2069">
        <v>203393</v>
      </c>
      <c r="H2069" s="116"/>
      <c r="I2069" s="116"/>
      <c r="L2069" s="170">
        <v>45054</v>
      </c>
      <c r="M2069" s="116">
        <v>405.5</v>
      </c>
      <c r="N2069" s="116">
        <v>408.9</v>
      </c>
      <c r="O2069" s="116">
        <v>400.7</v>
      </c>
      <c r="P2069" s="116">
        <v>404.8</v>
      </c>
      <c r="Q2069" s="116">
        <v>405.5</v>
      </c>
      <c r="R2069">
        <v>6282119</v>
      </c>
    </row>
    <row r="2070" spans="1:18" x14ac:dyDescent="0.25">
      <c r="A2070" s="170">
        <v>45055</v>
      </c>
      <c r="B2070" s="116">
        <v>412.3</v>
      </c>
      <c r="C2070" s="116">
        <v>405.55</v>
      </c>
      <c r="D2070" s="116">
        <v>403.25</v>
      </c>
      <c r="E2070" s="116">
        <v>406.6</v>
      </c>
      <c r="F2070" s="116">
        <v>405.55</v>
      </c>
      <c r="G2070">
        <v>423787</v>
      </c>
      <c r="H2070" s="116"/>
      <c r="I2070" s="116"/>
      <c r="L2070" s="170">
        <v>45055</v>
      </c>
      <c r="M2070" s="116">
        <v>405.65</v>
      </c>
      <c r="N2070" s="116">
        <v>412.4</v>
      </c>
      <c r="O2070" s="116">
        <v>403.45</v>
      </c>
      <c r="P2070" s="116">
        <v>407.9</v>
      </c>
      <c r="Q2070" s="116">
        <v>405.65</v>
      </c>
      <c r="R2070">
        <v>7401793</v>
      </c>
    </row>
    <row r="2071" spans="1:18" x14ac:dyDescent="0.25">
      <c r="A2071" s="170">
        <v>45056</v>
      </c>
      <c r="B2071" s="116">
        <v>409.2</v>
      </c>
      <c r="C2071" s="116">
        <v>408.1</v>
      </c>
      <c r="D2071" s="116">
        <v>402.55</v>
      </c>
      <c r="E2071" s="116">
        <v>407</v>
      </c>
      <c r="F2071" s="116">
        <v>408.1</v>
      </c>
      <c r="G2071">
        <v>102748</v>
      </c>
      <c r="H2071" s="116"/>
      <c r="I2071" s="116"/>
      <c r="L2071" s="170">
        <v>45056</v>
      </c>
      <c r="M2071" s="116">
        <v>408.3</v>
      </c>
      <c r="N2071" s="116">
        <v>409.3</v>
      </c>
      <c r="O2071" s="116">
        <v>402.5</v>
      </c>
      <c r="P2071" s="116">
        <v>407.85</v>
      </c>
      <c r="Q2071" s="116">
        <v>408.3</v>
      </c>
      <c r="R2071">
        <v>3823364</v>
      </c>
    </row>
    <row r="2072" spans="1:18" x14ac:dyDescent="0.25">
      <c r="A2072" s="170">
        <v>45057</v>
      </c>
      <c r="B2072" s="116">
        <v>415</v>
      </c>
      <c r="C2072" s="116">
        <v>412.1</v>
      </c>
      <c r="D2072" s="116">
        <v>406.25</v>
      </c>
      <c r="E2072" s="116">
        <v>409.05</v>
      </c>
      <c r="F2072" s="116">
        <v>412.1</v>
      </c>
      <c r="G2072">
        <v>179565</v>
      </c>
      <c r="H2072" s="116"/>
      <c r="I2072" s="116"/>
      <c r="L2072" s="170">
        <v>45057</v>
      </c>
      <c r="M2072" s="116">
        <v>412.2</v>
      </c>
      <c r="N2072" s="116">
        <v>415</v>
      </c>
      <c r="O2072" s="116">
        <v>406.2</v>
      </c>
      <c r="P2072" s="116">
        <v>410</v>
      </c>
      <c r="Q2072" s="116">
        <v>412.2</v>
      </c>
      <c r="R2072">
        <v>5043085</v>
      </c>
    </row>
    <row r="2073" spans="1:18" x14ac:dyDescent="0.25">
      <c r="A2073" s="170">
        <v>45058</v>
      </c>
      <c r="B2073" s="116">
        <v>414.85</v>
      </c>
      <c r="C2073" s="116">
        <v>410</v>
      </c>
      <c r="D2073" s="116">
        <v>407.5</v>
      </c>
      <c r="E2073" s="116">
        <v>410.1</v>
      </c>
      <c r="F2073" s="116">
        <v>410</v>
      </c>
      <c r="G2073">
        <v>150594</v>
      </c>
      <c r="H2073" s="116"/>
      <c r="I2073" s="116"/>
      <c r="L2073" s="170">
        <v>45058</v>
      </c>
      <c r="M2073" s="116">
        <v>410</v>
      </c>
      <c r="N2073" s="116">
        <v>414.75</v>
      </c>
      <c r="O2073" s="116">
        <v>407.1</v>
      </c>
      <c r="P2073" s="116">
        <v>411</v>
      </c>
      <c r="Q2073" s="116">
        <v>410</v>
      </c>
      <c r="R2073">
        <v>5365495</v>
      </c>
    </row>
    <row r="2074" spans="1:18" x14ac:dyDescent="0.25">
      <c r="A2074" s="170">
        <v>45061</v>
      </c>
      <c r="B2074" s="116">
        <v>410.8</v>
      </c>
      <c r="C2074" s="116">
        <v>406.75</v>
      </c>
      <c r="D2074" s="116">
        <v>403</v>
      </c>
      <c r="E2074" s="116">
        <v>409.1</v>
      </c>
      <c r="F2074" s="116">
        <v>406.75</v>
      </c>
      <c r="G2074">
        <v>243622</v>
      </c>
      <c r="H2074" s="116"/>
      <c r="I2074" s="116"/>
      <c r="L2074" s="170">
        <v>45061</v>
      </c>
      <c r="M2074" s="116">
        <v>406.6</v>
      </c>
      <c r="N2074" s="116">
        <v>411.5</v>
      </c>
      <c r="O2074" s="116">
        <v>403.1</v>
      </c>
      <c r="P2074" s="116">
        <v>411</v>
      </c>
      <c r="Q2074" s="116">
        <v>406.6</v>
      </c>
      <c r="R2074">
        <v>2396533</v>
      </c>
    </row>
    <row r="2075" spans="1:18" x14ac:dyDescent="0.25">
      <c r="A2075" s="170">
        <v>45062</v>
      </c>
      <c r="B2075" s="116">
        <v>409.55</v>
      </c>
      <c r="C2075" s="116">
        <v>400.45</v>
      </c>
      <c r="D2075" s="116">
        <v>399.25</v>
      </c>
      <c r="E2075" s="116">
        <v>405.1</v>
      </c>
      <c r="F2075" s="116">
        <v>400.45</v>
      </c>
      <c r="G2075">
        <v>283291</v>
      </c>
      <c r="H2075" s="116"/>
      <c r="I2075" s="116"/>
      <c r="L2075" s="170">
        <v>45062</v>
      </c>
      <c r="M2075" s="116">
        <v>400.9</v>
      </c>
      <c r="N2075" s="116">
        <v>409.8</v>
      </c>
      <c r="O2075" s="116">
        <v>399.8</v>
      </c>
      <c r="P2075" s="116">
        <v>405</v>
      </c>
      <c r="Q2075" s="116">
        <v>400.9</v>
      </c>
      <c r="R2075">
        <v>3189110</v>
      </c>
    </row>
    <row r="2076" spans="1:18" x14ac:dyDescent="0.25">
      <c r="A2076" s="170">
        <v>45063</v>
      </c>
      <c r="B2076" s="116">
        <v>407.15</v>
      </c>
      <c r="C2076" s="116">
        <v>405.9</v>
      </c>
      <c r="D2076" s="116">
        <v>399</v>
      </c>
      <c r="E2076" s="116">
        <v>399</v>
      </c>
      <c r="F2076" s="116">
        <v>405.9</v>
      </c>
      <c r="G2076">
        <v>117387</v>
      </c>
      <c r="H2076" s="116"/>
      <c r="I2076" s="116"/>
      <c r="L2076" s="170">
        <v>45063</v>
      </c>
      <c r="M2076" s="116">
        <v>406.3</v>
      </c>
      <c r="N2076" s="116">
        <v>407</v>
      </c>
      <c r="O2076" s="116">
        <v>399.3</v>
      </c>
      <c r="P2076" s="116">
        <v>400</v>
      </c>
      <c r="Q2076" s="116">
        <v>406.3</v>
      </c>
      <c r="R2076">
        <v>4399478</v>
      </c>
    </row>
    <row r="2077" spans="1:18" x14ac:dyDescent="0.25">
      <c r="A2077" s="170">
        <v>45064</v>
      </c>
      <c r="B2077" s="116">
        <v>408.7</v>
      </c>
      <c r="C2077" s="116">
        <v>398.6</v>
      </c>
      <c r="D2077" s="116">
        <v>396</v>
      </c>
      <c r="E2077" s="116">
        <v>407.05</v>
      </c>
      <c r="F2077" s="116">
        <v>398.6</v>
      </c>
      <c r="G2077">
        <v>88430</v>
      </c>
      <c r="H2077" s="116"/>
      <c r="I2077" s="116"/>
      <c r="L2077" s="170">
        <v>45064</v>
      </c>
      <c r="M2077" s="116">
        <v>399.05</v>
      </c>
      <c r="N2077" s="116">
        <v>408.8</v>
      </c>
      <c r="O2077" s="116">
        <v>395.5</v>
      </c>
      <c r="P2077" s="116">
        <v>408</v>
      </c>
      <c r="Q2077" s="116">
        <v>399.05</v>
      </c>
      <c r="R2077">
        <v>4266534</v>
      </c>
    </row>
    <row r="2078" spans="1:18" x14ac:dyDescent="0.25">
      <c r="A2078" s="170">
        <v>45065</v>
      </c>
      <c r="B2078" s="116">
        <v>406</v>
      </c>
      <c r="C2078" s="116">
        <v>403.4</v>
      </c>
      <c r="D2078" s="116">
        <v>395.95</v>
      </c>
      <c r="E2078" s="116">
        <v>399.8</v>
      </c>
      <c r="F2078" s="116">
        <v>403.4</v>
      </c>
      <c r="G2078">
        <v>136994</v>
      </c>
      <c r="H2078" s="116"/>
      <c r="I2078" s="116"/>
      <c r="L2078" s="170">
        <v>45065</v>
      </c>
      <c r="M2078" s="116">
        <v>403.15</v>
      </c>
      <c r="N2078" s="116">
        <v>406</v>
      </c>
      <c r="O2078" s="116">
        <v>395.65</v>
      </c>
      <c r="P2078" s="116">
        <v>399.05</v>
      </c>
      <c r="Q2078" s="116">
        <v>403.15</v>
      </c>
      <c r="R2078">
        <v>4401094</v>
      </c>
    </row>
    <row r="2079" spans="1:18" x14ac:dyDescent="0.25">
      <c r="A2079" s="170">
        <v>45068</v>
      </c>
      <c r="B2079" s="116">
        <v>433.55</v>
      </c>
      <c r="C2079" s="116">
        <v>423.6</v>
      </c>
      <c r="D2079" s="116">
        <v>405</v>
      </c>
      <c r="E2079" s="116">
        <v>405</v>
      </c>
      <c r="F2079" s="116">
        <v>423.6</v>
      </c>
      <c r="G2079">
        <v>1323219</v>
      </c>
      <c r="H2079" s="116"/>
      <c r="I2079" s="116"/>
      <c r="L2079" s="170">
        <v>45068</v>
      </c>
      <c r="M2079" s="116">
        <v>423.9</v>
      </c>
      <c r="N2079" s="116">
        <v>433.7</v>
      </c>
      <c r="O2079" s="116">
        <v>405</v>
      </c>
      <c r="P2079" s="116">
        <v>405.5</v>
      </c>
      <c r="Q2079" s="116">
        <v>423.9</v>
      </c>
      <c r="R2079">
        <v>17691079</v>
      </c>
    </row>
    <row r="2080" spans="1:18" x14ac:dyDescent="0.25">
      <c r="A2080" s="170">
        <v>45069</v>
      </c>
      <c r="B2080" s="116">
        <v>440.9</v>
      </c>
      <c r="C2080" s="116">
        <v>427.4</v>
      </c>
      <c r="D2080" s="116">
        <v>424.45</v>
      </c>
      <c r="E2080" s="116">
        <v>430</v>
      </c>
      <c r="F2080" s="116">
        <v>427.4</v>
      </c>
      <c r="G2080">
        <v>717697</v>
      </c>
      <c r="H2080" s="116"/>
      <c r="I2080" s="116"/>
      <c r="L2080" s="170">
        <v>45069</v>
      </c>
      <c r="M2080" s="116">
        <v>427.3</v>
      </c>
      <c r="N2080" s="116">
        <v>440.95</v>
      </c>
      <c r="O2080" s="116">
        <v>424.45</v>
      </c>
      <c r="P2080" s="116">
        <v>428.8</v>
      </c>
      <c r="Q2080" s="116">
        <v>427.3</v>
      </c>
      <c r="R2080">
        <v>18654251</v>
      </c>
    </row>
    <row r="2081" spans="1:18" x14ac:dyDescent="0.25">
      <c r="A2081" s="170">
        <v>45070</v>
      </c>
      <c r="B2081" s="116">
        <v>430</v>
      </c>
      <c r="C2081" s="116">
        <v>422.05</v>
      </c>
      <c r="D2081" s="116">
        <v>419.6</v>
      </c>
      <c r="E2081" s="116">
        <v>427.4</v>
      </c>
      <c r="F2081" s="116">
        <v>422.05</v>
      </c>
      <c r="G2081">
        <v>452653</v>
      </c>
      <c r="H2081" s="116"/>
      <c r="I2081" s="116"/>
      <c r="L2081" s="170">
        <v>45070</v>
      </c>
      <c r="M2081" s="116">
        <v>422.3</v>
      </c>
      <c r="N2081" s="116">
        <v>430</v>
      </c>
      <c r="O2081" s="116">
        <v>419.6</v>
      </c>
      <c r="P2081" s="116">
        <v>428.1</v>
      </c>
      <c r="Q2081" s="116">
        <v>422.3</v>
      </c>
      <c r="R2081">
        <v>6096592</v>
      </c>
    </row>
    <row r="2082" spans="1:18" x14ac:dyDescent="0.25">
      <c r="A2082" s="170">
        <v>45071</v>
      </c>
      <c r="B2082" s="116">
        <v>424.75</v>
      </c>
      <c r="C2082" s="116">
        <v>419.15</v>
      </c>
      <c r="D2082" s="116">
        <v>415.9</v>
      </c>
      <c r="E2082" s="116">
        <v>421.4</v>
      </c>
      <c r="F2082" s="116">
        <v>419.15</v>
      </c>
      <c r="G2082">
        <v>121399</v>
      </c>
      <c r="H2082" s="116"/>
      <c r="I2082" s="116"/>
      <c r="L2082" s="170">
        <v>45071</v>
      </c>
      <c r="M2082" s="116">
        <v>419.2</v>
      </c>
      <c r="N2082" s="116">
        <v>424.65</v>
      </c>
      <c r="O2082" s="116">
        <v>415.7</v>
      </c>
      <c r="P2082" s="116">
        <v>421</v>
      </c>
      <c r="Q2082" s="116">
        <v>419.2</v>
      </c>
      <c r="R2082">
        <v>4130074</v>
      </c>
    </row>
    <row r="2083" spans="1:18" x14ac:dyDescent="0.25">
      <c r="A2083" s="170">
        <v>45072</v>
      </c>
      <c r="B2083" s="116">
        <v>425.5</v>
      </c>
      <c r="C2083" s="116">
        <v>424.7</v>
      </c>
      <c r="D2083" s="116">
        <v>417.35</v>
      </c>
      <c r="E2083" s="116">
        <v>421</v>
      </c>
      <c r="F2083" s="116">
        <v>424.7</v>
      </c>
      <c r="G2083">
        <v>127049</v>
      </c>
      <c r="H2083" s="116"/>
      <c r="I2083" s="116"/>
      <c r="L2083" s="170">
        <v>45072</v>
      </c>
      <c r="M2083" s="116">
        <v>424.55</v>
      </c>
      <c r="N2083" s="116">
        <v>425.65</v>
      </c>
      <c r="O2083" s="116">
        <v>417.5</v>
      </c>
      <c r="P2083" s="116">
        <v>421.4</v>
      </c>
      <c r="Q2083" s="116">
        <v>424.55</v>
      </c>
      <c r="R2083">
        <v>3769455</v>
      </c>
    </row>
    <row r="2084" spans="1:18" x14ac:dyDescent="0.25">
      <c r="A2084" s="170">
        <v>45075</v>
      </c>
      <c r="B2084" s="116">
        <v>430.75</v>
      </c>
      <c r="C2084" s="116">
        <v>426.85</v>
      </c>
      <c r="D2084" s="116">
        <v>422.75</v>
      </c>
      <c r="E2084" s="116">
        <v>425.1</v>
      </c>
      <c r="F2084" s="116">
        <v>426.85</v>
      </c>
      <c r="G2084">
        <v>244864</v>
      </c>
      <c r="H2084" s="116"/>
      <c r="I2084" s="116"/>
      <c r="L2084" s="170">
        <v>45075</v>
      </c>
      <c r="M2084" s="116">
        <v>427</v>
      </c>
      <c r="N2084" s="116">
        <v>430.9</v>
      </c>
      <c r="O2084" s="116">
        <v>422.75</v>
      </c>
      <c r="P2084" s="116">
        <v>426.9</v>
      </c>
      <c r="Q2084" s="116">
        <v>427</v>
      </c>
      <c r="R2084">
        <v>7799828</v>
      </c>
    </row>
    <row r="2085" spans="1:18" x14ac:dyDescent="0.25">
      <c r="A2085" s="170">
        <v>45076</v>
      </c>
      <c r="B2085" s="116">
        <v>432.95</v>
      </c>
      <c r="C2085" s="116">
        <v>430.95</v>
      </c>
      <c r="D2085" s="116">
        <v>425.5</v>
      </c>
      <c r="E2085" s="116">
        <v>426.8</v>
      </c>
      <c r="F2085" s="116">
        <v>430.95</v>
      </c>
      <c r="G2085">
        <v>132014</v>
      </c>
      <c r="H2085" s="116"/>
      <c r="I2085" s="116"/>
      <c r="L2085" s="170">
        <v>45076</v>
      </c>
      <c r="M2085" s="116">
        <v>430.9</v>
      </c>
      <c r="N2085" s="116">
        <v>432.95</v>
      </c>
      <c r="O2085" s="116">
        <v>425.35</v>
      </c>
      <c r="P2085" s="116">
        <v>427</v>
      </c>
      <c r="Q2085" s="116">
        <v>430.9</v>
      </c>
      <c r="R2085">
        <v>3733902</v>
      </c>
    </row>
    <row r="2086" spans="1:18" x14ac:dyDescent="0.25">
      <c r="A2086" s="170">
        <v>45077</v>
      </c>
      <c r="B2086" s="116">
        <v>430.8</v>
      </c>
      <c r="C2086" s="116">
        <v>423.55</v>
      </c>
      <c r="D2086" s="116">
        <v>420.55</v>
      </c>
      <c r="E2086" s="116">
        <v>428.45</v>
      </c>
      <c r="F2086" s="116">
        <v>423.55</v>
      </c>
      <c r="G2086">
        <v>298732</v>
      </c>
      <c r="H2086" s="116"/>
      <c r="I2086" s="116"/>
      <c r="L2086" s="170">
        <v>45077</v>
      </c>
      <c r="M2086" s="116">
        <v>423.6</v>
      </c>
      <c r="N2086" s="116">
        <v>430.8</v>
      </c>
      <c r="O2086" s="116">
        <v>420.85</v>
      </c>
      <c r="P2086" s="116">
        <v>430.4</v>
      </c>
      <c r="Q2086" s="116">
        <v>423.6</v>
      </c>
      <c r="R2086">
        <v>6180317</v>
      </c>
    </row>
    <row r="2087" spans="1:18" x14ac:dyDescent="0.25">
      <c r="A2087" s="170">
        <v>45078</v>
      </c>
      <c r="B2087" s="116">
        <v>431.35</v>
      </c>
      <c r="C2087" s="116">
        <v>429.2</v>
      </c>
      <c r="D2087" s="116">
        <v>424.7</v>
      </c>
      <c r="E2087" s="116">
        <v>424.8</v>
      </c>
      <c r="F2087" s="116">
        <v>429.2</v>
      </c>
      <c r="G2087">
        <v>77645</v>
      </c>
      <c r="H2087" s="116"/>
      <c r="I2087" s="116"/>
      <c r="L2087" s="170">
        <v>45078</v>
      </c>
      <c r="M2087" s="116">
        <v>429.25</v>
      </c>
      <c r="N2087" s="116">
        <v>431.25</v>
      </c>
      <c r="O2087" s="116">
        <v>424</v>
      </c>
      <c r="P2087" s="116">
        <v>425</v>
      </c>
      <c r="Q2087" s="116">
        <v>429.25</v>
      </c>
      <c r="R2087">
        <v>3422014</v>
      </c>
    </row>
    <row r="2088" spans="1:18" x14ac:dyDescent="0.25">
      <c r="A2088" s="170">
        <v>45079</v>
      </c>
      <c r="B2088" s="116">
        <v>440</v>
      </c>
      <c r="C2088" s="116">
        <v>437.75</v>
      </c>
      <c r="D2088" s="116">
        <v>430.55</v>
      </c>
      <c r="E2088" s="116">
        <v>430.55</v>
      </c>
      <c r="F2088" s="116">
        <v>437.75</v>
      </c>
      <c r="G2088">
        <v>153318</v>
      </c>
      <c r="H2088" s="116"/>
      <c r="I2088" s="116"/>
      <c r="L2088" s="170">
        <v>45079</v>
      </c>
      <c r="M2088" s="116">
        <v>438.05</v>
      </c>
      <c r="N2088" s="116">
        <v>440</v>
      </c>
      <c r="O2088" s="116">
        <v>431.45</v>
      </c>
      <c r="P2088" s="116">
        <v>431.45</v>
      </c>
      <c r="Q2088" s="116">
        <v>438.05</v>
      </c>
      <c r="R2088">
        <v>5425758</v>
      </c>
    </row>
    <row r="2089" spans="1:18" x14ac:dyDescent="0.25">
      <c r="A2089" s="170">
        <v>45082</v>
      </c>
      <c r="B2089" s="116">
        <v>441.5</v>
      </c>
      <c r="C2089" s="116">
        <v>439</v>
      </c>
      <c r="D2089" s="116">
        <v>436.9</v>
      </c>
      <c r="E2089" s="116">
        <v>438.65</v>
      </c>
      <c r="F2089" s="116">
        <v>439</v>
      </c>
      <c r="G2089">
        <v>91424</v>
      </c>
      <c r="H2089" s="116"/>
      <c r="I2089" s="116"/>
      <c r="L2089" s="170">
        <v>45082</v>
      </c>
      <c r="M2089" s="116">
        <v>439.05</v>
      </c>
      <c r="N2089" s="116">
        <v>441.65</v>
      </c>
      <c r="O2089" s="116">
        <v>437.05</v>
      </c>
      <c r="P2089" s="116">
        <v>440.05</v>
      </c>
      <c r="Q2089" s="116">
        <v>439.05</v>
      </c>
      <c r="R2089">
        <v>3391422</v>
      </c>
    </row>
    <row r="2090" spans="1:18" x14ac:dyDescent="0.25">
      <c r="A2090" s="170">
        <v>45083</v>
      </c>
      <c r="B2090" s="116">
        <v>460.9</v>
      </c>
      <c r="C2090" s="116">
        <v>458.95</v>
      </c>
      <c r="D2090" s="116">
        <v>440.55</v>
      </c>
      <c r="E2090" s="116">
        <v>440.6</v>
      </c>
      <c r="F2090" s="116">
        <v>458.95</v>
      </c>
      <c r="G2090">
        <v>421202</v>
      </c>
      <c r="H2090" s="116"/>
      <c r="I2090" s="116"/>
      <c r="L2090" s="170">
        <v>45083</v>
      </c>
      <c r="M2090" s="116">
        <v>459.15</v>
      </c>
      <c r="N2090" s="116">
        <v>460.95</v>
      </c>
      <c r="O2090" s="116">
        <v>440</v>
      </c>
      <c r="P2090" s="116">
        <v>441.8</v>
      </c>
      <c r="Q2090" s="116">
        <v>459.15</v>
      </c>
      <c r="R2090">
        <v>15043392</v>
      </c>
    </row>
    <row r="2091" spans="1:18" x14ac:dyDescent="0.25">
      <c r="A2091" s="170">
        <v>45084</v>
      </c>
      <c r="B2091" s="116">
        <v>461.3</v>
      </c>
      <c r="C2091" s="116">
        <v>455.35</v>
      </c>
      <c r="D2091" s="116">
        <v>452.7</v>
      </c>
      <c r="E2091" s="116">
        <v>459.6</v>
      </c>
      <c r="F2091" s="116">
        <v>455.35</v>
      </c>
      <c r="G2091">
        <v>133048</v>
      </c>
      <c r="H2091" s="116"/>
      <c r="I2091" s="116"/>
      <c r="L2091" s="170">
        <v>45084</v>
      </c>
      <c r="M2091" s="116">
        <v>455.75</v>
      </c>
      <c r="N2091" s="116">
        <v>461.5</v>
      </c>
      <c r="O2091" s="116">
        <v>452.5</v>
      </c>
      <c r="P2091" s="116">
        <v>461</v>
      </c>
      <c r="Q2091" s="116">
        <v>455.75</v>
      </c>
      <c r="R2091">
        <v>4545088</v>
      </c>
    </row>
    <row r="2092" spans="1:18" x14ac:dyDescent="0.25">
      <c r="A2092" s="170">
        <v>45085</v>
      </c>
      <c r="B2092" s="116">
        <v>460</v>
      </c>
      <c r="C2092" s="116">
        <v>451.35</v>
      </c>
      <c r="D2092" s="116">
        <v>445.8</v>
      </c>
      <c r="E2092" s="116">
        <v>453.05</v>
      </c>
      <c r="F2092" s="116">
        <v>451.35</v>
      </c>
      <c r="G2092">
        <v>132610</v>
      </c>
      <c r="H2092" s="116"/>
      <c r="I2092" s="116"/>
      <c r="L2092" s="170">
        <v>45085</v>
      </c>
      <c r="M2092" s="116">
        <v>451.7</v>
      </c>
      <c r="N2092" s="116">
        <v>460</v>
      </c>
      <c r="O2092" s="116">
        <v>445.85</v>
      </c>
      <c r="P2092" s="116">
        <v>456</v>
      </c>
      <c r="Q2092" s="116">
        <v>451.7</v>
      </c>
      <c r="R2092">
        <v>4925548</v>
      </c>
    </row>
    <row r="2093" spans="1:18" x14ac:dyDescent="0.25">
      <c r="A2093" s="170">
        <v>45086</v>
      </c>
      <c r="B2093" s="116">
        <v>458.1</v>
      </c>
      <c r="C2093" s="116">
        <v>455.65</v>
      </c>
      <c r="D2093" s="116">
        <v>451.35</v>
      </c>
      <c r="E2093" s="116">
        <v>451.85</v>
      </c>
      <c r="F2093" s="116">
        <v>455.65</v>
      </c>
      <c r="G2093">
        <v>95789</v>
      </c>
      <c r="H2093" s="116"/>
      <c r="I2093" s="116"/>
      <c r="L2093" s="170">
        <v>45086</v>
      </c>
      <c r="M2093" s="116">
        <v>455.7</v>
      </c>
      <c r="N2093" s="116">
        <v>458.15</v>
      </c>
      <c r="O2093" s="116">
        <v>451</v>
      </c>
      <c r="P2093" s="116">
        <v>452</v>
      </c>
      <c r="Q2093" s="116">
        <v>455.7</v>
      </c>
      <c r="R2093">
        <v>4370589</v>
      </c>
    </row>
    <row r="2094" spans="1:18" x14ac:dyDescent="0.25">
      <c r="A2094" s="170">
        <v>45089</v>
      </c>
      <c r="B2094" s="116">
        <v>458.25</v>
      </c>
      <c r="C2094" s="116">
        <v>456.25</v>
      </c>
      <c r="D2094" s="116">
        <v>453.7</v>
      </c>
      <c r="E2094" s="116">
        <v>455.65</v>
      </c>
      <c r="F2094" s="116">
        <v>456.25</v>
      </c>
      <c r="G2094">
        <v>89454</v>
      </c>
      <c r="H2094" s="116"/>
      <c r="I2094" s="116"/>
      <c r="L2094" s="170">
        <v>45089</v>
      </c>
      <c r="M2094" s="116">
        <v>456.3</v>
      </c>
      <c r="N2094" s="116">
        <v>458.4</v>
      </c>
      <c r="O2094" s="116">
        <v>453.45</v>
      </c>
      <c r="P2094" s="116">
        <v>456</v>
      </c>
      <c r="Q2094" s="116">
        <v>456.3</v>
      </c>
      <c r="R2094">
        <v>2768142</v>
      </c>
    </row>
    <row r="2095" spans="1:18" x14ac:dyDescent="0.25">
      <c r="A2095" s="170">
        <v>45090</v>
      </c>
      <c r="B2095" s="116">
        <v>463.8</v>
      </c>
      <c r="C2095" s="116">
        <v>459</v>
      </c>
      <c r="D2095" s="116">
        <v>455.5</v>
      </c>
      <c r="E2095" s="116">
        <v>458.2</v>
      </c>
      <c r="F2095" s="116">
        <v>459</v>
      </c>
      <c r="G2095">
        <v>112400</v>
      </c>
      <c r="H2095" s="116"/>
      <c r="I2095" s="116"/>
      <c r="L2095" s="170">
        <v>45090</v>
      </c>
      <c r="M2095" s="116">
        <v>458.95</v>
      </c>
      <c r="N2095" s="116">
        <v>463.8</v>
      </c>
      <c r="O2095" s="116">
        <v>455.55</v>
      </c>
      <c r="P2095" s="116">
        <v>457.5</v>
      </c>
      <c r="Q2095" s="116">
        <v>458.95</v>
      </c>
      <c r="R2095">
        <v>2313541</v>
      </c>
    </row>
    <row r="2096" spans="1:18" x14ac:dyDescent="0.25">
      <c r="A2096" s="170">
        <v>45091</v>
      </c>
      <c r="B2096" s="116">
        <v>465.5</v>
      </c>
      <c r="C2096" s="116">
        <v>464.35</v>
      </c>
      <c r="D2096" s="116">
        <v>459.35</v>
      </c>
      <c r="E2096" s="116">
        <v>460</v>
      </c>
      <c r="F2096" s="116">
        <v>464.35</v>
      </c>
      <c r="G2096">
        <v>213212</v>
      </c>
      <c r="H2096" s="116"/>
      <c r="I2096" s="116"/>
      <c r="L2096" s="170">
        <v>45091</v>
      </c>
      <c r="M2096" s="116">
        <v>464.6</v>
      </c>
      <c r="N2096" s="116">
        <v>465.5</v>
      </c>
      <c r="O2096" s="116">
        <v>459.4</v>
      </c>
      <c r="P2096" s="116">
        <v>460.25</v>
      </c>
      <c r="Q2096" s="116">
        <v>464.6</v>
      </c>
      <c r="R2096">
        <v>4260531</v>
      </c>
    </row>
    <row r="2097" spans="1:18" x14ac:dyDescent="0.25">
      <c r="A2097" s="170">
        <v>45092</v>
      </c>
      <c r="B2097" s="116">
        <v>468.9</v>
      </c>
      <c r="C2097" s="116">
        <v>458.5</v>
      </c>
      <c r="D2097" s="116">
        <v>456.95</v>
      </c>
      <c r="E2097" s="116">
        <v>465.5</v>
      </c>
      <c r="F2097" s="116">
        <v>458.5</v>
      </c>
      <c r="G2097">
        <v>94193</v>
      </c>
      <c r="H2097" s="116"/>
      <c r="I2097" s="116"/>
      <c r="L2097" s="170">
        <v>45092</v>
      </c>
      <c r="M2097" s="116">
        <v>458.35</v>
      </c>
      <c r="N2097" s="116">
        <v>468.9</v>
      </c>
      <c r="O2097" s="116">
        <v>457.05</v>
      </c>
      <c r="P2097" s="116">
        <v>466</v>
      </c>
      <c r="Q2097" s="116">
        <v>458.35</v>
      </c>
      <c r="R2097">
        <v>2606044</v>
      </c>
    </row>
    <row r="2098" spans="1:18" x14ac:dyDescent="0.25">
      <c r="A2098" s="170">
        <v>45093</v>
      </c>
      <c r="B2098" s="116">
        <v>465.5</v>
      </c>
      <c r="C2098" s="116">
        <v>461</v>
      </c>
      <c r="D2098" s="116">
        <v>457</v>
      </c>
      <c r="E2098" s="116">
        <v>460.05</v>
      </c>
      <c r="F2098" s="116">
        <v>461</v>
      </c>
      <c r="G2098">
        <v>197057</v>
      </c>
      <c r="H2098" s="116"/>
      <c r="I2098" s="116"/>
      <c r="L2098" s="170">
        <v>45093</v>
      </c>
      <c r="M2098" s="116">
        <v>460.9</v>
      </c>
      <c r="N2098" s="116">
        <v>465.6</v>
      </c>
      <c r="O2098" s="116">
        <v>457</v>
      </c>
      <c r="P2098" s="116">
        <v>461.4</v>
      </c>
      <c r="Q2098" s="116">
        <v>460.9</v>
      </c>
      <c r="R2098">
        <v>4270855</v>
      </c>
    </row>
    <row r="2099" spans="1:18" x14ac:dyDescent="0.25">
      <c r="A2099" s="170">
        <v>45096</v>
      </c>
      <c r="B2099" s="116">
        <v>464.65</v>
      </c>
      <c r="C2099" s="116">
        <v>452.55</v>
      </c>
      <c r="D2099" s="116">
        <v>449.45</v>
      </c>
      <c r="E2099" s="116">
        <v>460.15</v>
      </c>
      <c r="F2099" s="116">
        <v>452.55</v>
      </c>
      <c r="G2099">
        <v>229872</v>
      </c>
      <c r="H2099" s="116"/>
      <c r="I2099" s="116"/>
      <c r="L2099" s="170">
        <v>45096</v>
      </c>
      <c r="M2099" s="116">
        <v>452.85</v>
      </c>
      <c r="N2099" s="116">
        <v>464.05</v>
      </c>
      <c r="O2099" s="116">
        <v>449.25</v>
      </c>
      <c r="P2099" s="116">
        <v>460.9</v>
      </c>
      <c r="Q2099" s="116">
        <v>452.85</v>
      </c>
      <c r="R2099">
        <v>2390979</v>
      </c>
    </row>
    <row r="2100" spans="1:18" x14ac:dyDescent="0.25">
      <c r="A2100" s="170">
        <v>45097</v>
      </c>
      <c r="B2100" s="116">
        <v>455</v>
      </c>
      <c r="C2100" s="116">
        <v>448.7</v>
      </c>
      <c r="D2100" s="116">
        <v>446.6</v>
      </c>
      <c r="E2100" s="116">
        <v>451.4</v>
      </c>
      <c r="F2100" s="116">
        <v>448.7</v>
      </c>
      <c r="G2100">
        <v>60554</v>
      </c>
      <c r="H2100" s="116"/>
      <c r="I2100" s="116"/>
      <c r="L2100" s="170">
        <v>45097</v>
      </c>
      <c r="M2100" s="116">
        <v>448.95</v>
      </c>
      <c r="N2100" s="116">
        <v>455.6</v>
      </c>
      <c r="O2100" s="116">
        <v>446.6</v>
      </c>
      <c r="P2100" s="116">
        <v>453.5</v>
      </c>
      <c r="Q2100" s="116">
        <v>448.95</v>
      </c>
      <c r="R2100">
        <v>3007712</v>
      </c>
    </row>
    <row r="2101" spans="1:18" x14ac:dyDescent="0.25">
      <c r="A2101" s="170">
        <v>45098</v>
      </c>
      <c r="B2101" s="116">
        <v>452.1</v>
      </c>
      <c r="C2101" s="116">
        <v>447.85</v>
      </c>
      <c r="D2101" s="116">
        <v>444.6</v>
      </c>
      <c r="E2101" s="116">
        <v>448.7</v>
      </c>
      <c r="F2101" s="116">
        <v>447.85</v>
      </c>
      <c r="G2101">
        <v>69867</v>
      </c>
      <c r="H2101" s="116"/>
      <c r="I2101" s="116"/>
      <c r="L2101" s="170">
        <v>45098</v>
      </c>
      <c r="M2101" s="116">
        <v>448.1</v>
      </c>
      <c r="N2101" s="116">
        <v>452.35</v>
      </c>
      <c r="O2101" s="116">
        <v>444.6</v>
      </c>
      <c r="P2101" s="116">
        <v>449</v>
      </c>
      <c r="Q2101" s="116">
        <v>448.1</v>
      </c>
      <c r="R2101">
        <v>2653187</v>
      </c>
    </row>
    <row r="2102" spans="1:18" x14ac:dyDescent="0.25">
      <c r="A2102" s="170">
        <v>45099</v>
      </c>
      <c r="B2102" s="116">
        <v>452.8</v>
      </c>
      <c r="C2102" s="116">
        <v>444.85</v>
      </c>
      <c r="D2102" s="116">
        <v>441.7</v>
      </c>
      <c r="E2102" s="116">
        <v>448.05</v>
      </c>
      <c r="F2102" s="116">
        <v>444.85</v>
      </c>
      <c r="G2102">
        <v>56449</v>
      </c>
      <c r="H2102" s="116"/>
      <c r="I2102" s="116"/>
      <c r="L2102" s="170">
        <v>45099</v>
      </c>
      <c r="M2102" s="116">
        <v>444.85</v>
      </c>
      <c r="N2102" s="116">
        <v>452.95</v>
      </c>
      <c r="O2102" s="116">
        <v>441.75</v>
      </c>
      <c r="P2102" s="116">
        <v>449.4</v>
      </c>
      <c r="Q2102" s="116">
        <v>444.85</v>
      </c>
      <c r="R2102">
        <v>2318198</v>
      </c>
    </row>
    <row r="2103" spans="1:18" x14ac:dyDescent="0.25">
      <c r="A2103" s="170">
        <v>45100</v>
      </c>
      <c r="B2103" s="116">
        <v>444.8</v>
      </c>
      <c r="C2103" s="116">
        <v>426.2</v>
      </c>
      <c r="D2103" s="116">
        <v>424.2</v>
      </c>
      <c r="E2103" s="116">
        <v>443.95</v>
      </c>
      <c r="F2103" s="116">
        <v>426.2</v>
      </c>
      <c r="G2103">
        <v>406043</v>
      </c>
      <c r="H2103" s="116"/>
      <c r="I2103" s="116"/>
      <c r="L2103" s="170">
        <v>45100</v>
      </c>
      <c r="M2103" s="116">
        <v>425.8</v>
      </c>
      <c r="N2103" s="116">
        <v>445</v>
      </c>
      <c r="O2103" s="116">
        <v>424</v>
      </c>
      <c r="P2103" s="116">
        <v>445</v>
      </c>
      <c r="Q2103" s="116">
        <v>425.8</v>
      </c>
      <c r="R2103">
        <v>4859137</v>
      </c>
    </row>
    <row r="2104" spans="1:18" x14ac:dyDescent="0.25">
      <c r="A2104" s="170">
        <v>45103</v>
      </c>
      <c r="B2104" s="116">
        <v>433.5</v>
      </c>
      <c r="C2104" s="116">
        <v>431.65</v>
      </c>
      <c r="D2104" s="116">
        <v>419.15</v>
      </c>
      <c r="E2104" s="116">
        <v>423.05</v>
      </c>
      <c r="F2104" s="116">
        <v>431.65</v>
      </c>
      <c r="G2104">
        <v>182016</v>
      </c>
      <c r="H2104" s="116"/>
      <c r="I2104" s="116"/>
      <c r="L2104" s="170">
        <v>45103</v>
      </c>
      <c r="M2104" s="116">
        <v>432.05</v>
      </c>
      <c r="N2104" s="116">
        <v>433.9</v>
      </c>
      <c r="O2104" s="116">
        <v>419.3</v>
      </c>
      <c r="P2104" s="116">
        <v>425.75</v>
      </c>
      <c r="Q2104" s="116">
        <v>432.05</v>
      </c>
      <c r="R2104">
        <v>3401951</v>
      </c>
    </row>
    <row r="2105" spans="1:18" x14ac:dyDescent="0.25">
      <c r="A2105" s="170">
        <v>45104</v>
      </c>
      <c r="B2105" s="116">
        <v>440.7</v>
      </c>
      <c r="C2105" s="116">
        <v>433.85</v>
      </c>
      <c r="D2105" s="116">
        <v>433.15</v>
      </c>
      <c r="E2105" s="116">
        <v>433.4</v>
      </c>
      <c r="F2105" s="116">
        <v>433.85</v>
      </c>
      <c r="G2105">
        <v>74743</v>
      </c>
      <c r="H2105" s="116"/>
      <c r="I2105" s="116"/>
      <c r="L2105" s="170">
        <v>45104</v>
      </c>
      <c r="M2105" s="116">
        <v>433.85</v>
      </c>
      <c r="N2105" s="116">
        <v>440.65</v>
      </c>
      <c r="O2105" s="116">
        <v>433.15</v>
      </c>
      <c r="P2105" s="116">
        <v>434</v>
      </c>
      <c r="Q2105" s="116">
        <v>433.85</v>
      </c>
      <c r="R2105">
        <v>3022273</v>
      </c>
    </row>
    <row r="2106" spans="1:18" x14ac:dyDescent="0.25">
      <c r="A2106" s="170">
        <v>45105</v>
      </c>
      <c r="B2106" s="116">
        <v>441.9</v>
      </c>
      <c r="C2106" s="116">
        <v>434.15</v>
      </c>
      <c r="D2106" s="116">
        <v>432</v>
      </c>
      <c r="E2106" s="116">
        <v>432.05</v>
      </c>
      <c r="F2106" s="116">
        <v>434.15</v>
      </c>
      <c r="G2106">
        <v>159295</v>
      </c>
      <c r="H2106" s="116"/>
      <c r="I2106" s="116"/>
      <c r="L2106" s="170">
        <v>45105</v>
      </c>
      <c r="M2106" s="116">
        <v>434.25</v>
      </c>
      <c r="N2106" s="116">
        <v>441.8</v>
      </c>
      <c r="O2106" s="116">
        <v>431.85</v>
      </c>
      <c r="P2106" s="116">
        <v>435.4</v>
      </c>
      <c r="Q2106" s="116">
        <v>434.25</v>
      </c>
      <c r="R2106">
        <v>6405277</v>
      </c>
    </row>
    <row r="2107" spans="1:18" x14ac:dyDescent="0.25">
      <c r="A2107" s="170">
        <v>45107</v>
      </c>
      <c r="B2107" s="116">
        <v>440.8</v>
      </c>
      <c r="C2107" s="116">
        <v>425.85</v>
      </c>
      <c r="D2107" s="116">
        <v>425.1</v>
      </c>
      <c r="E2107" s="116">
        <v>434.6</v>
      </c>
      <c r="F2107" s="116">
        <v>425.85</v>
      </c>
      <c r="G2107">
        <v>279753</v>
      </c>
      <c r="H2107" s="116"/>
      <c r="I2107" s="116"/>
      <c r="L2107" s="170">
        <v>45107</v>
      </c>
      <c r="M2107" s="116">
        <v>425.9</v>
      </c>
      <c r="N2107" s="116">
        <v>441</v>
      </c>
      <c r="O2107" s="116">
        <v>425</v>
      </c>
      <c r="P2107" s="116">
        <v>436</v>
      </c>
      <c r="Q2107" s="116">
        <v>425.9</v>
      </c>
      <c r="R2107">
        <v>6318237</v>
      </c>
    </row>
    <row r="2108" spans="1:18" x14ac:dyDescent="0.25">
      <c r="A2108" s="170">
        <v>45110</v>
      </c>
      <c r="B2108" s="116">
        <v>437</v>
      </c>
      <c r="C2108" s="116">
        <v>435.8</v>
      </c>
      <c r="D2108" s="116">
        <v>428</v>
      </c>
      <c r="E2108" s="116">
        <v>428</v>
      </c>
      <c r="F2108" s="116">
        <v>435.8</v>
      </c>
      <c r="G2108">
        <v>82721</v>
      </c>
      <c r="H2108" s="116"/>
      <c r="I2108" s="116"/>
      <c r="L2108" s="170">
        <v>45110</v>
      </c>
      <c r="M2108" s="116">
        <v>435.85</v>
      </c>
      <c r="N2108" s="116">
        <v>437.2</v>
      </c>
      <c r="O2108" s="116">
        <v>428</v>
      </c>
      <c r="P2108" s="116">
        <v>428.4</v>
      </c>
      <c r="Q2108" s="116">
        <v>435.85</v>
      </c>
      <c r="R2108">
        <v>3025642</v>
      </c>
    </row>
    <row r="2109" spans="1:18" x14ac:dyDescent="0.25">
      <c r="A2109" s="170">
        <v>45111</v>
      </c>
      <c r="B2109" s="116">
        <v>438.15</v>
      </c>
      <c r="C2109" s="116">
        <v>432.6</v>
      </c>
      <c r="D2109" s="116">
        <v>430.85</v>
      </c>
      <c r="E2109" s="116">
        <v>435.1</v>
      </c>
      <c r="F2109" s="116">
        <v>432.6</v>
      </c>
      <c r="G2109">
        <v>234799</v>
      </c>
      <c r="H2109" s="116"/>
      <c r="I2109" s="116"/>
      <c r="L2109" s="170">
        <v>45111</v>
      </c>
      <c r="M2109" s="116">
        <v>432.7</v>
      </c>
      <c r="N2109" s="116">
        <v>438.9</v>
      </c>
      <c r="O2109" s="116">
        <v>431.1</v>
      </c>
      <c r="P2109" s="116">
        <v>436.45</v>
      </c>
      <c r="Q2109" s="116">
        <v>432.7</v>
      </c>
      <c r="R2109">
        <v>1585173</v>
      </c>
    </row>
    <row r="2110" spans="1:18" x14ac:dyDescent="0.25">
      <c r="A2110" s="170">
        <v>45112</v>
      </c>
      <c r="B2110" s="116">
        <v>434.2</v>
      </c>
      <c r="C2110" s="116">
        <v>432.45</v>
      </c>
      <c r="D2110" s="116">
        <v>426.9</v>
      </c>
      <c r="E2110" s="116">
        <v>431.35</v>
      </c>
      <c r="F2110" s="116">
        <v>432.45</v>
      </c>
      <c r="G2110">
        <v>47152</v>
      </c>
      <c r="H2110" s="116"/>
      <c r="I2110" s="116"/>
      <c r="L2110" s="170">
        <v>45112</v>
      </c>
      <c r="M2110" s="116">
        <v>432.4</v>
      </c>
      <c r="N2110" s="116">
        <v>434.7</v>
      </c>
      <c r="O2110" s="116">
        <v>426.7</v>
      </c>
      <c r="P2110" s="116">
        <v>433.4</v>
      </c>
      <c r="Q2110" s="116">
        <v>432.4</v>
      </c>
      <c r="R2110">
        <v>2057486</v>
      </c>
    </row>
    <row r="2111" spans="1:18" x14ac:dyDescent="0.25">
      <c r="A2111" s="170">
        <v>45113</v>
      </c>
      <c r="B2111" s="116">
        <v>435.55</v>
      </c>
      <c r="C2111" s="116">
        <v>431.55</v>
      </c>
      <c r="D2111" s="116">
        <v>429.25</v>
      </c>
      <c r="E2111" s="116">
        <v>431.05</v>
      </c>
      <c r="F2111" s="116">
        <v>431.55</v>
      </c>
      <c r="G2111">
        <v>147929</v>
      </c>
      <c r="H2111" s="116"/>
      <c r="I2111" s="116"/>
      <c r="L2111" s="170">
        <v>45113</v>
      </c>
      <c r="M2111" s="116">
        <v>431.5</v>
      </c>
      <c r="N2111" s="116">
        <v>435.2</v>
      </c>
      <c r="O2111" s="116">
        <v>429.55</v>
      </c>
      <c r="P2111" s="116">
        <v>432</v>
      </c>
      <c r="Q2111" s="116">
        <v>431.5</v>
      </c>
      <c r="R2111">
        <v>2151838</v>
      </c>
    </row>
    <row r="2112" spans="1:18" x14ac:dyDescent="0.25">
      <c r="A2112" s="170">
        <v>45114</v>
      </c>
      <c r="B2112" s="116">
        <v>430.7</v>
      </c>
      <c r="C2112" s="116">
        <v>417.85</v>
      </c>
      <c r="D2112" s="116">
        <v>416.5</v>
      </c>
      <c r="E2112" s="116">
        <v>430</v>
      </c>
      <c r="F2112" s="116">
        <v>417.85</v>
      </c>
      <c r="G2112">
        <v>240533</v>
      </c>
      <c r="H2112" s="116"/>
      <c r="I2112" s="116"/>
      <c r="L2112" s="170">
        <v>45114</v>
      </c>
      <c r="M2112" s="116">
        <v>417.9</v>
      </c>
      <c r="N2112" s="116">
        <v>430.7</v>
      </c>
      <c r="O2112" s="116">
        <v>416.5</v>
      </c>
      <c r="P2112" s="116">
        <v>430</v>
      </c>
      <c r="Q2112" s="116">
        <v>417.9</v>
      </c>
      <c r="R2112">
        <v>3734746</v>
      </c>
    </row>
    <row r="2113" spans="1:18" x14ac:dyDescent="0.25">
      <c r="A2113" s="170">
        <v>45117</v>
      </c>
      <c r="B2113" s="116">
        <v>424.65</v>
      </c>
      <c r="C2113" s="116">
        <v>419.75</v>
      </c>
      <c r="D2113" s="116">
        <v>412.25</v>
      </c>
      <c r="E2113" s="116">
        <v>418.1</v>
      </c>
      <c r="F2113" s="116">
        <v>419.75</v>
      </c>
      <c r="G2113">
        <v>154016</v>
      </c>
      <c r="H2113" s="116"/>
      <c r="I2113" s="116"/>
      <c r="L2113" s="170">
        <v>45117</v>
      </c>
      <c r="M2113" s="116">
        <v>419.5</v>
      </c>
      <c r="N2113" s="116">
        <v>424.85</v>
      </c>
      <c r="O2113" s="116">
        <v>412.05</v>
      </c>
      <c r="P2113" s="116">
        <v>419</v>
      </c>
      <c r="Q2113" s="116">
        <v>419.5</v>
      </c>
      <c r="R2113">
        <v>3524816</v>
      </c>
    </row>
    <row r="2114" spans="1:18" x14ac:dyDescent="0.25">
      <c r="A2114" s="170">
        <v>45118</v>
      </c>
      <c r="B2114" s="116">
        <v>422.15</v>
      </c>
      <c r="C2114" s="116">
        <v>419.6</v>
      </c>
      <c r="D2114" s="116">
        <v>418.65</v>
      </c>
      <c r="E2114" s="116">
        <v>420.05</v>
      </c>
      <c r="F2114" s="116">
        <v>419.6</v>
      </c>
      <c r="G2114">
        <v>104091</v>
      </c>
      <c r="H2114" s="116"/>
      <c r="I2114" s="116"/>
      <c r="L2114" s="170">
        <v>45118</v>
      </c>
      <c r="M2114" s="116">
        <v>419.75</v>
      </c>
      <c r="N2114" s="116">
        <v>422.25</v>
      </c>
      <c r="O2114" s="116">
        <v>418.45</v>
      </c>
      <c r="P2114" s="116">
        <v>421</v>
      </c>
      <c r="Q2114" s="116">
        <v>419.75</v>
      </c>
      <c r="R2114">
        <v>2512215</v>
      </c>
    </row>
    <row r="2115" spans="1:18" x14ac:dyDescent="0.25">
      <c r="A2115" s="170">
        <v>45119</v>
      </c>
      <c r="B2115" s="116">
        <v>422.8</v>
      </c>
      <c r="C2115" s="116">
        <v>421.5</v>
      </c>
      <c r="D2115" s="116">
        <v>415.1</v>
      </c>
      <c r="E2115" s="116">
        <v>419.5</v>
      </c>
      <c r="F2115" s="116">
        <v>421.5</v>
      </c>
      <c r="G2115">
        <v>80933</v>
      </c>
      <c r="H2115" s="116"/>
      <c r="I2115" s="116"/>
      <c r="L2115" s="170">
        <v>45119</v>
      </c>
      <c r="M2115" s="116">
        <v>421.55</v>
      </c>
      <c r="N2115" s="116">
        <v>423</v>
      </c>
      <c r="O2115" s="116">
        <v>415</v>
      </c>
      <c r="P2115" s="116">
        <v>420</v>
      </c>
      <c r="Q2115" s="116">
        <v>421.55</v>
      </c>
      <c r="R2115">
        <v>2231762</v>
      </c>
    </row>
    <row r="2116" spans="1:18" x14ac:dyDescent="0.25">
      <c r="A2116" s="170">
        <v>45120</v>
      </c>
      <c r="B2116" s="116">
        <v>422.65</v>
      </c>
      <c r="C2116" s="116">
        <v>416.8</v>
      </c>
      <c r="D2116" s="116">
        <v>414.4</v>
      </c>
      <c r="E2116" s="116">
        <v>420.15</v>
      </c>
      <c r="F2116" s="116">
        <v>416.8</v>
      </c>
      <c r="G2116">
        <v>68909</v>
      </c>
      <c r="H2116" s="116"/>
      <c r="I2116" s="116"/>
      <c r="L2116" s="170">
        <v>45120</v>
      </c>
      <c r="M2116" s="116">
        <v>416.9</v>
      </c>
      <c r="N2116" s="116">
        <v>422.65</v>
      </c>
      <c r="O2116" s="116">
        <v>414.65</v>
      </c>
      <c r="P2116" s="116">
        <v>421.55</v>
      </c>
      <c r="Q2116" s="116">
        <v>416.9</v>
      </c>
      <c r="R2116">
        <v>2744632</v>
      </c>
    </row>
    <row r="2117" spans="1:18" x14ac:dyDescent="0.25">
      <c r="A2117" s="170">
        <v>45121</v>
      </c>
      <c r="B2117" s="116">
        <v>419</v>
      </c>
      <c r="C2117" s="116">
        <v>416.4</v>
      </c>
      <c r="D2117" s="116">
        <v>413.95</v>
      </c>
      <c r="E2117" s="116">
        <v>416.2</v>
      </c>
      <c r="F2117" s="116">
        <v>416.4</v>
      </c>
      <c r="G2117">
        <v>77506</v>
      </c>
      <c r="H2117" s="116"/>
      <c r="I2117" s="116"/>
      <c r="L2117" s="170">
        <v>45121</v>
      </c>
      <c r="M2117" s="116">
        <v>416.6</v>
      </c>
      <c r="N2117" s="116">
        <v>419.2</v>
      </c>
      <c r="O2117" s="116">
        <v>414.05</v>
      </c>
      <c r="P2117" s="116">
        <v>416.9</v>
      </c>
      <c r="Q2117" s="116">
        <v>416.6</v>
      </c>
      <c r="R2117">
        <v>7579025</v>
      </c>
    </row>
    <row r="2118" spans="1:18" x14ac:dyDescent="0.25">
      <c r="A2118" s="170">
        <v>45124</v>
      </c>
      <c r="B2118" s="116">
        <v>422.8</v>
      </c>
      <c r="C2118" s="116">
        <v>416.4</v>
      </c>
      <c r="D2118" s="116">
        <v>415.15</v>
      </c>
      <c r="E2118" s="116">
        <v>416.15</v>
      </c>
      <c r="F2118" s="116">
        <v>416.4</v>
      </c>
      <c r="G2118">
        <v>95942</v>
      </c>
      <c r="H2118" s="116"/>
      <c r="I2118" s="116"/>
      <c r="L2118" s="170">
        <v>45124</v>
      </c>
      <c r="M2118" s="116">
        <v>416.6</v>
      </c>
      <c r="N2118" s="116">
        <v>422.6</v>
      </c>
      <c r="O2118" s="116">
        <v>415.05</v>
      </c>
      <c r="P2118" s="116">
        <v>418</v>
      </c>
      <c r="Q2118" s="116">
        <v>416.6</v>
      </c>
      <c r="R2118">
        <v>5100742</v>
      </c>
    </row>
    <row r="2119" spans="1:18" x14ac:dyDescent="0.25">
      <c r="A2119" s="170">
        <v>45125</v>
      </c>
      <c r="B2119" s="116">
        <v>424.85</v>
      </c>
      <c r="C2119" s="116">
        <v>416.2</v>
      </c>
      <c r="D2119" s="116">
        <v>414.3</v>
      </c>
      <c r="E2119" s="116">
        <v>416.2</v>
      </c>
      <c r="F2119" s="116">
        <v>416.2</v>
      </c>
      <c r="G2119">
        <v>126589</v>
      </c>
      <c r="H2119" s="116"/>
      <c r="I2119" s="116"/>
      <c r="L2119" s="170">
        <v>45125</v>
      </c>
      <c r="M2119" s="116">
        <v>416.2</v>
      </c>
      <c r="N2119" s="116">
        <v>424.7</v>
      </c>
      <c r="O2119" s="116">
        <v>414.3</v>
      </c>
      <c r="P2119" s="116">
        <v>416.95</v>
      </c>
      <c r="Q2119" s="116">
        <v>416.2</v>
      </c>
      <c r="R2119">
        <v>3809061</v>
      </c>
    </row>
    <row r="2120" spans="1:18" x14ac:dyDescent="0.25">
      <c r="A2120" s="170">
        <v>45126</v>
      </c>
      <c r="B2120" s="116">
        <v>421</v>
      </c>
      <c r="C2120" s="116">
        <v>419.3</v>
      </c>
      <c r="D2120" s="116">
        <v>416.15</v>
      </c>
      <c r="E2120" s="116">
        <v>417.35</v>
      </c>
      <c r="F2120" s="116">
        <v>419.3</v>
      </c>
      <c r="G2120">
        <v>173047</v>
      </c>
      <c r="H2120" s="116"/>
      <c r="I2120" s="116"/>
      <c r="L2120" s="170">
        <v>45126</v>
      </c>
      <c r="M2120" s="116">
        <v>419.3</v>
      </c>
      <c r="N2120" s="116">
        <v>421</v>
      </c>
      <c r="O2120" s="116">
        <v>416.2</v>
      </c>
      <c r="P2120" s="116">
        <v>417.6</v>
      </c>
      <c r="Q2120" s="116">
        <v>419.3</v>
      </c>
      <c r="R2120">
        <v>2260225</v>
      </c>
    </row>
    <row r="2121" spans="1:18" x14ac:dyDescent="0.25">
      <c r="A2121" s="170">
        <v>45127</v>
      </c>
      <c r="B2121" s="116">
        <v>423.5</v>
      </c>
      <c r="C2121" s="116">
        <v>420.7</v>
      </c>
      <c r="D2121" s="116">
        <v>418.5</v>
      </c>
      <c r="E2121" s="116">
        <v>419.35</v>
      </c>
      <c r="F2121" s="116">
        <v>420.7</v>
      </c>
      <c r="G2121">
        <v>168865</v>
      </c>
      <c r="H2121" s="116"/>
      <c r="I2121" s="116"/>
      <c r="L2121" s="170">
        <v>45127</v>
      </c>
      <c r="M2121" s="116">
        <v>420.9</v>
      </c>
      <c r="N2121" s="116">
        <v>423.55</v>
      </c>
      <c r="O2121" s="116">
        <v>418.55</v>
      </c>
      <c r="P2121" s="116">
        <v>420.05</v>
      </c>
      <c r="Q2121" s="116">
        <v>420.9</v>
      </c>
      <c r="R2121">
        <v>2876080</v>
      </c>
    </row>
    <row r="2122" spans="1:18" x14ac:dyDescent="0.25">
      <c r="A2122" s="170">
        <v>45128</v>
      </c>
      <c r="B2122" s="116">
        <v>419.55</v>
      </c>
      <c r="C2122" s="116">
        <v>416.15</v>
      </c>
      <c r="D2122" s="116">
        <v>415.5</v>
      </c>
      <c r="E2122" s="116">
        <v>418.4</v>
      </c>
      <c r="F2122" s="116">
        <v>416.15</v>
      </c>
      <c r="G2122">
        <v>58520</v>
      </c>
      <c r="H2122" s="116"/>
      <c r="I2122" s="116"/>
      <c r="L2122" s="170">
        <v>45128</v>
      </c>
      <c r="M2122" s="116">
        <v>416.1</v>
      </c>
      <c r="N2122" s="116">
        <v>419.5</v>
      </c>
      <c r="O2122" s="116">
        <v>415.3</v>
      </c>
      <c r="P2122" s="116">
        <v>419.4</v>
      </c>
      <c r="Q2122" s="116">
        <v>416.1</v>
      </c>
      <c r="R2122">
        <v>1990506</v>
      </c>
    </row>
    <row r="2123" spans="1:18" x14ac:dyDescent="0.25">
      <c r="A2123" s="170">
        <v>45131</v>
      </c>
      <c r="B2123" s="116">
        <v>428.5</v>
      </c>
      <c r="C2123" s="116">
        <v>422.55</v>
      </c>
      <c r="D2123" s="116">
        <v>415.05</v>
      </c>
      <c r="E2123" s="116">
        <v>415.05</v>
      </c>
      <c r="F2123" s="116">
        <v>422.55</v>
      </c>
      <c r="G2123">
        <v>326284</v>
      </c>
      <c r="H2123" s="116"/>
      <c r="I2123" s="116"/>
      <c r="L2123" s="170">
        <v>45131</v>
      </c>
      <c r="M2123" s="116">
        <v>422.75</v>
      </c>
      <c r="N2123" s="116">
        <v>428.8</v>
      </c>
      <c r="O2123" s="116">
        <v>415.45</v>
      </c>
      <c r="P2123" s="116">
        <v>417</v>
      </c>
      <c r="Q2123" s="116">
        <v>422.75</v>
      </c>
      <c r="R2123">
        <v>3203223</v>
      </c>
    </row>
    <row r="2124" spans="1:18" x14ac:dyDescent="0.25">
      <c r="A2124" s="170">
        <v>45132</v>
      </c>
      <c r="B2124" s="116">
        <v>441.8</v>
      </c>
      <c r="C2124" s="116">
        <v>440.25</v>
      </c>
      <c r="D2124" s="116">
        <v>422.55</v>
      </c>
      <c r="E2124" s="116">
        <v>422.55</v>
      </c>
      <c r="F2124" s="116">
        <v>440.25</v>
      </c>
      <c r="G2124">
        <v>303049</v>
      </c>
      <c r="H2124" s="116"/>
      <c r="I2124" s="116"/>
      <c r="L2124" s="170">
        <v>45132</v>
      </c>
      <c r="M2124" s="116">
        <v>440.1</v>
      </c>
      <c r="N2124" s="116">
        <v>441.9</v>
      </c>
      <c r="O2124" s="116">
        <v>423.15</v>
      </c>
      <c r="P2124" s="116">
        <v>423.15</v>
      </c>
      <c r="Q2124" s="116">
        <v>440.1</v>
      </c>
      <c r="R2124">
        <v>6432788</v>
      </c>
    </row>
    <row r="2125" spans="1:18" x14ac:dyDescent="0.25">
      <c r="A2125" s="170">
        <v>45133</v>
      </c>
      <c r="B2125" s="116">
        <v>448.05</v>
      </c>
      <c r="C2125" s="116">
        <v>443.5</v>
      </c>
      <c r="D2125" s="116">
        <v>436.7</v>
      </c>
      <c r="E2125" s="116">
        <v>442</v>
      </c>
      <c r="F2125" s="116">
        <v>443.5</v>
      </c>
      <c r="G2125">
        <v>303522</v>
      </c>
      <c r="H2125" s="116"/>
      <c r="I2125" s="116"/>
      <c r="L2125" s="170">
        <v>45133</v>
      </c>
      <c r="M2125" s="116">
        <v>443.5</v>
      </c>
      <c r="N2125" s="116">
        <v>448.35</v>
      </c>
      <c r="O2125" s="116">
        <v>436.7</v>
      </c>
      <c r="P2125" s="116">
        <v>443.7</v>
      </c>
      <c r="Q2125" s="116">
        <v>443.5</v>
      </c>
      <c r="R2125">
        <v>5027847</v>
      </c>
    </row>
    <row r="2126" spans="1:18" x14ac:dyDescent="0.25">
      <c r="A2126" s="170">
        <v>45134</v>
      </c>
      <c r="B2126" s="116">
        <v>454.75</v>
      </c>
      <c r="C2126" s="116">
        <v>449.9</v>
      </c>
      <c r="D2126" s="116">
        <v>438.5</v>
      </c>
      <c r="E2126" s="116">
        <v>444</v>
      </c>
      <c r="F2126" s="116">
        <v>449.9</v>
      </c>
      <c r="G2126">
        <v>287850</v>
      </c>
      <c r="H2126" s="116"/>
      <c r="I2126" s="116"/>
      <c r="L2126" s="170">
        <v>45134</v>
      </c>
      <c r="M2126" s="116">
        <v>449.75</v>
      </c>
      <c r="N2126" s="116">
        <v>455</v>
      </c>
      <c r="O2126" s="116">
        <v>438.65</v>
      </c>
      <c r="P2126" s="116">
        <v>444.3</v>
      </c>
      <c r="Q2126" s="116">
        <v>449.75</v>
      </c>
      <c r="R2126">
        <v>4479151</v>
      </c>
    </row>
    <row r="2127" spans="1:18" x14ac:dyDescent="0.25">
      <c r="A2127" s="170">
        <v>45135</v>
      </c>
      <c r="B2127" s="116">
        <v>456.5</v>
      </c>
      <c r="C2127" s="116">
        <v>454.65</v>
      </c>
      <c r="D2127" s="116">
        <v>448</v>
      </c>
      <c r="E2127" s="116">
        <v>454.15</v>
      </c>
      <c r="F2127" s="116">
        <v>454.65</v>
      </c>
      <c r="G2127">
        <v>303752</v>
      </c>
      <c r="H2127" s="116"/>
      <c r="I2127" s="116"/>
      <c r="L2127" s="170">
        <v>45135</v>
      </c>
      <c r="M2127" s="116">
        <v>454.8</v>
      </c>
      <c r="N2127" s="116">
        <v>456.65</v>
      </c>
      <c r="O2127" s="116">
        <v>448.05</v>
      </c>
      <c r="P2127" s="116">
        <v>455</v>
      </c>
      <c r="Q2127" s="116">
        <v>454.8</v>
      </c>
      <c r="R2127">
        <v>4573656</v>
      </c>
    </row>
    <row r="2128" spans="1:18" x14ac:dyDescent="0.25">
      <c r="A2128" s="170">
        <v>45138</v>
      </c>
      <c r="B2128" s="116">
        <v>468.6</v>
      </c>
      <c r="C2128" s="116">
        <v>462.75</v>
      </c>
      <c r="D2128" s="116">
        <v>454.05</v>
      </c>
      <c r="E2128" s="116">
        <v>454.05</v>
      </c>
      <c r="F2128" s="116">
        <v>462.75</v>
      </c>
      <c r="G2128">
        <v>186688</v>
      </c>
      <c r="H2128" s="116"/>
      <c r="I2128" s="116"/>
      <c r="L2128" s="170">
        <v>45138</v>
      </c>
      <c r="M2128" s="116">
        <v>463</v>
      </c>
      <c r="N2128" s="116">
        <v>468.8</v>
      </c>
      <c r="O2128" s="116">
        <v>454.8</v>
      </c>
      <c r="P2128" s="116">
        <v>455</v>
      </c>
      <c r="Q2128" s="116">
        <v>463</v>
      </c>
      <c r="R2128">
        <v>5162855</v>
      </c>
    </row>
    <row r="2129" spans="1:18" x14ac:dyDescent="0.25">
      <c r="A2129" s="170">
        <v>45139</v>
      </c>
      <c r="B2129" s="116">
        <v>468</v>
      </c>
      <c r="C2129" s="116">
        <v>461.6</v>
      </c>
      <c r="D2129" s="116">
        <v>452.65</v>
      </c>
      <c r="E2129" s="116">
        <v>463.3</v>
      </c>
      <c r="F2129" s="116">
        <v>461.6</v>
      </c>
      <c r="G2129">
        <v>125907</v>
      </c>
      <c r="H2129" s="116"/>
      <c r="I2129" s="116"/>
      <c r="L2129" s="170">
        <v>45139</v>
      </c>
      <c r="M2129" s="116">
        <v>461.55</v>
      </c>
      <c r="N2129" s="116">
        <v>468.35</v>
      </c>
      <c r="O2129" s="116">
        <v>452.65</v>
      </c>
      <c r="P2129" s="116">
        <v>464</v>
      </c>
      <c r="Q2129" s="116">
        <v>461.55</v>
      </c>
      <c r="R2129">
        <v>3111674</v>
      </c>
    </row>
    <row r="2130" spans="1:18" x14ac:dyDescent="0.25">
      <c r="A2130" s="170">
        <v>45140</v>
      </c>
      <c r="B2130" s="116">
        <v>469</v>
      </c>
      <c r="C2130" s="116">
        <v>460.95</v>
      </c>
      <c r="D2130" s="116">
        <v>449.7</v>
      </c>
      <c r="E2130" s="116">
        <v>460.65</v>
      </c>
      <c r="F2130" s="116">
        <v>460.95</v>
      </c>
      <c r="G2130">
        <v>451281</v>
      </c>
      <c r="H2130" s="116"/>
      <c r="I2130" s="116"/>
      <c r="L2130" s="170">
        <v>45140</v>
      </c>
      <c r="M2130" s="116">
        <v>460.9</v>
      </c>
      <c r="N2130" s="116">
        <v>469.35</v>
      </c>
      <c r="O2130" s="116">
        <v>450</v>
      </c>
      <c r="P2130" s="116">
        <v>462</v>
      </c>
      <c r="Q2130" s="116">
        <v>460.9</v>
      </c>
      <c r="R2130">
        <v>8819107</v>
      </c>
    </row>
    <row r="2131" spans="1:18" x14ac:dyDescent="0.25">
      <c r="A2131" s="170">
        <v>45141</v>
      </c>
      <c r="B2131" s="116">
        <v>480.9</v>
      </c>
      <c r="C2131" s="116">
        <v>474.2</v>
      </c>
      <c r="D2131" s="116">
        <v>458.6</v>
      </c>
      <c r="E2131" s="116">
        <v>464.25</v>
      </c>
      <c r="F2131" s="116">
        <v>474.2</v>
      </c>
      <c r="G2131">
        <v>787931</v>
      </c>
      <c r="H2131" s="116"/>
      <c r="I2131" s="116"/>
      <c r="L2131" s="170">
        <v>45141</v>
      </c>
      <c r="M2131" s="116">
        <v>474.35</v>
      </c>
      <c r="N2131" s="116">
        <v>481.15</v>
      </c>
      <c r="O2131" s="116">
        <v>458.45</v>
      </c>
      <c r="P2131" s="116">
        <v>465</v>
      </c>
      <c r="Q2131" s="116">
        <v>474.35</v>
      </c>
      <c r="R2131">
        <v>12633488</v>
      </c>
    </row>
    <row r="2132" spans="1:18" x14ac:dyDescent="0.25">
      <c r="A2132" s="170">
        <v>45142</v>
      </c>
      <c r="B2132" s="116">
        <v>477.35</v>
      </c>
      <c r="C2132" s="116">
        <v>471.6</v>
      </c>
      <c r="D2132" s="116">
        <v>470.4</v>
      </c>
      <c r="E2132" s="116">
        <v>474.25</v>
      </c>
      <c r="F2132" s="116">
        <v>471.6</v>
      </c>
      <c r="G2132">
        <v>115736</v>
      </c>
      <c r="H2132" s="116"/>
      <c r="I2132" s="116"/>
      <c r="L2132" s="170">
        <v>45142</v>
      </c>
      <c r="M2132" s="116">
        <v>471.75</v>
      </c>
      <c r="N2132" s="116">
        <v>477.5</v>
      </c>
      <c r="O2132" s="116">
        <v>470.1</v>
      </c>
      <c r="P2132" s="116">
        <v>477</v>
      </c>
      <c r="Q2132" s="116">
        <v>471.75</v>
      </c>
      <c r="R2132">
        <v>2994518</v>
      </c>
    </row>
    <row r="2133" spans="1:18" x14ac:dyDescent="0.25">
      <c r="A2133" s="170">
        <v>45145</v>
      </c>
      <c r="B2133" s="116">
        <v>476</v>
      </c>
      <c r="C2133" s="116">
        <v>474</v>
      </c>
      <c r="D2133" s="116">
        <v>468.85</v>
      </c>
      <c r="E2133" s="116">
        <v>472.25</v>
      </c>
      <c r="F2133" s="116">
        <v>474</v>
      </c>
      <c r="G2133">
        <v>80191</v>
      </c>
      <c r="H2133" s="116"/>
      <c r="I2133" s="116"/>
      <c r="L2133" s="170">
        <v>45145</v>
      </c>
      <c r="M2133" s="116">
        <v>474.1</v>
      </c>
      <c r="N2133" s="116">
        <v>476</v>
      </c>
      <c r="O2133" s="116">
        <v>468.75</v>
      </c>
      <c r="P2133" s="116">
        <v>473.4</v>
      </c>
      <c r="Q2133" s="116">
        <v>474.1</v>
      </c>
      <c r="R2133">
        <v>2245398</v>
      </c>
    </row>
    <row r="2134" spans="1:18" x14ac:dyDescent="0.25">
      <c r="A2134" s="170">
        <v>45146</v>
      </c>
      <c r="B2134" s="116">
        <v>476</v>
      </c>
      <c r="C2134" s="116">
        <v>466</v>
      </c>
      <c r="D2134" s="116">
        <v>456.55</v>
      </c>
      <c r="E2134" s="116">
        <v>473.05</v>
      </c>
      <c r="F2134" s="116">
        <v>466</v>
      </c>
      <c r="G2134">
        <v>163483</v>
      </c>
      <c r="H2134" s="116"/>
      <c r="I2134" s="116"/>
      <c r="L2134" s="170">
        <v>45146</v>
      </c>
      <c r="M2134" s="116">
        <v>466.2</v>
      </c>
      <c r="N2134" s="116">
        <v>476</v>
      </c>
      <c r="O2134" s="116">
        <v>456.25</v>
      </c>
      <c r="P2134" s="116">
        <v>474.95</v>
      </c>
      <c r="Q2134" s="116">
        <v>466.2</v>
      </c>
      <c r="R2134">
        <v>5371066</v>
      </c>
    </row>
    <row r="2135" spans="1:18" x14ac:dyDescent="0.25">
      <c r="A2135" s="170">
        <v>45147</v>
      </c>
      <c r="B2135" s="116">
        <v>466.65</v>
      </c>
      <c r="C2135" s="116">
        <v>462.9</v>
      </c>
      <c r="D2135" s="116">
        <v>460.7</v>
      </c>
      <c r="E2135" s="116">
        <v>464.25</v>
      </c>
      <c r="F2135" s="116">
        <v>462.9</v>
      </c>
      <c r="G2135">
        <v>60893</v>
      </c>
      <c r="H2135" s="116"/>
      <c r="I2135" s="116"/>
      <c r="L2135" s="170">
        <v>45147</v>
      </c>
      <c r="M2135" s="116">
        <v>462.65</v>
      </c>
      <c r="N2135" s="116">
        <v>466.75</v>
      </c>
      <c r="O2135" s="116">
        <v>460.5</v>
      </c>
      <c r="P2135" s="116">
        <v>466.2</v>
      </c>
      <c r="Q2135" s="116">
        <v>462.65</v>
      </c>
      <c r="R2135">
        <v>2483919</v>
      </c>
    </row>
    <row r="2136" spans="1:18" x14ac:dyDescent="0.25">
      <c r="A2136" s="170">
        <v>45148</v>
      </c>
      <c r="B2136" s="116">
        <v>465.85</v>
      </c>
      <c r="C2136" s="116">
        <v>456.85</v>
      </c>
      <c r="D2136" s="116">
        <v>454.85</v>
      </c>
      <c r="E2136" s="116">
        <v>462.05</v>
      </c>
      <c r="F2136" s="116">
        <v>456.85</v>
      </c>
      <c r="G2136">
        <v>199093</v>
      </c>
      <c r="H2136" s="116"/>
      <c r="I2136" s="116"/>
      <c r="L2136" s="170">
        <v>45148</v>
      </c>
      <c r="M2136" s="116">
        <v>457.2</v>
      </c>
      <c r="N2136" s="116">
        <v>465.85</v>
      </c>
      <c r="O2136" s="116">
        <v>454.7</v>
      </c>
      <c r="P2136" s="116">
        <v>463.05</v>
      </c>
      <c r="Q2136" s="116">
        <v>457.2</v>
      </c>
      <c r="R2136">
        <v>2526713</v>
      </c>
    </row>
    <row r="2137" spans="1:18" x14ac:dyDescent="0.25">
      <c r="A2137" s="170">
        <v>45149</v>
      </c>
      <c r="B2137" s="116">
        <v>463.4</v>
      </c>
      <c r="C2137" s="116">
        <v>456.5</v>
      </c>
      <c r="D2137" s="116">
        <v>454.05</v>
      </c>
      <c r="E2137" s="116">
        <v>456.85</v>
      </c>
      <c r="F2137" s="116">
        <v>456.5</v>
      </c>
      <c r="G2137">
        <v>83491</v>
      </c>
      <c r="H2137" s="116"/>
      <c r="I2137" s="116"/>
      <c r="L2137" s="170">
        <v>45149</v>
      </c>
      <c r="M2137" s="116">
        <v>456.4</v>
      </c>
      <c r="N2137" s="116">
        <v>463.4</v>
      </c>
      <c r="O2137" s="116">
        <v>454</v>
      </c>
      <c r="P2137" s="116">
        <v>457.5</v>
      </c>
      <c r="Q2137" s="116">
        <v>456.4</v>
      </c>
      <c r="R2137">
        <v>2572588</v>
      </c>
    </row>
    <row r="2138" spans="1:18" x14ac:dyDescent="0.25">
      <c r="A2138" s="170">
        <v>45152</v>
      </c>
      <c r="B2138" s="116">
        <v>452</v>
      </c>
      <c r="C2138" s="116">
        <v>440.55</v>
      </c>
      <c r="D2138" s="116">
        <v>437.9</v>
      </c>
      <c r="E2138" s="116">
        <v>449.1</v>
      </c>
      <c r="F2138" s="116">
        <v>440.55</v>
      </c>
      <c r="G2138">
        <v>282208</v>
      </c>
      <c r="H2138" s="116"/>
      <c r="I2138" s="116"/>
      <c r="L2138" s="170">
        <v>45152</v>
      </c>
      <c r="M2138" s="116">
        <v>440.95</v>
      </c>
      <c r="N2138" s="116">
        <v>452.5</v>
      </c>
      <c r="O2138" s="116">
        <v>437.65</v>
      </c>
      <c r="P2138" s="116">
        <v>450.55</v>
      </c>
      <c r="Q2138" s="116">
        <v>440.95</v>
      </c>
      <c r="R2138">
        <v>4208119</v>
      </c>
    </row>
    <row r="2139" spans="1:18" x14ac:dyDescent="0.25">
      <c r="A2139" s="170">
        <v>45154</v>
      </c>
      <c r="B2139" s="116">
        <v>440</v>
      </c>
      <c r="C2139" s="116">
        <v>437.35</v>
      </c>
      <c r="D2139" s="116">
        <v>432.2</v>
      </c>
      <c r="E2139" s="116">
        <v>438.05</v>
      </c>
      <c r="F2139" s="116">
        <v>437.35</v>
      </c>
      <c r="G2139">
        <v>84423</v>
      </c>
      <c r="H2139" s="116"/>
      <c r="I2139" s="116"/>
      <c r="L2139" s="170">
        <v>45154</v>
      </c>
      <c r="M2139" s="116">
        <v>437.2</v>
      </c>
      <c r="N2139" s="116">
        <v>440.3</v>
      </c>
      <c r="O2139" s="116">
        <v>432.1</v>
      </c>
      <c r="P2139" s="116">
        <v>440.3</v>
      </c>
      <c r="Q2139" s="116">
        <v>437.2</v>
      </c>
      <c r="R2139">
        <v>1740262</v>
      </c>
    </row>
    <row r="2140" spans="1:18" x14ac:dyDescent="0.25">
      <c r="A2140" s="170">
        <v>45155</v>
      </c>
      <c r="B2140" s="116">
        <v>446.8</v>
      </c>
      <c r="C2140" s="116">
        <v>445.7</v>
      </c>
      <c r="D2140" s="116">
        <v>433.9</v>
      </c>
      <c r="E2140" s="116">
        <v>437</v>
      </c>
      <c r="F2140" s="116">
        <v>445.7</v>
      </c>
      <c r="G2140">
        <v>159490</v>
      </c>
      <c r="H2140" s="116"/>
      <c r="I2140" s="116"/>
      <c r="L2140" s="170">
        <v>45155</v>
      </c>
      <c r="M2140" s="116">
        <v>446</v>
      </c>
      <c r="N2140" s="116">
        <v>447</v>
      </c>
      <c r="O2140" s="116">
        <v>433.65</v>
      </c>
      <c r="P2140" s="116">
        <v>437.4</v>
      </c>
      <c r="Q2140" s="116">
        <v>446</v>
      </c>
      <c r="R2140">
        <v>2130151</v>
      </c>
    </row>
    <row r="2141" spans="1:18" x14ac:dyDescent="0.25">
      <c r="A2141" s="170">
        <v>45156</v>
      </c>
      <c r="B2141" s="116">
        <v>460.95</v>
      </c>
      <c r="C2141" s="116">
        <v>453.35</v>
      </c>
      <c r="D2141" s="116">
        <v>439.7</v>
      </c>
      <c r="E2141" s="116">
        <v>445.05</v>
      </c>
      <c r="F2141" s="116">
        <v>453.35</v>
      </c>
      <c r="G2141">
        <v>204391</v>
      </c>
      <c r="H2141" s="116"/>
      <c r="I2141" s="116"/>
      <c r="L2141" s="170">
        <v>45156</v>
      </c>
      <c r="M2141" s="116">
        <v>453.05</v>
      </c>
      <c r="N2141" s="116">
        <v>460.95</v>
      </c>
      <c r="O2141" s="116">
        <v>439.8</v>
      </c>
      <c r="P2141" s="116">
        <v>445.95</v>
      </c>
      <c r="Q2141" s="116">
        <v>453.05</v>
      </c>
      <c r="R2141">
        <v>4745941</v>
      </c>
    </row>
    <row r="2142" spans="1:18" x14ac:dyDescent="0.25">
      <c r="A2142" s="170">
        <v>45159</v>
      </c>
      <c r="B2142" s="116">
        <v>468.8</v>
      </c>
      <c r="C2142" s="116">
        <v>465.3</v>
      </c>
      <c r="D2142" s="116">
        <v>453.05</v>
      </c>
      <c r="E2142" s="116">
        <v>453.05</v>
      </c>
      <c r="F2142" s="116">
        <v>465.3</v>
      </c>
      <c r="G2142">
        <v>355419</v>
      </c>
      <c r="H2142" s="116"/>
      <c r="I2142" s="116"/>
      <c r="L2142" s="170">
        <v>45159</v>
      </c>
      <c r="M2142" s="116">
        <v>465.25</v>
      </c>
      <c r="N2142" s="116">
        <v>469</v>
      </c>
      <c r="O2142" s="116">
        <v>453.6</v>
      </c>
      <c r="P2142" s="116">
        <v>454.1</v>
      </c>
      <c r="Q2142" s="116">
        <v>465.25</v>
      </c>
      <c r="R2142">
        <v>3554493</v>
      </c>
    </row>
    <row r="2143" spans="1:18" x14ac:dyDescent="0.25">
      <c r="A2143" s="170">
        <v>45160</v>
      </c>
      <c r="B2143" s="116">
        <v>472.35</v>
      </c>
      <c r="C2143" s="116">
        <v>463.65</v>
      </c>
      <c r="D2143" s="116">
        <v>462.4</v>
      </c>
      <c r="E2143" s="116">
        <v>469.35</v>
      </c>
      <c r="F2143" s="116">
        <v>463.65</v>
      </c>
      <c r="G2143">
        <v>226123</v>
      </c>
      <c r="H2143" s="116"/>
      <c r="I2143" s="116"/>
      <c r="L2143" s="170">
        <v>45160</v>
      </c>
      <c r="M2143" s="116">
        <v>463.8</v>
      </c>
      <c r="N2143" s="116">
        <v>470.65</v>
      </c>
      <c r="O2143" s="116">
        <v>462.35</v>
      </c>
      <c r="P2143" s="116">
        <v>468.25</v>
      </c>
      <c r="Q2143" s="116">
        <v>463.8</v>
      </c>
      <c r="R2143">
        <v>3093757</v>
      </c>
    </row>
    <row r="2144" spans="1:18" x14ac:dyDescent="0.25">
      <c r="A2144" s="170">
        <v>45161</v>
      </c>
      <c r="B2144" s="116">
        <v>466.85</v>
      </c>
      <c r="C2144" s="116">
        <v>452.9</v>
      </c>
      <c r="D2144" s="116">
        <v>450.4</v>
      </c>
      <c r="E2144" s="116">
        <v>463.55</v>
      </c>
      <c r="F2144" s="116">
        <v>452.9</v>
      </c>
      <c r="G2144">
        <v>69273</v>
      </c>
      <c r="H2144" s="116"/>
      <c r="I2144" s="116"/>
      <c r="L2144" s="170">
        <v>45161</v>
      </c>
      <c r="M2144" s="116">
        <v>453.3</v>
      </c>
      <c r="N2144" s="116">
        <v>466.8</v>
      </c>
      <c r="O2144" s="116">
        <v>450.1</v>
      </c>
      <c r="P2144" s="116">
        <v>464.5</v>
      </c>
      <c r="Q2144" s="116">
        <v>453.3</v>
      </c>
      <c r="R2144">
        <v>3474824</v>
      </c>
    </row>
    <row r="2145" spans="1:18" x14ac:dyDescent="0.25">
      <c r="A2145" s="170">
        <v>45162</v>
      </c>
      <c r="B2145" s="116">
        <v>462</v>
      </c>
      <c r="C2145" s="116">
        <v>449</v>
      </c>
      <c r="D2145" s="116">
        <v>447</v>
      </c>
      <c r="E2145" s="116">
        <v>453.05</v>
      </c>
      <c r="F2145" s="116">
        <v>449</v>
      </c>
      <c r="G2145">
        <v>95277</v>
      </c>
      <c r="H2145" s="116"/>
      <c r="I2145" s="116"/>
      <c r="L2145" s="170">
        <v>45162</v>
      </c>
      <c r="M2145" s="116">
        <v>448.95</v>
      </c>
      <c r="N2145" s="116">
        <v>462</v>
      </c>
      <c r="O2145" s="116">
        <v>446.95</v>
      </c>
      <c r="P2145" s="116">
        <v>456.45</v>
      </c>
      <c r="Q2145" s="116">
        <v>448.95</v>
      </c>
      <c r="R2145">
        <v>4316497</v>
      </c>
    </row>
    <row r="2146" spans="1:18" x14ac:dyDescent="0.25">
      <c r="A2146" s="170">
        <v>45163</v>
      </c>
      <c r="B2146" s="116">
        <v>448.95</v>
      </c>
      <c r="C2146" s="116">
        <v>434.8</v>
      </c>
      <c r="D2146" s="116">
        <v>431.1</v>
      </c>
      <c r="E2146" s="116">
        <v>448.95</v>
      </c>
      <c r="F2146" s="116">
        <v>434.8</v>
      </c>
      <c r="G2146">
        <v>274377</v>
      </c>
      <c r="H2146" s="116"/>
      <c r="I2146" s="116"/>
      <c r="L2146" s="170">
        <v>45163</v>
      </c>
      <c r="M2146" s="116">
        <v>434.6</v>
      </c>
      <c r="N2146" s="116">
        <v>448.3</v>
      </c>
      <c r="O2146" s="116">
        <v>430.1</v>
      </c>
      <c r="P2146" s="116">
        <v>448.2</v>
      </c>
      <c r="Q2146" s="116">
        <v>434.6</v>
      </c>
      <c r="R2146">
        <v>5518417</v>
      </c>
    </row>
    <row r="2147" spans="1:18" x14ac:dyDescent="0.25">
      <c r="A2147" s="170">
        <v>45166</v>
      </c>
      <c r="B2147" s="116">
        <v>441.7</v>
      </c>
      <c r="C2147" s="116">
        <v>438.6</v>
      </c>
      <c r="D2147" s="116">
        <v>432.3</v>
      </c>
      <c r="E2147" s="116">
        <v>436.25</v>
      </c>
      <c r="F2147" s="116">
        <v>438.6</v>
      </c>
      <c r="G2147">
        <v>195450</v>
      </c>
      <c r="H2147" s="116"/>
      <c r="I2147" s="116"/>
      <c r="L2147" s="170">
        <v>45166</v>
      </c>
      <c r="M2147" s="116">
        <v>438.85</v>
      </c>
      <c r="N2147" s="116">
        <v>444.5</v>
      </c>
      <c r="O2147" s="116">
        <v>432.1</v>
      </c>
      <c r="P2147" s="116">
        <v>439.2</v>
      </c>
      <c r="Q2147" s="116">
        <v>438.85</v>
      </c>
      <c r="R2147">
        <v>3347943</v>
      </c>
    </row>
    <row r="2148" spans="1:18" x14ac:dyDescent="0.25">
      <c r="A2148" s="170">
        <v>45167</v>
      </c>
      <c r="B2148" s="116">
        <v>447.4</v>
      </c>
      <c r="C2148" s="116">
        <v>440.95</v>
      </c>
      <c r="D2148" s="116">
        <v>436.25</v>
      </c>
      <c r="E2148" s="116">
        <v>438.65</v>
      </c>
      <c r="F2148" s="116">
        <v>440.95</v>
      </c>
      <c r="G2148">
        <v>87480</v>
      </c>
      <c r="H2148" s="116"/>
      <c r="I2148" s="116"/>
      <c r="L2148" s="170">
        <v>45167</v>
      </c>
      <c r="M2148" s="116">
        <v>441.2</v>
      </c>
      <c r="N2148" s="116">
        <v>447.5</v>
      </c>
      <c r="O2148" s="116">
        <v>436.45</v>
      </c>
      <c r="P2148" s="116">
        <v>440</v>
      </c>
      <c r="Q2148" s="116">
        <v>441.2</v>
      </c>
      <c r="R2148">
        <v>4051913</v>
      </c>
    </row>
    <row r="2149" spans="1:18" x14ac:dyDescent="0.25">
      <c r="A2149" s="170">
        <v>45168</v>
      </c>
      <c r="B2149" s="116">
        <v>445.45</v>
      </c>
      <c r="C2149" s="116">
        <v>444.2</v>
      </c>
      <c r="D2149" s="116">
        <v>440.4</v>
      </c>
      <c r="E2149" s="116">
        <v>442.05</v>
      </c>
      <c r="F2149" s="116">
        <v>444.2</v>
      </c>
      <c r="G2149">
        <v>62637</v>
      </c>
      <c r="H2149" s="116"/>
      <c r="I2149" s="116"/>
      <c r="L2149" s="170">
        <v>45168</v>
      </c>
      <c r="M2149" s="116">
        <v>444.05</v>
      </c>
      <c r="N2149" s="116">
        <v>445.5</v>
      </c>
      <c r="O2149" s="116">
        <v>440.2</v>
      </c>
      <c r="P2149" s="116">
        <v>444.7</v>
      </c>
      <c r="Q2149" s="116">
        <v>444.05</v>
      </c>
      <c r="R2149">
        <v>2230876</v>
      </c>
    </row>
    <row r="2150" spans="1:18" x14ac:dyDescent="0.25">
      <c r="A2150" s="170">
        <v>45169</v>
      </c>
      <c r="B2150" s="116">
        <v>442.95</v>
      </c>
      <c r="C2150" s="116">
        <v>428.5</v>
      </c>
      <c r="D2150" s="116">
        <v>425.25</v>
      </c>
      <c r="E2150" s="116">
        <v>442.95</v>
      </c>
      <c r="F2150" s="116">
        <v>428.5</v>
      </c>
      <c r="G2150">
        <v>465475</v>
      </c>
      <c r="H2150" s="116"/>
      <c r="I2150" s="116"/>
      <c r="L2150" s="170">
        <v>45169</v>
      </c>
      <c r="M2150" s="116">
        <v>428.4</v>
      </c>
      <c r="N2150" s="116">
        <v>442.35</v>
      </c>
      <c r="O2150" s="116">
        <v>425.1</v>
      </c>
      <c r="P2150" s="116">
        <v>439.85</v>
      </c>
      <c r="Q2150" s="116">
        <v>428.4</v>
      </c>
      <c r="R2150">
        <v>12006942</v>
      </c>
    </row>
    <row r="2151" spans="1:18" x14ac:dyDescent="0.25">
      <c r="A2151" s="170">
        <v>45170</v>
      </c>
      <c r="B2151" s="116">
        <v>437</v>
      </c>
      <c r="C2151" s="116">
        <v>433.7</v>
      </c>
      <c r="D2151" s="116">
        <v>424.2</v>
      </c>
      <c r="E2151" s="116">
        <v>426.05</v>
      </c>
      <c r="F2151" s="116">
        <v>433.7</v>
      </c>
      <c r="G2151">
        <v>289019</v>
      </c>
      <c r="H2151" s="116"/>
      <c r="I2151" s="116"/>
      <c r="L2151" s="170">
        <v>45170</v>
      </c>
      <c r="M2151" s="116">
        <v>433.9</v>
      </c>
      <c r="N2151" s="116">
        <v>437.4</v>
      </c>
      <c r="O2151" s="116">
        <v>425.5</v>
      </c>
      <c r="P2151" s="116">
        <v>427.55</v>
      </c>
      <c r="Q2151" s="116">
        <v>433.9</v>
      </c>
      <c r="R2151">
        <v>3846763</v>
      </c>
    </row>
    <row r="2152" spans="1:18" x14ac:dyDescent="0.25">
      <c r="A2152" s="170">
        <v>45173</v>
      </c>
      <c r="B2152" s="116">
        <v>443.8</v>
      </c>
      <c r="C2152" s="116">
        <v>441.05</v>
      </c>
      <c r="D2152" s="116">
        <v>433.9</v>
      </c>
      <c r="E2152" s="116">
        <v>433.9</v>
      </c>
      <c r="F2152" s="116">
        <v>441.05</v>
      </c>
      <c r="G2152">
        <v>98045</v>
      </c>
      <c r="H2152" s="116"/>
      <c r="I2152" s="116"/>
      <c r="L2152" s="170">
        <v>45173</v>
      </c>
      <c r="M2152" s="116">
        <v>441.15</v>
      </c>
      <c r="N2152" s="116">
        <v>443.95</v>
      </c>
      <c r="O2152" s="116">
        <v>435.15</v>
      </c>
      <c r="P2152" s="116">
        <v>435.35</v>
      </c>
      <c r="Q2152" s="116">
        <v>441.15</v>
      </c>
      <c r="R2152">
        <v>4347480</v>
      </c>
    </row>
    <row r="2153" spans="1:18" x14ac:dyDescent="0.25">
      <c r="A2153" s="170">
        <v>45174</v>
      </c>
      <c r="B2153" s="116">
        <v>444.1</v>
      </c>
      <c r="C2153" s="116">
        <v>440</v>
      </c>
      <c r="D2153" s="116">
        <v>437.3</v>
      </c>
      <c r="E2153" s="116">
        <v>440.15</v>
      </c>
      <c r="F2153" s="116">
        <v>440</v>
      </c>
      <c r="G2153">
        <v>84165</v>
      </c>
      <c r="H2153" s="116"/>
      <c r="I2153" s="116"/>
      <c r="L2153" s="170">
        <v>45174</v>
      </c>
      <c r="M2153" s="116">
        <v>440.2</v>
      </c>
      <c r="N2153" s="116">
        <v>444.45</v>
      </c>
      <c r="O2153" s="116">
        <v>437.5</v>
      </c>
      <c r="P2153" s="116">
        <v>441.3</v>
      </c>
      <c r="Q2153" s="116">
        <v>440.2</v>
      </c>
      <c r="R2153">
        <v>2261743</v>
      </c>
    </row>
    <row r="2154" spans="1:18" x14ac:dyDescent="0.25">
      <c r="A2154" s="170">
        <v>45175</v>
      </c>
      <c r="B2154" s="116">
        <v>441.9</v>
      </c>
      <c r="C2154" s="116">
        <v>437.7</v>
      </c>
      <c r="D2154" s="116">
        <v>433.6</v>
      </c>
      <c r="E2154" s="116">
        <v>440.05</v>
      </c>
      <c r="F2154" s="116">
        <v>437.7</v>
      </c>
      <c r="G2154">
        <v>72476</v>
      </c>
      <c r="H2154" s="116"/>
      <c r="I2154" s="116"/>
      <c r="L2154" s="170">
        <v>45175</v>
      </c>
      <c r="M2154" s="116">
        <v>437.75</v>
      </c>
      <c r="N2154" s="116">
        <v>442</v>
      </c>
      <c r="O2154" s="116">
        <v>433.5</v>
      </c>
      <c r="P2154" s="116">
        <v>441</v>
      </c>
      <c r="Q2154" s="116">
        <v>437.75</v>
      </c>
      <c r="R2154">
        <v>2410656</v>
      </c>
    </row>
    <row r="2155" spans="1:18" x14ac:dyDescent="0.25">
      <c r="A2155" s="170">
        <v>45176</v>
      </c>
      <c r="B2155" s="116">
        <v>440.5</v>
      </c>
      <c r="C2155" s="116">
        <v>439.45</v>
      </c>
      <c r="D2155" s="116">
        <v>435.35</v>
      </c>
      <c r="E2155" s="116">
        <v>437.7</v>
      </c>
      <c r="F2155" s="116">
        <v>439.45</v>
      </c>
      <c r="G2155">
        <v>48801</v>
      </c>
      <c r="H2155" s="116"/>
      <c r="I2155" s="116"/>
      <c r="L2155" s="170">
        <v>45176</v>
      </c>
      <c r="M2155" s="116">
        <v>439.45</v>
      </c>
      <c r="N2155" s="116">
        <v>440.6</v>
      </c>
      <c r="O2155" s="116">
        <v>435.2</v>
      </c>
      <c r="P2155" s="116">
        <v>437.95</v>
      </c>
      <c r="Q2155" s="116">
        <v>439.45</v>
      </c>
      <c r="R2155">
        <v>2211370</v>
      </c>
    </row>
    <row r="2156" spans="1:18" x14ac:dyDescent="0.25">
      <c r="A2156" s="170">
        <v>45177</v>
      </c>
      <c r="B2156" s="116">
        <v>441.05</v>
      </c>
      <c r="C2156" s="116">
        <v>439.1</v>
      </c>
      <c r="D2156" s="116">
        <v>437</v>
      </c>
      <c r="E2156" s="116">
        <v>439.5</v>
      </c>
      <c r="F2156" s="116">
        <v>439.1</v>
      </c>
      <c r="G2156">
        <v>113927</v>
      </c>
      <c r="H2156" s="116"/>
      <c r="I2156" s="116"/>
      <c r="L2156" s="170">
        <v>45177</v>
      </c>
      <c r="M2156" s="116">
        <v>439.2</v>
      </c>
      <c r="N2156" s="116">
        <v>441.2</v>
      </c>
      <c r="O2156" s="116">
        <v>436.9</v>
      </c>
      <c r="P2156" s="116">
        <v>440.05</v>
      </c>
      <c r="Q2156" s="116">
        <v>439.2</v>
      </c>
      <c r="R2156">
        <v>1913450</v>
      </c>
    </row>
    <row r="2157" spans="1:18" x14ac:dyDescent="0.25">
      <c r="A2157" s="170">
        <v>45180</v>
      </c>
      <c r="B2157" s="116">
        <v>453.35</v>
      </c>
      <c r="C2157" s="116">
        <v>450.8</v>
      </c>
      <c r="D2157" s="116">
        <v>439.05</v>
      </c>
      <c r="E2157" s="116">
        <v>439.1</v>
      </c>
      <c r="F2157" s="116">
        <v>450.8</v>
      </c>
      <c r="G2157">
        <v>141937</v>
      </c>
      <c r="H2157" s="116"/>
      <c r="I2157" s="116"/>
      <c r="L2157" s="170">
        <v>45180</v>
      </c>
      <c r="M2157" s="116">
        <v>450.9</v>
      </c>
      <c r="N2157" s="116">
        <v>453.4</v>
      </c>
      <c r="O2157" s="116">
        <v>439.25</v>
      </c>
      <c r="P2157" s="116">
        <v>439.25</v>
      </c>
      <c r="Q2157" s="116">
        <v>450.9</v>
      </c>
      <c r="R2157">
        <v>5287778</v>
      </c>
    </row>
    <row r="2158" spans="1:18" x14ac:dyDescent="0.25">
      <c r="A2158" s="170">
        <v>45181</v>
      </c>
      <c r="B2158" s="116">
        <v>453.7</v>
      </c>
      <c r="C2158" s="116">
        <v>445.1</v>
      </c>
      <c r="D2158" s="116">
        <v>436.45</v>
      </c>
      <c r="E2158" s="116">
        <v>452.05</v>
      </c>
      <c r="F2158" s="116">
        <v>445.1</v>
      </c>
      <c r="G2158">
        <v>106434</v>
      </c>
      <c r="H2158" s="116"/>
      <c r="I2158" s="116"/>
      <c r="L2158" s="170">
        <v>45181</v>
      </c>
      <c r="M2158" s="116">
        <v>445</v>
      </c>
      <c r="N2158" s="116">
        <v>453.9</v>
      </c>
      <c r="O2158" s="116">
        <v>436.65</v>
      </c>
      <c r="P2158" s="116">
        <v>453.9</v>
      </c>
      <c r="Q2158" s="116">
        <v>445</v>
      </c>
      <c r="R2158">
        <v>5467782</v>
      </c>
    </row>
    <row r="2159" spans="1:18" x14ac:dyDescent="0.25">
      <c r="A2159" s="170">
        <v>45182</v>
      </c>
      <c r="B2159" s="116">
        <v>450</v>
      </c>
      <c r="C2159" s="116">
        <v>443.7</v>
      </c>
      <c r="D2159" s="116">
        <v>440.55</v>
      </c>
      <c r="E2159" s="116">
        <v>445.15</v>
      </c>
      <c r="F2159" s="116">
        <v>443.7</v>
      </c>
      <c r="G2159">
        <v>150506</v>
      </c>
      <c r="H2159" s="116"/>
      <c r="I2159" s="116"/>
      <c r="L2159" s="170">
        <v>45182</v>
      </c>
      <c r="M2159" s="116">
        <v>443.9</v>
      </c>
      <c r="N2159" s="116">
        <v>449.95</v>
      </c>
      <c r="O2159" s="116">
        <v>440.35</v>
      </c>
      <c r="P2159" s="116">
        <v>447</v>
      </c>
      <c r="Q2159" s="116">
        <v>443.9</v>
      </c>
      <c r="R2159">
        <v>2583760</v>
      </c>
    </row>
    <row r="2160" spans="1:18" x14ac:dyDescent="0.25">
      <c r="A2160" s="170">
        <v>45183</v>
      </c>
      <c r="B2160" s="116">
        <v>446.75</v>
      </c>
      <c r="C2160" s="116">
        <v>445.05</v>
      </c>
      <c r="D2160" s="116">
        <v>441.85</v>
      </c>
      <c r="E2160" s="116">
        <v>446.75</v>
      </c>
      <c r="F2160" s="116">
        <v>445.05</v>
      </c>
      <c r="G2160">
        <v>59282</v>
      </c>
      <c r="H2160" s="116"/>
      <c r="I2160" s="116"/>
      <c r="L2160" s="170">
        <v>45183</v>
      </c>
      <c r="M2160" s="116">
        <v>445.2</v>
      </c>
      <c r="N2160" s="116">
        <v>446.4</v>
      </c>
      <c r="O2160" s="116">
        <v>441.7</v>
      </c>
      <c r="P2160" s="116">
        <v>444.8</v>
      </c>
      <c r="Q2160" s="116">
        <v>445.2</v>
      </c>
      <c r="R2160">
        <v>2000637</v>
      </c>
    </row>
    <row r="2161" spans="1:18" x14ac:dyDescent="0.25">
      <c r="A2161" s="170">
        <v>45184</v>
      </c>
      <c r="B2161" s="116">
        <v>447.95</v>
      </c>
      <c r="C2161" s="116">
        <v>445</v>
      </c>
      <c r="D2161" s="116">
        <v>442.85</v>
      </c>
      <c r="E2161" s="116">
        <v>446.55</v>
      </c>
      <c r="F2161" s="116">
        <v>445</v>
      </c>
      <c r="G2161">
        <v>66595</v>
      </c>
      <c r="H2161" s="116"/>
      <c r="I2161" s="116"/>
      <c r="L2161" s="170">
        <v>45184</v>
      </c>
      <c r="M2161" s="116">
        <v>445.05</v>
      </c>
      <c r="N2161" s="116">
        <v>448.1</v>
      </c>
      <c r="O2161" s="116">
        <v>442.5</v>
      </c>
      <c r="P2161" s="116">
        <v>445</v>
      </c>
      <c r="Q2161" s="116">
        <v>445.05</v>
      </c>
      <c r="R2161">
        <v>2963506</v>
      </c>
    </row>
    <row r="2162" spans="1:18" x14ac:dyDescent="0.25">
      <c r="A2162" s="170">
        <v>45187</v>
      </c>
      <c r="B2162" s="116">
        <v>445.5</v>
      </c>
      <c r="C2162" s="116">
        <v>436.4</v>
      </c>
      <c r="D2162" s="116">
        <v>433.25</v>
      </c>
      <c r="E2162" s="116">
        <v>443.25</v>
      </c>
      <c r="F2162" s="116">
        <v>436.4</v>
      </c>
      <c r="G2162">
        <v>68646</v>
      </c>
      <c r="H2162" s="116"/>
      <c r="I2162" s="116"/>
      <c r="L2162" s="170">
        <v>45187</v>
      </c>
      <c r="M2162" s="116">
        <v>436.65</v>
      </c>
      <c r="N2162" s="116">
        <v>445.7</v>
      </c>
      <c r="O2162" s="116">
        <v>433</v>
      </c>
      <c r="P2162" s="116">
        <v>445</v>
      </c>
      <c r="Q2162" s="116">
        <v>436.65</v>
      </c>
      <c r="R2162">
        <v>3707587</v>
      </c>
    </row>
    <row r="2163" spans="1:18" x14ac:dyDescent="0.25">
      <c r="A2163" s="170">
        <v>45189</v>
      </c>
      <c r="B2163" s="116">
        <v>438.3</v>
      </c>
      <c r="C2163" s="116">
        <v>428.2</v>
      </c>
      <c r="D2163" s="116">
        <v>425.15</v>
      </c>
      <c r="E2163" s="116">
        <v>436.05</v>
      </c>
      <c r="F2163" s="116">
        <v>428.2</v>
      </c>
      <c r="G2163">
        <v>71026</v>
      </c>
      <c r="H2163" s="116"/>
      <c r="I2163" s="116"/>
      <c r="L2163" s="170">
        <v>45189</v>
      </c>
      <c r="M2163" s="116">
        <v>428.15</v>
      </c>
      <c r="N2163" s="116">
        <v>438.35</v>
      </c>
      <c r="O2163" s="116">
        <v>425.05</v>
      </c>
      <c r="P2163" s="116">
        <v>436.5</v>
      </c>
      <c r="Q2163" s="116">
        <v>428.15</v>
      </c>
      <c r="R2163">
        <v>2289507</v>
      </c>
    </row>
    <row r="2164" spans="1:18" x14ac:dyDescent="0.25">
      <c r="A2164" s="170">
        <v>45190</v>
      </c>
      <c r="B2164" s="116">
        <v>430.65</v>
      </c>
      <c r="C2164" s="116">
        <v>425.95</v>
      </c>
      <c r="D2164" s="116">
        <v>423.2</v>
      </c>
      <c r="E2164" s="116">
        <v>427</v>
      </c>
      <c r="F2164" s="116">
        <v>425.95</v>
      </c>
      <c r="G2164">
        <v>179754</v>
      </c>
      <c r="H2164" s="116"/>
      <c r="I2164" s="116"/>
      <c r="L2164" s="170">
        <v>45190</v>
      </c>
      <c r="M2164" s="116">
        <v>426.1</v>
      </c>
      <c r="N2164" s="116">
        <v>430.6</v>
      </c>
      <c r="O2164" s="116">
        <v>423.2</v>
      </c>
      <c r="P2164" s="116">
        <v>427.5</v>
      </c>
      <c r="Q2164" s="116">
        <v>426.1</v>
      </c>
      <c r="R2164">
        <v>2680700</v>
      </c>
    </row>
    <row r="2165" spans="1:18" x14ac:dyDescent="0.25">
      <c r="A2165" s="170">
        <v>45191</v>
      </c>
      <c r="B2165" s="116">
        <v>428.5</v>
      </c>
      <c r="C2165" s="116">
        <v>420.35</v>
      </c>
      <c r="D2165" s="116">
        <v>418.25</v>
      </c>
      <c r="E2165" s="116">
        <v>425.4</v>
      </c>
      <c r="F2165" s="116">
        <v>420.35</v>
      </c>
      <c r="G2165">
        <v>84318</v>
      </c>
      <c r="H2165" s="116"/>
      <c r="I2165" s="116"/>
      <c r="L2165" s="170">
        <v>45191</v>
      </c>
      <c r="M2165" s="116">
        <v>420.95</v>
      </c>
      <c r="N2165" s="116">
        <v>428.5</v>
      </c>
      <c r="O2165" s="116">
        <v>418.05</v>
      </c>
      <c r="P2165" s="116">
        <v>426</v>
      </c>
      <c r="Q2165" s="116">
        <v>420.95</v>
      </c>
      <c r="R2165">
        <v>2666687</v>
      </c>
    </row>
    <row r="2166" spans="1:18" x14ac:dyDescent="0.25">
      <c r="A2166" s="170">
        <v>45194</v>
      </c>
      <c r="B2166" s="116">
        <v>425.65</v>
      </c>
      <c r="C2166" s="116">
        <v>422.6</v>
      </c>
      <c r="D2166" s="116">
        <v>414.9</v>
      </c>
      <c r="E2166" s="116">
        <v>420.95</v>
      </c>
      <c r="F2166" s="116">
        <v>422.6</v>
      </c>
      <c r="G2166">
        <v>94261</v>
      </c>
      <c r="H2166" s="116"/>
      <c r="I2166" s="116"/>
      <c r="L2166" s="170">
        <v>45194</v>
      </c>
      <c r="M2166" s="116">
        <v>422.9</v>
      </c>
      <c r="N2166" s="116">
        <v>425.95</v>
      </c>
      <c r="O2166" s="116">
        <v>414.7</v>
      </c>
      <c r="P2166" s="116">
        <v>420.5</v>
      </c>
      <c r="Q2166" s="116">
        <v>422.9</v>
      </c>
      <c r="R2166">
        <v>3913804</v>
      </c>
    </row>
    <row r="2167" spans="1:18" x14ac:dyDescent="0.25">
      <c r="A2167" s="170">
        <v>45195</v>
      </c>
      <c r="B2167" s="116">
        <v>433.8</v>
      </c>
      <c r="C2167" s="116">
        <v>429.65</v>
      </c>
      <c r="D2167" s="116">
        <v>422.55</v>
      </c>
      <c r="E2167" s="116">
        <v>423.15</v>
      </c>
      <c r="F2167" s="116">
        <v>429.65</v>
      </c>
      <c r="G2167">
        <v>117821</v>
      </c>
      <c r="H2167" s="116"/>
      <c r="I2167" s="116"/>
      <c r="L2167" s="170">
        <v>45195</v>
      </c>
      <c r="M2167" s="116">
        <v>429.75</v>
      </c>
      <c r="N2167" s="116">
        <v>434</v>
      </c>
      <c r="O2167" s="116">
        <v>422.45</v>
      </c>
      <c r="P2167" s="116">
        <v>423.3</v>
      </c>
      <c r="Q2167" s="116">
        <v>429.75</v>
      </c>
      <c r="R2167">
        <v>6162665</v>
      </c>
    </row>
    <row r="2168" spans="1:18" x14ac:dyDescent="0.25">
      <c r="A2168" s="170">
        <v>45196</v>
      </c>
      <c r="B2168" s="116">
        <v>431.35</v>
      </c>
      <c r="C2168" s="116">
        <v>430.5</v>
      </c>
      <c r="D2168" s="116">
        <v>426</v>
      </c>
      <c r="E2168" s="116">
        <v>427.4</v>
      </c>
      <c r="F2168" s="116">
        <v>430.5</v>
      </c>
      <c r="G2168">
        <v>41243</v>
      </c>
      <c r="H2168" s="116"/>
      <c r="I2168" s="116"/>
      <c r="L2168" s="170">
        <v>45196</v>
      </c>
      <c r="M2168" s="116">
        <v>430.45</v>
      </c>
      <c r="N2168" s="116">
        <v>431.85</v>
      </c>
      <c r="O2168" s="116">
        <v>426</v>
      </c>
      <c r="P2168" s="116">
        <v>428</v>
      </c>
      <c r="Q2168" s="116">
        <v>430.45</v>
      </c>
      <c r="R2168">
        <v>1952178</v>
      </c>
    </row>
    <row r="2169" spans="1:18" x14ac:dyDescent="0.25">
      <c r="A2169" s="170">
        <v>45197</v>
      </c>
      <c r="B2169" s="116">
        <v>431.45</v>
      </c>
      <c r="C2169" s="116">
        <v>420.1</v>
      </c>
      <c r="D2169" s="116">
        <v>418.5</v>
      </c>
      <c r="E2169" s="116">
        <v>430.5</v>
      </c>
      <c r="F2169" s="116">
        <v>420.1</v>
      </c>
      <c r="G2169">
        <v>96569</v>
      </c>
      <c r="H2169" s="116"/>
      <c r="I2169" s="116"/>
      <c r="L2169" s="170">
        <v>45197</v>
      </c>
      <c r="M2169" s="116">
        <v>419.9</v>
      </c>
      <c r="N2169" s="116">
        <v>431.5</v>
      </c>
      <c r="O2169" s="116">
        <v>418.65</v>
      </c>
      <c r="P2169" s="116">
        <v>431</v>
      </c>
      <c r="Q2169" s="116">
        <v>419.9</v>
      </c>
      <c r="R2169">
        <v>3461405</v>
      </c>
    </row>
    <row r="2170" spans="1:18" x14ac:dyDescent="0.25">
      <c r="A2170" s="170">
        <v>45198</v>
      </c>
      <c r="B2170" s="116">
        <v>428.65</v>
      </c>
      <c r="C2170" s="116">
        <v>425</v>
      </c>
      <c r="D2170" s="116">
        <v>420.55</v>
      </c>
      <c r="E2170" s="116">
        <v>422.4</v>
      </c>
      <c r="F2170" s="116">
        <v>425</v>
      </c>
      <c r="G2170">
        <v>87484</v>
      </c>
      <c r="H2170" s="116"/>
      <c r="I2170" s="116"/>
      <c r="L2170" s="170">
        <v>45198</v>
      </c>
      <c r="M2170" s="116">
        <v>424.8</v>
      </c>
      <c r="N2170" s="116">
        <v>428.5</v>
      </c>
      <c r="O2170" s="116">
        <v>420</v>
      </c>
      <c r="P2170" s="116">
        <v>423.8</v>
      </c>
      <c r="Q2170" s="116">
        <v>424.8</v>
      </c>
      <c r="R2170">
        <v>2835399</v>
      </c>
    </row>
    <row r="2171" spans="1:18" x14ac:dyDescent="0.25">
      <c r="A2171" s="170">
        <v>45202</v>
      </c>
      <c r="B2171" s="116">
        <v>434.2</v>
      </c>
      <c r="C2171" s="116">
        <v>432.35</v>
      </c>
      <c r="D2171" s="116">
        <v>422.7</v>
      </c>
      <c r="E2171" s="116">
        <v>424.8</v>
      </c>
      <c r="F2171" s="116">
        <v>432.35</v>
      </c>
      <c r="G2171">
        <v>149141</v>
      </c>
      <c r="H2171" s="116"/>
      <c r="I2171" s="116"/>
      <c r="L2171" s="170">
        <v>45202</v>
      </c>
      <c r="M2171" s="116">
        <v>432.2</v>
      </c>
      <c r="N2171" s="116">
        <v>434.4</v>
      </c>
      <c r="O2171" s="116">
        <v>422.5</v>
      </c>
      <c r="P2171" s="116">
        <v>424.05</v>
      </c>
      <c r="Q2171" s="116">
        <v>432.2</v>
      </c>
      <c r="R2171">
        <v>2833284</v>
      </c>
    </row>
    <row r="2172" spans="1:18" x14ac:dyDescent="0.25">
      <c r="A2172" s="170">
        <v>45203</v>
      </c>
      <c r="B2172" s="116">
        <v>434.2</v>
      </c>
      <c r="C2172" s="116">
        <v>429.7</v>
      </c>
      <c r="D2172" s="116">
        <v>424.45</v>
      </c>
      <c r="E2172" s="116">
        <v>430</v>
      </c>
      <c r="F2172" s="116">
        <v>429.7</v>
      </c>
      <c r="G2172">
        <v>125181</v>
      </c>
      <c r="H2172" s="116"/>
      <c r="I2172" s="116"/>
      <c r="L2172" s="170">
        <v>45203</v>
      </c>
      <c r="M2172" s="116">
        <v>429.65</v>
      </c>
      <c r="N2172" s="116">
        <v>434</v>
      </c>
      <c r="O2172" s="116">
        <v>424.3</v>
      </c>
      <c r="P2172" s="116">
        <v>430</v>
      </c>
      <c r="Q2172" s="116">
        <v>429.65</v>
      </c>
      <c r="R2172">
        <v>3214525</v>
      </c>
    </row>
    <row r="2173" spans="1:18" x14ac:dyDescent="0.25">
      <c r="A2173" s="170">
        <v>45204</v>
      </c>
      <c r="B2173" s="116">
        <v>434.7</v>
      </c>
      <c r="C2173" s="116">
        <v>432.8</v>
      </c>
      <c r="D2173" s="116">
        <v>428.8</v>
      </c>
      <c r="E2173" s="116">
        <v>430.75</v>
      </c>
      <c r="F2173" s="116">
        <v>432.8</v>
      </c>
      <c r="G2173">
        <v>71722</v>
      </c>
      <c r="H2173" s="116"/>
      <c r="I2173" s="116"/>
      <c r="L2173" s="170">
        <v>45204</v>
      </c>
      <c r="M2173" s="116">
        <v>432.85</v>
      </c>
      <c r="N2173" s="116">
        <v>434.85</v>
      </c>
      <c r="O2173" s="116">
        <v>428.75</v>
      </c>
      <c r="P2173" s="116">
        <v>430</v>
      </c>
      <c r="Q2173" s="116">
        <v>432.85</v>
      </c>
      <c r="R2173">
        <v>1287179</v>
      </c>
    </row>
    <row r="2174" spans="1:18" x14ac:dyDescent="0.25">
      <c r="A2174" s="170">
        <v>45205</v>
      </c>
      <c r="B2174" s="116">
        <v>436.85</v>
      </c>
      <c r="C2174" s="116">
        <v>435.3</v>
      </c>
      <c r="D2174" s="116">
        <v>431.9</v>
      </c>
      <c r="E2174" s="116">
        <v>433.1</v>
      </c>
      <c r="F2174" s="116">
        <v>435.3</v>
      </c>
      <c r="G2174">
        <v>37174</v>
      </c>
      <c r="H2174" s="116"/>
      <c r="I2174" s="116"/>
      <c r="L2174" s="170">
        <v>45205</v>
      </c>
      <c r="M2174" s="116">
        <v>435.7</v>
      </c>
      <c r="N2174" s="116">
        <v>437</v>
      </c>
      <c r="O2174" s="116">
        <v>431.8</v>
      </c>
      <c r="P2174" s="116">
        <v>434</v>
      </c>
      <c r="Q2174" s="116">
        <v>435.7</v>
      </c>
      <c r="R2174">
        <v>1547935</v>
      </c>
    </row>
    <row r="2175" spans="1:18" x14ac:dyDescent="0.25">
      <c r="A2175" s="170">
        <v>45208</v>
      </c>
      <c r="B2175" s="116">
        <v>437.35</v>
      </c>
      <c r="C2175" s="116">
        <v>430.05</v>
      </c>
      <c r="D2175" s="116">
        <v>427.3</v>
      </c>
      <c r="E2175" s="116">
        <v>430</v>
      </c>
      <c r="F2175" s="116">
        <v>430.05</v>
      </c>
      <c r="G2175">
        <v>56311</v>
      </c>
      <c r="H2175" s="116"/>
      <c r="I2175" s="116"/>
      <c r="L2175" s="170">
        <v>45208</v>
      </c>
      <c r="M2175" s="116">
        <v>430.2</v>
      </c>
      <c r="N2175" s="116">
        <v>437.5</v>
      </c>
      <c r="O2175" s="116">
        <v>427.5</v>
      </c>
      <c r="P2175" s="116">
        <v>430.1</v>
      </c>
      <c r="Q2175" s="116">
        <v>430.2</v>
      </c>
      <c r="R2175">
        <v>4370429</v>
      </c>
    </row>
    <row r="2176" spans="1:18" x14ac:dyDescent="0.25">
      <c r="A2176" s="170">
        <v>45209</v>
      </c>
      <c r="B2176" s="116">
        <v>438.8</v>
      </c>
      <c r="C2176" s="116">
        <v>437.05</v>
      </c>
      <c r="D2176" s="116">
        <v>428.45</v>
      </c>
      <c r="E2176" s="116">
        <v>428.45</v>
      </c>
      <c r="F2176" s="116">
        <v>437.05</v>
      </c>
      <c r="G2176">
        <v>59294</v>
      </c>
      <c r="H2176" s="116"/>
      <c r="I2176" s="116"/>
      <c r="L2176" s="170">
        <v>45209</v>
      </c>
      <c r="M2176" s="116">
        <v>437.2</v>
      </c>
      <c r="N2176" s="116">
        <v>438.85</v>
      </c>
      <c r="O2176" s="116">
        <v>428</v>
      </c>
      <c r="P2176" s="116">
        <v>430.15</v>
      </c>
      <c r="Q2176" s="116">
        <v>437.2</v>
      </c>
      <c r="R2176">
        <v>3288646</v>
      </c>
    </row>
    <row r="2177" spans="1:18" x14ac:dyDescent="0.25">
      <c r="A2177" s="170">
        <v>45210</v>
      </c>
      <c r="B2177" s="116">
        <v>447</v>
      </c>
      <c r="C2177" s="116">
        <v>445.5</v>
      </c>
      <c r="D2177" s="116">
        <v>438.15</v>
      </c>
      <c r="E2177" s="116">
        <v>438.2</v>
      </c>
      <c r="F2177" s="116">
        <v>445.5</v>
      </c>
      <c r="G2177">
        <v>80948</v>
      </c>
      <c r="H2177" s="116"/>
      <c r="I2177" s="116"/>
      <c r="L2177" s="170">
        <v>45210</v>
      </c>
      <c r="M2177" s="116">
        <v>445.1</v>
      </c>
      <c r="N2177" s="116">
        <v>447</v>
      </c>
      <c r="O2177" s="116">
        <v>438</v>
      </c>
      <c r="P2177" s="116">
        <v>438.9</v>
      </c>
      <c r="Q2177" s="116">
        <v>445.1</v>
      </c>
      <c r="R2177">
        <v>3228077</v>
      </c>
    </row>
    <row r="2178" spans="1:18" x14ac:dyDescent="0.25">
      <c r="A2178" s="170">
        <v>45211</v>
      </c>
      <c r="B2178" s="116">
        <v>450.4</v>
      </c>
      <c r="C2178" s="116">
        <v>445.55</v>
      </c>
      <c r="D2178" s="116">
        <v>443.9</v>
      </c>
      <c r="E2178" s="116">
        <v>447.05</v>
      </c>
      <c r="F2178" s="116">
        <v>445.55</v>
      </c>
      <c r="G2178">
        <v>123507</v>
      </c>
      <c r="H2178" s="116"/>
      <c r="I2178" s="116"/>
      <c r="L2178" s="170">
        <v>45211</v>
      </c>
      <c r="M2178" s="116">
        <v>445.6</v>
      </c>
      <c r="N2178" s="116">
        <v>450.35</v>
      </c>
      <c r="O2178" s="116">
        <v>444.05</v>
      </c>
      <c r="P2178" s="116">
        <v>449</v>
      </c>
      <c r="Q2178" s="116">
        <v>445.6</v>
      </c>
      <c r="R2178">
        <v>1700298</v>
      </c>
    </row>
    <row r="2179" spans="1:18" x14ac:dyDescent="0.25">
      <c r="A2179" s="170">
        <v>45212</v>
      </c>
      <c r="B2179" s="116">
        <v>446</v>
      </c>
      <c r="C2179" s="116">
        <v>439.95</v>
      </c>
      <c r="D2179" s="116">
        <v>438.75</v>
      </c>
      <c r="E2179" s="116">
        <v>443.05</v>
      </c>
      <c r="F2179" s="116">
        <v>439.95</v>
      </c>
      <c r="G2179">
        <v>42045</v>
      </c>
      <c r="H2179" s="116"/>
      <c r="I2179" s="116"/>
      <c r="L2179" s="170">
        <v>45212</v>
      </c>
      <c r="M2179" s="116">
        <v>439.9</v>
      </c>
      <c r="N2179" s="116">
        <v>445.8</v>
      </c>
      <c r="O2179" s="116">
        <v>438.9</v>
      </c>
      <c r="P2179" s="116">
        <v>444.5</v>
      </c>
      <c r="Q2179" s="116">
        <v>439.9</v>
      </c>
      <c r="R2179">
        <v>950920</v>
      </c>
    </row>
    <row r="2180" spans="1:18" x14ac:dyDescent="0.25">
      <c r="A2180" s="170">
        <v>45215</v>
      </c>
      <c r="B2180" s="116">
        <v>444.9</v>
      </c>
      <c r="C2180" s="116">
        <v>443.15</v>
      </c>
      <c r="D2180" s="116">
        <v>438.45</v>
      </c>
      <c r="E2180" s="116">
        <v>438.45</v>
      </c>
      <c r="F2180" s="116">
        <v>443.15</v>
      </c>
      <c r="G2180">
        <v>105784</v>
      </c>
      <c r="H2180" s="116"/>
      <c r="I2180" s="116"/>
      <c r="L2180" s="170">
        <v>45215</v>
      </c>
      <c r="M2180" s="116">
        <v>443.25</v>
      </c>
      <c r="N2180" s="116">
        <v>444.8</v>
      </c>
      <c r="O2180" s="116">
        <v>438.95</v>
      </c>
      <c r="P2180" s="116">
        <v>439</v>
      </c>
      <c r="Q2180" s="116">
        <v>443.25</v>
      </c>
      <c r="R2180">
        <v>1353905</v>
      </c>
    </row>
    <row r="2181" spans="1:18" x14ac:dyDescent="0.25">
      <c r="A2181" s="170">
        <v>45216</v>
      </c>
      <c r="B2181" s="116">
        <v>444.35</v>
      </c>
      <c r="C2181" s="116">
        <v>442.15</v>
      </c>
      <c r="D2181" s="116">
        <v>440.05</v>
      </c>
      <c r="E2181" s="116">
        <v>442.8</v>
      </c>
      <c r="F2181" s="116">
        <v>442.15</v>
      </c>
      <c r="G2181">
        <v>38178</v>
      </c>
      <c r="H2181" s="116"/>
      <c r="I2181" s="116"/>
      <c r="L2181" s="170">
        <v>45216</v>
      </c>
      <c r="M2181" s="116">
        <v>442.65</v>
      </c>
      <c r="N2181" s="116">
        <v>444.5</v>
      </c>
      <c r="O2181" s="116">
        <v>440.1</v>
      </c>
      <c r="P2181" s="116">
        <v>443.55</v>
      </c>
      <c r="Q2181" s="116">
        <v>442.65</v>
      </c>
      <c r="R2181">
        <v>1043674</v>
      </c>
    </row>
    <row r="2182" spans="1:18" x14ac:dyDescent="0.25">
      <c r="A2182" s="170">
        <v>45217</v>
      </c>
      <c r="B2182" s="116">
        <v>444.15</v>
      </c>
      <c r="C2182" s="116">
        <v>433.05</v>
      </c>
      <c r="D2182" s="116">
        <v>431.5</v>
      </c>
      <c r="E2182" s="116">
        <v>441.2</v>
      </c>
      <c r="F2182" s="116">
        <v>433.05</v>
      </c>
      <c r="G2182">
        <v>35889</v>
      </c>
      <c r="H2182" s="116"/>
      <c r="I2182" s="116"/>
      <c r="L2182" s="170">
        <v>45217</v>
      </c>
      <c r="M2182" s="116">
        <v>433</v>
      </c>
      <c r="N2182" s="116">
        <v>444</v>
      </c>
      <c r="O2182" s="116">
        <v>431.5</v>
      </c>
      <c r="P2182" s="116">
        <v>442.4</v>
      </c>
      <c r="Q2182" s="116">
        <v>433</v>
      </c>
      <c r="R2182">
        <v>1919224</v>
      </c>
    </row>
    <row r="2183" spans="1:18" x14ac:dyDescent="0.25">
      <c r="A2183" s="170">
        <v>45218</v>
      </c>
      <c r="B2183" s="116">
        <v>440</v>
      </c>
      <c r="C2183" s="116">
        <v>437.3</v>
      </c>
      <c r="D2183" s="116">
        <v>430</v>
      </c>
      <c r="E2183" s="116">
        <v>433.5</v>
      </c>
      <c r="F2183" s="116">
        <v>437.3</v>
      </c>
      <c r="G2183">
        <v>80559</v>
      </c>
      <c r="H2183" s="116"/>
      <c r="I2183" s="116"/>
      <c r="L2183" s="170">
        <v>45218</v>
      </c>
      <c r="M2183" s="116">
        <v>437.45</v>
      </c>
      <c r="N2183" s="116">
        <v>440.05</v>
      </c>
      <c r="O2183" s="116">
        <v>430.1</v>
      </c>
      <c r="P2183" s="116">
        <v>432.55</v>
      </c>
      <c r="Q2183" s="116">
        <v>437.45</v>
      </c>
      <c r="R2183">
        <v>1131689</v>
      </c>
    </row>
    <row r="2184" spans="1:18" x14ac:dyDescent="0.25">
      <c r="A2184" s="170">
        <v>45219</v>
      </c>
      <c r="B2184" s="116">
        <v>439.3</v>
      </c>
      <c r="C2184" s="116">
        <v>430.85</v>
      </c>
      <c r="D2184" s="116">
        <v>428.4</v>
      </c>
      <c r="E2184" s="116">
        <v>437.3</v>
      </c>
      <c r="F2184" s="116">
        <v>430.85</v>
      </c>
      <c r="G2184">
        <v>39520</v>
      </c>
      <c r="H2184" s="116"/>
      <c r="I2184" s="116"/>
      <c r="L2184" s="170">
        <v>45219</v>
      </c>
      <c r="M2184" s="116">
        <v>430.85</v>
      </c>
      <c r="N2184" s="116">
        <v>439.55</v>
      </c>
      <c r="O2184" s="116">
        <v>428.1</v>
      </c>
      <c r="P2184" s="116">
        <v>437</v>
      </c>
      <c r="Q2184" s="116">
        <v>430.85</v>
      </c>
      <c r="R2184">
        <v>2066618</v>
      </c>
    </row>
    <row r="2185" spans="1:18" x14ac:dyDescent="0.25">
      <c r="A2185" s="170">
        <v>45222</v>
      </c>
      <c r="B2185" s="116">
        <v>432.55</v>
      </c>
      <c r="C2185" s="116">
        <v>415.75</v>
      </c>
      <c r="D2185" s="116">
        <v>411.25</v>
      </c>
      <c r="E2185" s="116">
        <v>430.9</v>
      </c>
      <c r="F2185" s="116">
        <v>415.75</v>
      </c>
      <c r="G2185">
        <v>135899</v>
      </c>
      <c r="H2185" s="116"/>
      <c r="I2185" s="116"/>
      <c r="L2185" s="170">
        <v>45222</v>
      </c>
      <c r="M2185" s="116">
        <v>415.95</v>
      </c>
      <c r="N2185" s="116">
        <v>432.75</v>
      </c>
      <c r="O2185" s="116">
        <v>411.6</v>
      </c>
      <c r="P2185" s="116">
        <v>432.75</v>
      </c>
      <c r="Q2185" s="116">
        <v>415.95</v>
      </c>
      <c r="R2185">
        <v>1925177</v>
      </c>
    </row>
    <row r="2186" spans="1:18" x14ac:dyDescent="0.25">
      <c r="A2186" s="170">
        <v>45224</v>
      </c>
      <c r="B2186" s="116">
        <v>422.7</v>
      </c>
      <c r="C2186" s="116">
        <v>417.7</v>
      </c>
      <c r="D2186" s="116">
        <v>414</v>
      </c>
      <c r="E2186" s="116">
        <v>418.75</v>
      </c>
      <c r="F2186" s="116">
        <v>417.7</v>
      </c>
      <c r="G2186">
        <v>50400</v>
      </c>
      <c r="H2186" s="116"/>
      <c r="I2186" s="116"/>
      <c r="L2186" s="170">
        <v>45224</v>
      </c>
      <c r="M2186" s="116">
        <v>417.95</v>
      </c>
      <c r="N2186" s="116">
        <v>422.75</v>
      </c>
      <c r="O2186" s="116">
        <v>413.6</v>
      </c>
      <c r="P2186" s="116">
        <v>417</v>
      </c>
      <c r="Q2186" s="116">
        <v>417.95</v>
      </c>
      <c r="R2186">
        <v>3289897</v>
      </c>
    </row>
    <row r="2187" spans="1:18" x14ac:dyDescent="0.25">
      <c r="A2187" s="170">
        <v>45225</v>
      </c>
      <c r="B2187" s="116">
        <v>422</v>
      </c>
      <c r="C2187" s="116">
        <v>415.7</v>
      </c>
      <c r="D2187" s="116">
        <v>408</v>
      </c>
      <c r="E2187" s="116">
        <v>415</v>
      </c>
      <c r="F2187" s="116">
        <v>415.7</v>
      </c>
      <c r="G2187">
        <v>47088</v>
      </c>
      <c r="H2187" s="116"/>
      <c r="I2187" s="116"/>
      <c r="L2187" s="170">
        <v>45225</v>
      </c>
      <c r="M2187" s="116">
        <v>416.3</v>
      </c>
      <c r="N2187" s="116">
        <v>422.5</v>
      </c>
      <c r="O2187" s="116">
        <v>407.75</v>
      </c>
      <c r="P2187" s="116">
        <v>414.6</v>
      </c>
      <c r="Q2187" s="116">
        <v>416.3</v>
      </c>
      <c r="R2187">
        <v>2296586</v>
      </c>
    </row>
    <row r="2188" spans="1:18" x14ac:dyDescent="0.25">
      <c r="A2188" s="170">
        <v>45226</v>
      </c>
      <c r="B2188" s="116">
        <v>423.95</v>
      </c>
      <c r="C2188" s="116">
        <v>417.5</v>
      </c>
      <c r="D2188" s="116">
        <v>415.5</v>
      </c>
      <c r="E2188" s="116">
        <v>416.4</v>
      </c>
      <c r="F2188" s="116">
        <v>417.5</v>
      </c>
      <c r="G2188">
        <v>45753</v>
      </c>
      <c r="H2188" s="116"/>
      <c r="I2188" s="116"/>
      <c r="L2188" s="170">
        <v>45226</v>
      </c>
      <c r="M2188" s="116">
        <v>417.25</v>
      </c>
      <c r="N2188" s="116">
        <v>423.95</v>
      </c>
      <c r="O2188" s="116">
        <v>415.1</v>
      </c>
      <c r="P2188" s="116">
        <v>419.45</v>
      </c>
      <c r="Q2188" s="116">
        <v>417.25</v>
      </c>
      <c r="R2188">
        <v>1693364</v>
      </c>
    </row>
    <row r="2189" spans="1:18" x14ac:dyDescent="0.25">
      <c r="A2189" s="170">
        <v>45229</v>
      </c>
      <c r="B2189" s="116">
        <v>423.8</v>
      </c>
      <c r="C2189" s="116">
        <v>421.85</v>
      </c>
      <c r="D2189" s="116">
        <v>416.45</v>
      </c>
      <c r="E2189" s="116">
        <v>420</v>
      </c>
      <c r="F2189" s="116">
        <v>421.85</v>
      </c>
      <c r="G2189">
        <v>55409</v>
      </c>
      <c r="H2189" s="116"/>
      <c r="I2189" s="116"/>
      <c r="L2189" s="170">
        <v>45229</v>
      </c>
      <c r="M2189" s="116">
        <v>421.95</v>
      </c>
      <c r="N2189" s="116">
        <v>423.6</v>
      </c>
      <c r="O2189" s="116">
        <v>416</v>
      </c>
      <c r="P2189" s="116">
        <v>420.2</v>
      </c>
      <c r="Q2189" s="116">
        <v>421.95</v>
      </c>
      <c r="R2189">
        <v>1290400</v>
      </c>
    </row>
    <row r="2190" spans="1:18" x14ac:dyDescent="0.25">
      <c r="A2190" s="170">
        <v>45230</v>
      </c>
      <c r="B2190" s="116">
        <v>427</v>
      </c>
      <c r="C2190" s="116">
        <v>424.5</v>
      </c>
      <c r="D2190" s="116">
        <v>421</v>
      </c>
      <c r="E2190" s="116">
        <v>424</v>
      </c>
      <c r="F2190" s="116">
        <v>424.5</v>
      </c>
      <c r="G2190">
        <v>39594</v>
      </c>
      <c r="H2190" s="116"/>
      <c r="I2190" s="116"/>
      <c r="L2190" s="170">
        <v>45230</v>
      </c>
      <c r="M2190" s="116">
        <v>424.45</v>
      </c>
      <c r="N2190" s="116">
        <v>427.45</v>
      </c>
      <c r="O2190" s="116">
        <v>421</v>
      </c>
      <c r="P2190" s="116">
        <v>423.95</v>
      </c>
      <c r="Q2190" s="116">
        <v>424.45</v>
      </c>
      <c r="R2190">
        <v>1078687</v>
      </c>
    </row>
    <row r="2191" spans="1:18" x14ac:dyDescent="0.25">
      <c r="A2191" s="170">
        <v>45231</v>
      </c>
      <c r="B2191" s="116">
        <v>425.6</v>
      </c>
      <c r="C2191" s="116">
        <v>406.75</v>
      </c>
      <c r="D2191" s="116">
        <v>404</v>
      </c>
      <c r="E2191" s="116">
        <v>425.05</v>
      </c>
      <c r="F2191" s="116">
        <v>406.75</v>
      </c>
      <c r="G2191">
        <v>237965</v>
      </c>
      <c r="H2191" s="116"/>
      <c r="I2191" s="116"/>
      <c r="L2191" s="170">
        <v>45231</v>
      </c>
      <c r="M2191" s="116">
        <v>406.65</v>
      </c>
      <c r="N2191" s="116">
        <v>425.5</v>
      </c>
      <c r="O2191" s="116">
        <v>404.05</v>
      </c>
      <c r="P2191" s="116">
        <v>425.5</v>
      </c>
      <c r="Q2191" s="116">
        <v>406.65</v>
      </c>
      <c r="R2191">
        <v>5188883</v>
      </c>
    </row>
    <row r="2192" spans="1:18" x14ac:dyDescent="0.25">
      <c r="A2192" s="170">
        <v>45232</v>
      </c>
      <c r="B2192" s="116">
        <v>423.15</v>
      </c>
      <c r="C2192" s="116">
        <v>419.3</v>
      </c>
      <c r="D2192" s="116">
        <v>410</v>
      </c>
      <c r="E2192" s="116">
        <v>410</v>
      </c>
      <c r="F2192" s="116">
        <v>419.3</v>
      </c>
      <c r="G2192">
        <v>205833</v>
      </c>
      <c r="H2192" s="116"/>
      <c r="I2192" s="116"/>
      <c r="L2192" s="170">
        <v>45232</v>
      </c>
      <c r="M2192" s="116">
        <v>419.7</v>
      </c>
      <c r="N2192" s="116">
        <v>423.4</v>
      </c>
      <c r="O2192" s="116">
        <v>410.15</v>
      </c>
      <c r="P2192" s="116">
        <v>411</v>
      </c>
      <c r="Q2192" s="116">
        <v>419.7</v>
      </c>
      <c r="R2192">
        <v>3289570</v>
      </c>
    </row>
    <row r="2193" spans="1:18" x14ac:dyDescent="0.25">
      <c r="A2193" s="170">
        <v>45233</v>
      </c>
      <c r="B2193" s="116">
        <v>423</v>
      </c>
      <c r="C2193" s="116">
        <v>420.85</v>
      </c>
      <c r="D2193" s="116">
        <v>417.3</v>
      </c>
      <c r="E2193" s="116">
        <v>421.55</v>
      </c>
      <c r="F2193" s="116">
        <v>420.85</v>
      </c>
      <c r="G2193">
        <v>50722</v>
      </c>
      <c r="H2193" s="116"/>
      <c r="I2193" s="116"/>
      <c r="L2193" s="170">
        <v>45233</v>
      </c>
      <c r="M2193" s="116">
        <v>420.9</v>
      </c>
      <c r="N2193" s="116">
        <v>423.95</v>
      </c>
      <c r="O2193" s="116">
        <v>417.25</v>
      </c>
      <c r="P2193" s="116">
        <v>421</v>
      </c>
      <c r="Q2193" s="116">
        <v>420.9</v>
      </c>
      <c r="R2193">
        <v>1579359</v>
      </c>
    </row>
    <row r="2194" spans="1:18" x14ac:dyDescent="0.25">
      <c r="A2194" s="170">
        <v>45236</v>
      </c>
      <c r="B2194" s="116">
        <v>425</v>
      </c>
      <c r="C2194" s="116">
        <v>421.25</v>
      </c>
      <c r="D2194" s="116">
        <v>420.05</v>
      </c>
      <c r="E2194" s="116">
        <v>422</v>
      </c>
      <c r="F2194" s="116">
        <v>421.25</v>
      </c>
      <c r="G2194">
        <v>34068</v>
      </c>
      <c r="H2194" s="116"/>
      <c r="I2194" s="116"/>
      <c r="L2194" s="170">
        <v>45236</v>
      </c>
      <c r="M2194" s="116">
        <v>421.25</v>
      </c>
      <c r="N2194" s="116">
        <v>425</v>
      </c>
      <c r="O2194" s="116">
        <v>420</v>
      </c>
      <c r="P2194" s="116">
        <v>421.95</v>
      </c>
      <c r="Q2194" s="116">
        <v>421.25</v>
      </c>
      <c r="R2194">
        <v>1061040</v>
      </c>
    </row>
    <row r="2195" spans="1:18" x14ac:dyDescent="0.25">
      <c r="A2195" s="170">
        <v>45237</v>
      </c>
      <c r="B2195" s="116">
        <v>423</v>
      </c>
      <c r="C2195" s="116">
        <v>419.3</v>
      </c>
      <c r="D2195" s="116">
        <v>418.1</v>
      </c>
      <c r="E2195" s="116">
        <v>421.4</v>
      </c>
      <c r="F2195" s="116">
        <v>419.3</v>
      </c>
      <c r="G2195">
        <v>54946</v>
      </c>
      <c r="H2195" s="116"/>
      <c r="I2195" s="116"/>
      <c r="L2195" s="170">
        <v>45237</v>
      </c>
      <c r="M2195" s="116">
        <v>419.55</v>
      </c>
      <c r="N2195" s="116">
        <v>423.35</v>
      </c>
      <c r="O2195" s="116">
        <v>418.1</v>
      </c>
      <c r="P2195" s="116">
        <v>421.8</v>
      </c>
      <c r="Q2195" s="116">
        <v>419.55</v>
      </c>
      <c r="R2195">
        <v>662939</v>
      </c>
    </row>
    <row r="2196" spans="1:18" x14ac:dyDescent="0.25">
      <c r="A2196" s="170">
        <v>45238</v>
      </c>
      <c r="B2196" s="116">
        <v>426</v>
      </c>
      <c r="C2196" s="116">
        <v>420.95</v>
      </c>
      <c r="D2196" s="116">
        <v>419.25</v>
      </c>
      <c r="E2196" s="116">
        <v>419.35</v>
      </c>
      <c r="F2196" s="116">
        <v>420.95</v>
      </c>
      <c r="G2196">
        <v>68434</v>
      </c>
      <c r="H2196" s="116"/>
      <c r="I2196" s="116"/>
      <c r="L2196" s="170">
        <v>45238</v>
      </c>
      <c r="M2196" s="116">
        <v>421</v>
      </c>
      <c r="N2196" s="116">
        <v>426</v>
      </c>
      <c r="O2196" s="116">
        <v>419.2</v>
      </c>
      <c r="P2196" s="116">
        <v>421.6</v>
      </c>
      <c r="Q2196" s="116">
        <v>421</v>
      </c>
      <c r="R2196">
        <v>1055490</v>
      </c>
    </row>
    <row r="2197" spans="1:18" x14ac:dyDescent="0.25">
      <c r="A2197" s="170">
        <v>45239</v>
      </c>
      <c r="B2197" s="116">
        <v>424.95</v>
      </c>
      <c r="C2197" s="116">
        <v>418.35</v>
      </c>
      <c r="D2197" s="116">
        <v>416.1</v>
      </c>
      <c r="E2197" s="116">
        <v>424.95</v>
      </c>
      <c r="F2197" s="116">
        <v>418.35</v>
      </c>
      <c r="G2197">
        <v>39214</v>
      </c>
      <c r="H2197" s="116"/>
      <c r="I2197" s="116"/>
      <c r="L2197" s="170">
        <v>45239</v>
      </c>
      <c r="M2197" s="116">
        <v>418.3</v>
      </c>
      <c r="N2197" s="116">
        <v>423.55</v>
      </c>
      <c r="O2197" s="116">
        <v>415.95</v>
      </c>
      <c r="P2197" s="116">
        <v>422.4</v>
      </c>
      <c r="Q2197" s="116">
        <v>418.3</v>
      </c>
      <c r="R2197">
        <v>882283</v>
      </c>
    </row>
    <row r="2198" spans="1:18" x14ac:dyDescent="0.25">
      <c r="A2198" s="170">
        <v>45240</v>
      </c>
      <c r="B2198" s="116">
        <v>419.9</v>
      </c>
      <c r="C2198" s="116">
        <v>417.95</v>
      </c>
      <c r="D2198" s="116">
        <v>415.7</v>
      </c>
      <c r="E2198" s="116">
        <v>418.3</v>
      </c>
      <c r="F2198" s="116">
        <v>417.95</v>
      </c>
      <c r="G2198">
        <v>48415</v>
      </c>
      <c r="H2198" s="116"/>
      <c r="I2198" s="116"/>
      <c r="L2198" s="170">
        <v>45240</v>
      </c>
      <c r="M2198" s="116">
        <v>418.1</v>
      </c>
      <c r="N2198" s="116">
        <v>419.85</v>
      </c>
      <c r="O2198" s="116">
        <v>415.45</v>
      </c>
      <c r="P2198" s="116">
        <v>418.75</v>
      </c>
      <c r="Q2198" s="116">
        <v>418.1</v>
      </c>
      <c r="R2198">
        <v>1025880</v>
      </c>
    </row>
    <row r="2199" spans="1:18" x14ac:dyDescent="0.25">
      <c r="A2199" s="170">
        <v>45242</v>
      </c>
      <c r="B2199" s="116">
        <v>423.6</v>
      </c>
      <c r="C2199" s="116">
        <v>420.7</v>
      </c>
      <c r="D2199" s="116">
        <v>420</v>
      </c>
      <c r="E2199" s="116">
        <v>423.6</v>
      </c>
      <c r="F2199" s="116">
        <v>420.7</v>
      </c>
      <c r="G2199">
        <v>19172</v>
      </c>
      <c r="H2199" s="116"/>
      <c r="I2199" s="116"/>
      <c r="L2199" s="170">
        <v>45242</v>
      </c>
      <c r="M2199" s="116">
        <v>420.95</v>
      </c>
      <c r="N2199" s="116">
        <v>422.2</v>
      </c>
      <c r="O2199" s="116">
        <v>420</v>
      </c>
      <c r="P2199" s="116">
        <v>420</v>
      </c>
      <c r="Q2199" s="116">
        <v>420.95</v>
      </c>
      <c r="R2199">
        <v>244482</v>
      </c>
    </row>
    <row r="2200" spans="1:18" x14ac:dyDescent="0.25">
      <c r="A2200" s="170">
        <v>45243</v>
      </c>
      <c r="B2200" s="116">
        <v>422.2</v>
      </c>
      <c r="C2200" s="116">
        <v>419.35</v>
      </c>
      <c r="D2200" s="116">
        <v>418.35</v>
      </c>
      <c r="E2200" s="116">
        <v>421.5</v>
      </c>
      <c r="F2200" s="116">
        <v>419.35</v>
      </c>
      <c r="G2200">
        <v>43388</v>
      </c>
      <c r="H2200" s="116"/>
      <c r="I2200" s="116"/>
      <c r="L2200" s="170">
        <v>45243</v>
      </c>
      <c r="M2200" s="116">
        <v>419.4</v>
      </c>
      <c r="N2200" s="116">
        <v>422.15</v>
      </c>
      <c r="O2200" s="116">
        <v>418.4</v>
      </c>
      <c r="P2200" s="116">
        <v>421.85</v>
      </c>
      <c r="Q2200" s="116">
        <v>419.4</v>
      </c>
      <c r="R2200">
        <v>698694</v>
      </c>
    </row>
    <row r="2201" spans="1:18" x14ac:dyDescent="0.25">
      <c r="A2201" s="170">
        <v>45245</v>
      </c>
      <c r="B2201" s="116">
        <v>423.45</v>
      </c>
      <c r="C2201" s="116">
        <v>418.1</v>
      </c>
      <c r="D2201" s="116">
        <v>417.7</v>
      </c>
      <c r="E2201" s="116">
        <v>420.1</v>
      </c>
      <c r="F2201" s="116">
        <v>418.1</v>
      </c>
      <c r="G2201">
        <v>77842</v>
      </c>
      <c r="H2201" s="116"/>
      <c r="I2201" s="116"/>
      <c r="L2201" s="170">
        <v>45245</v>
      </c>
      <c r="M2201" s="116">
        <v>418.15</v>
      </c>
      <c r="N2201" s="116">
        <v>423.5</v>
      </c>
      <c r="O2201" s="116">
        <v>417.7</v>
      </c>
      <c r="P2201" s="116">
        <v>421</v>
      </c>
      <c r="Q2201" s="116">
        <v>418.15</v>
      </c>
      <c r="R2201">
        <v>2736651</v>
      </c>
    </row>
    <row r="2202" spans="1:18" x14ac:dyDescent="0.25">
      <c r="A2202" s="170">
        <v>45246</v>
      </c>
      <c r="B2202" s="116">
        <v>420.25</v>
      </c>
      <c r="C2202" s="116">
        <v>419.75</v>
      </c>
      <c r="D2202" s="116">
        <v>417.05</v>
      </c>
      <c r="E2202" s="116">
        <v>419.1</v>
      </c>
      <c r="F2202" s="116">
        <v>419.75</v>
      </c>
      <c r="G2202">
        <v>50274</v>
      </c>
      <c r="H2202" s="116"/>
      <c r="I2202" s="116"/>
      <c r="L2202" s="170">
        <v>45246</v>
      </c>
      <c r="M2202" s="116">
        <v>419.9</v>
      </c>
      <c r="N2202" s="116">
        <v>420.65</v>
      </c>
      <c r="O2202" s="116">
        <v>417</v>
      </c>
      <c r="P2202" s="116">
        <v>420</v>
      </c>
      <c r="Q2202" s="116">
        <v>419.9</v>
      </c>
      <c r="R2202">
        <v>1724084</v>
      </c>
    </row>
    <row r="2203" spans="1:18" x14ac:dyDescent="0.25">
      <c r="A2203" s="170">
        <v>45247</v>
      </c>
      <c r="B2203" s="116">
        <v>427.8</v>
      </c>
      <c r="C2203" s="116">
        <v>420.9</v>
      </c>
      <c r="D2203" s="116">
        <v>418.9</v>
      </c>
      <c r="E2203" s="116">
        <v>421.1</v>
      </c>
      <c r="F2203" s="116">
        <v>420.9</v>
      </c>
      <c r="G2203">
        <v>92228</v>
      </c>
      <c r="H2203" s="116"/>
      <c r="I2203" s="116"/>
      <c r="L2203" s="170">
        <v>45247</v>
      </c>
      <c r="M2203" s="116">
        <v>421.1</v>
      </c>
      <c r="N2203" s="116">
        <v>428</v>
      </c>
      <c r="O2203" s="116">
        <v>418</v>
      </c>
      <c r="P2203" s="116">
        <v>422</v>
      </c>
      <c r="Q2203" s="116">
        <v>421.1</v>
      </c>
      <c r="R2203">
        <v>2116735</v>
      </c>
    </row>
    <row r="2204" spans="1:18" x14ac:dyDescent="0.25">
      <c r="A2204" s="170">
        <v>45250</v>
      </c>
      <c r="B2204" s="116">
        <v>424.1</v>
      </c>
      <c r="C2204" s="116">
        <v>421.5</v>
      </c>
      <c r="D2204" s="116">
        <v>418.25</v>
      </c>
      <c r="E2204" s="116">
        <v>420.9</v>
      </c>
      <c r="F2204" s="116">
        <v>421.5</v>
      </c>
      <c r="G2204">
        <v>707595</v>
      </c>
      <c r="H2204" s="116"/>
      <c r="I2204" s="116"/>
      <c r="L2204" s="170">
        <v>45250</v>
      </c>
      <c r="M2204" s="116">
        <v>421.5</v>
      </c>
      <c r="N2204" s="116">
        <v>424.25</v>
      </c>
      <c r="O2204" s="116">
        <v>418.2</v>
      </c>
      <c r="P2204" s="116">
        <v>421.1</v>
      </c>
      <c r="Q2204" s="116">
        <v>421.5</v>
      </c>
      <c r="R2204">
        <v>1481395</v>
      </c>
    </row>
    <row r="2205" spans="1:18" x14ac:dyDescent="0.25">
      <c r="A2205" s="170">
        <v>45251</v>
      </c>
      <c r="B2205" s="116">
        <v>424.2</v>
      </c>
      <c r="C2205" s="116">
        <v>420.05</v>
      </c>
      <c r="D2205" s="116">
        <v>419</v>
      </c>
      <c r="E2205" s="116">
        <v>421.55</v>
      </c>
      <c r="F2205" s="116">
        <v>420.05</v>
      </c>
      <c r="G2205">
        <v>73550</v>
      </c>
      <c r="H2205" s="116"/>
      <c r="I2205" s="116"/>
      <c r="L2205" s="170">
        <v>45251</v>
      </c>
      <c r="M2205" s="116">
        <v>420.15</v>
      </c>
      <c r="N2205" s="116">
        <v>424.3</v>
      </c>
      <c r="O2205" s="116">
        <v>419.1</v>
      </c>
      <c r="P2205" s="116">
        <v>422.4</v>
      </c>
      <c r="Q2205" s="116">
        <v>420.15</v>
      </c>
      <c r="R2205">
        <v>1003554</v>
      </c>
    </row>
    <row r="2206" spans="1:18" x14ac:dyDescent="0.25">
      <c r="A2206" s="170">
        <v>45252</v>
      </c>
      <c r="B2206" s="116">
        <v>420.85</v>
      </c>
      <c r="C2206" s="116">
        <v>414.3</v>
      </c>
      <c r="D2206" s="116">
        <v>413.15</v>
      </c>
      <c r="E2206" s="116">
        <v>419.15</v>
      </c>
      <c r="F2206" s="116">
        <v>414.3</v>
      </c>
      <c r="G2206">
        <v>38283</v>
      </c>
      <c r="H2206" s="116"/>
      <c r="I2206" s="116"/>
      <c r="L2206" s="170">
        <v>45252</v>
      </c>
      <c r="M2206" s="116">
        <v>414.25</v>
      </c>
      <c r="N2206" s="116">
        <v>421.2</v>
      </c>
      <c r="O2206" s="116">
        <v>413.25</v>
      </c>
      <c r="P2206" s="116">
        <v>420</v>
      </c>
      <c r="Q2206" s="116">
        <v>414.25</v>
      </c>
      <c r="R2206">
        <v>1457858</v>
      </c>
    </row>
    <row r="2207" spans="1:18" x14ac:dyDescent="0.25">
      <c r="A2207" s="170">
        <v>45253</v>
      </c>
      <c r="B2207" s="116">
        <v>416.75</v>
      </c>
      <c r="C2207" s="116">
        <v>415.5</v>
      </c>
      <c r="D2207" s="116">
        <v>408.6</v>
      </c>
      <c r="E2207" s="116">
        <v>414.4</v>
      </c>
      <c r="F2207" s="116">
        <v>415.5</v>
      </c>
      <c r="G2207">
        <v>93005</v>
      </c>
      <c r="H2207" s="116"/>
      <c r="I2207" s="116"/>
      <c r="L2207" s="170">
        <v>45253</v>
      </c>
      <c r="M2207" s="116">
        <v>415.6</v>
      </c>
      <c r="N2207" s="116">
        <v>416.75</v>
      </c>
      <c r="O2207" s="116">
        <v>408.6</v>
      </c>
      <c r="P2207" s="116">
        <v>416.75</v>
      </c>
      <c r="Q2207" s="116">
        <v>415.6</v>
      </c>
      <c r="R2207">
        <v>1212949</v>
      </c>
    </row>
    <row r="2208" spans="1:18" x14ac:dyDescent="0.25">
      <c r="A2208" s="170">
        <v>45254</v>
      </c>
      <c r="B2208" s="116">
        <v>415.55</v>
      </c>
      <c r="C2208" s="116">
        <v>413.75</v>
      </c>
      <c r="D2208" s="116">
        <v>411.35</v>
      </c>
      <c r="E2208" s="116">
        <v>414.85</v>
      </c>
      <c r="F2208" s="116">
        <v>413.75</v>
      </c>
      <c r="G2208">
        <v>90573</v>
      </c>
      <c r="H2208" s="116"/>
      <c r="I2208" s="116"/>
      <c r="L2208" s="170">
        <v>45254</v>
      </c>
      <c r="M2208" s="116">
        <v>414.3</v>
      </c>
      <c r="N2208" s="116">
        <v>416</v>
      </c>
      <c r="O2208" s="116">
        <v>411.35</v>
      </c>
      <c r="P2208" s="116">
        <v>415.95</v>
      </c>
      <c r="Q2208" s="116">
        <v>414.3</v>
      </c>
      <c r="R2208">
        <v>1929621</v>
      </c>
    </row>
    <row r="2209" spans="1:18" x14ac:dyDescent="0.25">
      <c r="A2209" s="170">
        <v>45258</v>
      </c>
      <c r="B2209" s="116">
        <v>435.4</v>
      </c>
      <c r="C2209" s="116">
        <v>431.2</v>
      </c>
      <c r="D2209" s="116">
        <v>415.65</v>
      </c>
      <c r="E2209" s="116">
        <v>415.65</v>
      </c>
      <c r="F2209" s="116">
        <v>431.2</v>
      </c>
      <c r="G2209">
        <v>255414</v>
      </c>
      <c r="H2209" s="116"/>
      <c r="I2209" s="116"/>
      <c r="L2209" s="170">
        <v>45258</v>
      </c>
      <c r="M2209" s="116">
        <v>431.2</v>
      </c>
      <c r="N2209" s="116">
        <v>435.45</v>
      </c>
      <c r="O2209" s="116">
        <v>417.25</v>
      </c>
      <c r="P2209" s="116">
        <v>421</v>
      </c>
      <c r="Q2209" s="116">
        <v>431.2</v>
      </c>
      <c r="R2209">
        <v>7654493</v>
      </c>
    </row>
    <row r="2210" spans="1:18" x14ac:dyDescent="0.25">
      <c r="A2210" s="170">
        <v>45259</v>
      </c>
      <c r="B2210" s="116">
        <v>437.1</v>
      </c>
      <c r="C2210" s="116">
        <v>435.55</v>
      </c>
      <c r="D2210" s="116">
        <v>428.15</v>
      </c>
      <c r="E2210" s="116">
        <v>434.05</v>
      </c>
      <c r="F2210" s="116">
        <v>435.55</v>
      </c>
      <c r="G2210">
        <v>354642</v>
      </c>
      <c r="H2210" s="116"/>
      <c r="I2210" s="116"/>
      <c r="L2210" s="170">
        <v>45259</v>
      </c>
      <c r="M2210" s="116">
        <v>435.65</v>
      </c>
      <c r="N2210" s="116">
        <v>437.3</v>
      </c>
      <c r="O2210" s="116">
        <v>428.05</v>
      </c>
      <c r="P2210" s="116">
        <v>435</v>
      </c>
      <c r="Q2210" s="116">
        <v>435.65</v>
      </c>
      <c r="R2210">
        <v>4081524</v>
      </c>
    </row>
    <row r="2211" spans="1:18" x14ac:dyDescent="0.25">
      <c r="A2211" s="170">
        <v>45260</v>
      </c>
      <c r="B2211" s="116">
        <v>442.95</v>
      </c>
      <c r="C2211" s="116">
        <v>438.8</v>
      </c>
      <c r="D2211" s="116">
        <v>430.8</v>
      </c>
      <c r="E2211" s="116">
        <v>437.55</v>
      </c>
      <c r="F2211" s="116">
        <v>438.8</v>
      </c>
      <c r="G2211">
        <v>135172</v>
      </c>
      <c r="H2211" s="116"/>
      <c r="I2211" s="116"/>
      <c r="L2211" s="170">
        <v>45260</v>
      </c>
      <c r="M2211" s="116">
        <v>439.25</v>
      </c>
      <c r="N2211" s="116">
        <v>443</v>
      </c>
      <c r="O2211" s="116">
        <v>430.7</v>
      </c>
      <c r="P2211" s="116">
        <v>436</v>
      </c>
      <c r="Q2211" s="116">
        <v>439.25</v>
      </c>
      <c r="R2211">
        <v>6906477</v>
      </c>
    </row>
    <row r="2212" spans="1:18" x14ac:dyDescent="0.25">
      <c r="A2212" s="170">
        <v>45261</v>
      </c>
      <c r="B2212" s="116">
        <v>443.8</v>
      </c>
      <c r="C2212" s="116">
        <v>442.1</v>
      </c>
      <c r="D2212" s="116">
        <v>438.05</v>
      </c>
      <c r="E2212" s="116">
        <v>443.8</v>
      </c>
      <c r="F2212" s="116">
        <v>442.1</v>
      </c>
      <c r="G2212">
        <v>79760</v>
      </c>
      <c r="H2212" s="116"/>
      <c r="I2212" s="116"/>
      <c r="L2212" s="170">
        <v>45261</v>
      </c>
      <c r="M2212" s="116">
        <v>442</v>
      </c>
      <c r="N2212" s="116">
        <v>444</v>
      </c>
      <c r="O2212" s="116">
        <v>438</v>
      </c>
      <c r="P2212" s="116">
        <v>444</v>
      </c>
      <c r="Q2212" s="116">
        <v>442</v>
      </c>
      <c r="R2212">
        <v>2478791</v>
      </c>
    </row>
    <row r="2213" spans="1:18" x14ac:dyDescent="0.25">
      <c r="A2213" s="170">
        <v>45264</v>
      </c>
      <c r="B2213" s="116">
        <v>475.8</v>
      </c>
      <c r="C2213" s="116">
        <v>474.45</v>
      </c>
      <c r="D2213" s="116">
        <v>453.1</v>
      </c>
      <c r="E2213" s="116">
        <v>457.15</v>
      </c>
      <c r="F2213" s="116">
        <v>474.45</v>
      </c>
      <c r="G2213">
        <v>1259661</v>
      </c>
      <c r="H2213" s="116"/>
      <c r="I2213" s="116"/>
      <c r="L2213" s="170">
        <v>45264</v>
      </c>
      <c r="M2213" s="116">
        <v>474.55</v>
      </c>
      <c r="N2213" s="116">
        <v>475.8</v>
      </c>
      <c r="O2213" s="116">
        <v>453.25</v>
      </c>
      <c r="P2213" s="116">
        <v>460</v>
      </c>
      <c r="Q2213" s="116">
        <v>474.55</v>
      </c>
      <c r="R2213">
        <v>13146040</v>
      </c>
    </row>
    <row r="2214" spans="1:18" x14ac:dyDescent="0.25">
      <c r="A2214" s="170">
        <v>45265</v>
      </c>
      <c r="B2214" s="116">
        <v>513.4</v>
      </c>
      <c r="C2214" s="116">
        <v>508.7</v>
      </c>
      <c r="D2214" s="116">
        <v>474.6</v>
      </c>
      <c r="E2214" s="116">
        <v>475</v>
      </c>
      <c r="F2214" s="116">
        <v>508.7</v>
      </c>
      <c r="G2214">
        <v>932400</v>
      </c>
      <c r="H2214" s="116"/>
      <c r="I2214" s="116"/>
      <c r="L2214" s="170">
        <v>45265</v>
      </c>
      <c r="M2214" s="116">
        <v>509.05</v>
      </c>
      <c r="N2214" s="116">
        <v>513.5</v>
      </c>
      <c r="O2214" s="116">
        <v>474.55</v>
      </c>
      <c r="P2214" s="116">
        <v>475</v>
      </c>
      <c r="Q2214" s="116">
        <v>509.05</v>
      </c>
      <c r="R2214">
        <v>22838581</v>
      </c>
    </row>
    <row r="2215" spans="1:18" x14ac:dyDescent="0.25">
      <c r="A2215" s="170">
        <v>45266</v>
      </c>
      <c r="B2215" s="116">
        <v>523.70000000000005</v>
      </c>
      <c r="C2215" s="116">
        <v>501.15</v>
      </c>
      <c r="D2215" s="116">
        <v>499.45</v>
      </c>
      <c r="E2215" s="116">
        <v>515.85</v>
      </c>
      <c r="F2215" s="116">
        <v>501.15</v>
      </c>
      <c r="G2215">
        <v>529930</v>
      </c>
      <c r="H2215" s="116"/>
      <c r="I2215" s="116"/>
      <c r="L2215" s="170">
        <v>45266</v>
      </c>
      <c r="M2215" s="116">
        <v>501.1</v>
      </c>
      <c r="N2215" s="116">
        <v>523.65</v>
      </c>
      <c r="O2215" s="116">
        <v>499.5</v>
      </c>
      <c r="P2215" s="116">
        <v>515</v>
      </c>
      <c r="Q2215" s="116">
        <v>501.1</v>
      </c>
      <c r="R2215">
        <v>13223984</v>
      </c>
    </row>
    <row r="2216" spans="1:18" x14ac:dyDescent="0.25">
      <c r="A2216" s="170">
        <v>45267</v>
      </c>
      <c r="B2216" s="116">
        <v>508.45</v>
      </c>
      <c r="C2216" s="116">
        <v>505.1</v>
      </c>
      <c r="D2216" s="116">
        <v>496.25</v>
      </c>
      <c r="E2216" s="116">
        <v>505.95</v>
      </c>
      <c r="F2216" s="116">
        <v>505.1</v>
      </c>
      <c r="G2216">
        <v>332573</v>
      </c>
      <c r="H2216" s="116"/>
      <c r="I2216" s="116"/>
      <c r="L2216" s="170">
        <v>45267</v>
      </c>
      <c r="M2216" s="116">
        <v>505.1</v>
      </c>
      <c r="N2216" s="116">
        <v>508.4</v>
      </c>
      <c r="O2216" s="116">
        <v>496.35</v>
      </c>
      <c r="P2216" s="116">
        <v>503.7</v>
      </c>
      <c r="Q2216" s="116">
        <v>505.1</v>
      </c>
      <c r="R2216">
        <v>3608185</v>
      </c>
    </row>
    <row r="2217" spans="1:18" x14ac:dyDescent="0.25">
      <c r="A2217" s="170">
        <v>45268</v>
      </c>
      <c r="B2217" s="116">
        <v>509.85</v>
      </c>
      <c r="C2217" s="116">
        <v>494.35</v>
      </c>
      <c r="D2217" s="116">
        <v>482.35</v>
      </c>
      <c r="E2217" s="116">
        <v>505.5</v>
      </c>
      <c r="F2217" s="116">
        <v>494.35</v>
      </c>
      <c r="G2217">
        <v>369578</v>
      </c>
      <c r="H2217" s="116"/>
      <c r="I2217" s="116"/>
      <c r="L2217" s="170">
        <v>45268</v>
      </c>
      <c r="M2217" s="116">
        <v>494.35</v>
      </c>
      <c r="N2217" s="116">
        <v>509.6</v>
      </c>
      <c r="O2217" s="116">
        <v>482.35</v>
      </c>
      <c r="P2217" s="116">
        <v>508.95</v>
      </c>
      <c r="Q2217" s="116">
        <v>494.35</v>
      </c>
      <c r="R2217">
        <v>4085720</v>
      </c>
    </row>
    <row r="2218" spans="1:18" x14ac:dyDescent="0.25">
      <c r="A2218" s="170">
        <v>45271</v>
      </c>
      <c r="B2218" s="116">
        <v>506.7</v>
      </c>
      <c r="C2218" s="116">
        <v>504.2</v>
      </c>
      <c r="D2218" s="116">
        <v>489.35</v>
      </c>
      <c r="E2218" s="116">
        <v>497.4</v>
      </c>
      <c r="F2218" s="116">
        <v>504.2</v>
      </c>
      <c r="G2218">
        <v>229758</v>
      </c>
      <c r="H2218" s="116"/>
      <c r="I2218" s="116"/>
      <c r="L2218" s="170">
        <v>45271</v>
      </c>
      <c r="M2218" s="116">
        <v>504</v>
      </c>
      <c r="N2218" s="116">
        <v>506.5</v>
      </c>
      <c r="O2218" s="116">
        <v>489.5</v>
      </c>
      <c r="P2218" s="116">
        <v>497.9</v>
      </c>
      <c r="Q2218" s="116">
        <v>504</v>
      </c>
      <c r="R2218">
        <v>4277828</v>
      </c>
    </row>
    <row r="2219" spans="1:18" x14ac:dyDescent="0.25">
      <c r="A2219" s="170">
        <v>45272</v>
      </c>
      <c r="B2219" s="116">
        <v>510.2</v>
      </c>
      <c r="C2219" s="116">
        <v>501.3</v>
      </c>
      <c r="D2219" s="116">
        <v>497.5</v>
      </c>
      <c r="E2219" s="116">
        <v>505.05</v>
      </c>
      <c r="F2219" s="116">
        <v>501.3</v>
      </c>
      <c r="G2219">
        <v>206019</v>
      </c>
      <c r="H2219" s="116"/>
      <c r="I2219" s="116"/>
      <c r="L2219" s="170">
        <v>45272</v>
      </c>
      <c r="M2219" s="116">
        <v>501.35</v>
      </c>
      <c r="N2219" s="116">
        <v>510.5</v>
      </c>
      <c r="O2219" s="116">
        <v>497.75</v>
      </c>
      <c r="P2219" s="116">
        <v>506.05</v>
      </c>
      <c r="Q2219" s="116">
        <v>501.35</v>
      </c>
      <c r="R2219">
        <v>3392736</v>
      </c>
    </row>
    <row r="2220" spans="1:18" x14ac:dyDescent="0.25">
      <c r="A2220" s="170">
        <v>45273</v>
      </c>
      <c r="B2220" s="116">
        <v>513.35</v>
      </c>
      <c r="C2220" s="116">
        <v>509</v>
      </c>
      <c r="D2220" s="116">
        <v>502.4</v>
      </c>
      <c r="E2220" s="116">
        <v>503.2</v>
      </c>
      <c r="F2220" s="116">
        <v>509</v>
      </c>
      <c r="G2220">
        <v>116481</v>
      </c>
      <c r="H2220" s="116"/>
      <c r="I2220" s="116"/>
      <c r="L2220" s="170">
        <v>45273</v>
      </c>
      <c r="M2220" s="116">
        <v>509.05</v>
      </c>
      <c r="N2220" s="116">
        <v>513.4</v>
      </c>
      <c r="O2220" s="116">
        <v>502.05</v>
      </c>
      <c r="P2220" s="116">
        <v>504</v>
      </c>
      <c r="Q2220" s="116">
        <v>509.05</v>
      </c>
      <c r="R2220">
        <v>3481573</v>
      </c>
    </row>
    <row r="2221" spans="1:18" x14ac:dyDescent="0.25">
      <c r="A2221" s="170">
        <v>45274</v>
      </c>
      <c r="B2221" s="116">
        <v>523.35</v>
      </c>
      <c r="C2221" s="116">
        <v>520.35</v>
      </c>
      <c r="D2221" s="116">
        <v>511.75</v>
      </c>
      <c r="E2221" s="116">
        <v>514</v>
      </c>
      <c r="F2221" s="116">
        <v>520.35</v>
      </c>
      <c r="G2221">
        <v>163569</v>
      </c>
      <c r="H2221" s="116"/>
      <c r="I2221" s="116"/>
      <c r="L2221" s="170">
        <v>45274</v>
      </c>
      <c r="M2221" s="116">
        <v>520.25</v>
      </c>
      <c r="N2221" s="116">
        <v>523.4</v>
      </c>
      <c r="O2221" s="116">
        <v>511.85</v>
      </c>
      <c r="P2221" s="116">
        <v>514.79999999999995</v>
      </c>
      <c r="Q2221" s="116">
        <v>520.25</v>
      </c>
      <c r="R2221">
        <v>5858223</v>
      </c>
    </row>
    <row r="2222" spans="1:18" x14ac:dyDescent="0.25">
      <c r="A2222" s="170">
        <v>45275</v>
      </c>
      <c r="B2222" s="116">
        <v>529.6</v>
      </c>
      <c r="C2222" s="116">
        <v>522.35</v>
      </c>
      <c r="D2222" s="116">
        <v>514.65</v>
      </c>
      <c r="E2222" s="116">
        <v>523.1</v>
      </c>
      <c r="F2222" s="116">
        <v>522.35</v>
      </c>
      <c r="G2222">
        <v>316907</v>
      </c>
      <c r="H2222" s="116"/>
      <c r="I2222" s="116"/>
      <c r="L2222" s="170">
        <v>45275</v>
      </c>
      <c r="M2222" s="116">
        <v>522.4</v>
      </c>
      <c r="N2222" s="116">
        <v>529.4</v>
      </c>
      <c r="O2222" s="116">
        <v>514.5</v>
      </c>
      <c r="P2222" s="116">
        <v>523.70000000000005</v>
      </c>
      <c r="Q2222" s="116">
        <v>522.4</v>
      </c>
      <c r="R2222">
        <v>5777967</v>
      </c>
    </row>
    <row r="2223" spans="1:18" x14ac:dyDescent="0.25">
      <c r="A2223" s="170">
        <v>45278</v>
      </c>
      <c r="B2223" s="116">
        <v>532.54999999999995</v>
      </c>
      <c r="C2223" s="116">
        <v>525.45000000000005</v>
      </c>
      <c r="D2223" s="116">
        <v>524.29999999999995</v>
      </c>
      <c r="E2223" s="116">
        <v>529.6</v>
      </c>
      <c r="F2223" s="116">
        <v>525.45000000000005</v>
      </c>
      <c r="G2223">
        <v>168807</v>
      </c>
      <c r="H2223" s="116"/>
      <c r="I2223" s="116"/>
      <c r="L2223" s="170">
        <v>45278</v>
      </c>
      <c r="M2223" s="116">
        <v>525.65</v>
      </c>
      <c r="N2223" s="116">
        <v>532.5</v>
      </c>
      <c r="O2223" s="116">
        <v>524.29999999999995</v>
      </c>
      <c r="P2223" s="116">
        <v>530</v>
      </c>
      <c r="Q2223" s="116">
        <v>525.65</v>
      </c>
      <c r="R2223">
        <v>2875095</v>
      </c>
    </row>
    <row r="2224" spans="1:18" x14ac:dyDescent="0.25">
      <c r="A2224" s="170">
        <v>45279</v>
      </c>
      <c r="B2224" s="116">
        <v>529.9</v>
      </c>
      <c r="C2224" s="116">
        <v>522.29999999999995</v>
      </c>
      <c r="D2224" s="116">
        <v>516.75</v>
      </c>
      <c r="E2224" s="116">
        <v>529.85</v>
      </c>
      <c r="F2224" s="116">
        <v>522.29999999999995</v>
      </c>
      <c r="G2224">
        <v>74154</v>
      </c>
      <c r="H2224" s="116"/>
      <c r="I2224" s="116"/>
      <c r="L2224" s="170">
        <v>45279</v>
      </c>
      <c r="M2224" s="116">
        <v>522.35</v>
      </c>
      <c r="N2224" s="116">
        <v>530.54999999999995</v>
      </c>
      <c r="O2224" s="116">
        <v>517</v>
      </c>
      <c r="P2224" s="116">
        <v>528.4</v>
      </c>
      <c r="Q2224" s="116">
        <v>522.35</v>
      </c>
      <c r="R2224">
        <v>2762093</v>
      </c>
    </row>
    <row r="2225" spans="1:18" x14ac:dyDescent="0.25">
      <c r="A2225" s="170">
        <v>45280</v>
      </c>
      <c r="B2225" s="116">
        <v>526</v>
      </c>
      <c r="C2225" s="116">
        <v>490.55</v>
      </c>
      <c r="D2225" s="116">
        <v>486.45</v>
      </c>
      <c r="E2225" s="116">
        <v>523.25</v>
      </c>
      <c r="F2225" s="116">
        <v>490.55</v>
      </c>
      <c r="G2225">
        <v>216525</v>
      </c>
      <c r="H2225" s="116"/>
      <c r="I2225" s="116"/>
      <c r="L2225" s="170">
        <v>45280</v>
      </c>
      <c r="M2225" s="116">
        <v>490.45</v>
      </c>
      <c r="N2225" s="116">
        <v>526.29999999999995</v>
      </c>
      <c r="O2225" s="116">
        <v>486</v>
      </c>
      <c r="P2225" s="116">
        <v>524</v>
      </c>
      <c r="Q2225" s="116">
        <v>490.45</v>
      </c>
      <c r="R2225">
        <v>5434428</v>
      </c>
    </row>
    <row r="2226" spans="1:18" x14ac:dyDescent="0.25">
      <c r="A2226" s="170">
        <v>45281</v>
      </c>
      <c r="B2226" s="116">
        <v>505.95</v>
      </c>
      <c r="C2226" s="116">
        <v>503.8</v>
      </c>
      <c r="D2226" s="116">
        <v>477.3</v>
      </c>
      <c r="E2226" s="116">
        <v>477.3</v>
      </c>
      <c r="F2226" s="116">
        <v>503.8</v>
      </c>
      <c r="G2226">
        <v>584091</v>
      </c>
      <c r="H2226" s="116"/>
      <c r="I2226" s="116"/>
      <c r="L2226" s="170">
        <v>45281</v>
      </c>
      <c r="M2226" s="116">
        <v>503.9</v>
      </c>
      <c r="N2226" s="116">
        <v>505.9</v>
      </c>
      <c r="O2226" s="116">
        <v>480.45</v>
      </c>
      <c r="P2226" s="116">
        <v>481</v>
      </c>
      <c r="Q2226" s="116">
        <v>503.9</v>
      </c>
      <c r="R2226">
        <v>3610387</v>
      </c>
    </row>
    <row r="2227" spans="1:18" x14ac:dyDescent="0.25">
      <c r="A2227" s="170">
        <v>45282</v>
      </c>
      <c r="B2227" s="116">
        <v>509.45</v>
      </c>
      <c r="C2227" s="116">
        <v>503.8</v>
      </c>
      <c r="D2227" s="116">
        <v>498.2</v>
      </c>
      <c r="E2227" s="116">
        <v>505.65</v>
      </c>
      <c r="F2227" s="116">
        <v>503.8</v>
      </c>
      <c r="G2227">
        <v>85760</v>
      </c>
      <c r="H2227" s="116"/>
      <c r="I2227" s="116"/>
      <c r="L2227" s="170">
        <v>45282</v>
      </c>
      <c r="M2227" s="116">
        <v>503.8</v>
      </c>
      <c r="N2227" s="116">
        <v>510.4</v>
      </c>
      <c r="O2227" s="116">
        <v>498.25</v>
      </c>
      <c r="P2227" s="116">
        <v>505.1</v>
      </c>
      <c r="Q2227" s="116">
        <v>503.8</v>
      </c>
      <c r="R2227">
        <v>2571515</v>
      </c>
    </row>
    <row r="2228" spans="1:18" x14ac:dyDescent="0.25">
      <c r="A2228" s="170">
        <v>45286</v>
      </c>
      <c r="B2228" s="116">
        <v>508.5</v>
      </c>
      <c r="C2228" s="116">
        <v>505.15</v>
      </c>
      <c r="D2228" s="116">
        <v>502.95</v>
      </c>
      <c r="E2228" s="116">
        <v>503.8</v>
      </c>
      <c r="F2228" s="116">
        <v>505.15</v>
      </c>
      <c r="G2228">
        <v>114257</v>
      </c>
      <c r="H2228" s="116"/>
      <c r="I2228" s="116"/>
      <c r="L2228" s="170">
        <v>45286</v>
      </c>
      <c r="M2228" s="116">
        <v>505.35</v>
      </c>
      <c r="N2228" s="116">
        <v>508.55</v>
      </c>
      <c r="O2228" s="116">
        <v>502.65</v>
      </c>
      <c r="P2228" s="116">
        <v>504</v>
      </c>
      <c r="Q2228" s="116">
        <v>505.35</v>
      </c>
      <c r="R2228">
        <v>1869260</v>
      </c>
    </row>
    <row r="2229" spans="1:18" x14ac:dyDescent="0.25">
      <c r="A2229" s="170">
        <v>45287</v>
      </c>
      <c r="B2229" s="116">
        <v>523</v>
      </c>
      <c r="C2229" s="116">
        <v>516.4</v>
      </c>
      <c r="D2229" s="116">
        <v>513.25</v>
      </c>
      <c r="E2229" s="116">
        <v>520.04999999999995</v>
      </c>
      <c r="F2229" s="116">
        <v>516.4</v>
      </c>
      <c r="G2229">
        <v>218846</v>
      </c>
      <c r="H2229" s="116"/>
      <c r="I2229" s="116"/>
      <c r="L2229" s="170">
        <v>45287</v>
      </c>
      <c r="M2229" s="116">
        <v>517</v>
      </c>
      <c r="N2229" s="116">
        <v>523</v>
      </c>
      <c r="O2229" s="116">
        <v>513.15</v>
      </c>
      <c r="P2229" s="116">
        <v>520.95000000000005</v>
      </c>
      <c r="Q2229" s="116">
        <v>517</v>
      </c>
      <c r="R2229">
        <v>5618393</v>
      </c>
    </row>
    <row r="2230" spans="1:18" x14ac:dyDescent="0.25">
      <c r="A2230" s="170">
        <v>45288</v>
      </c>
      <c r="B2230" s="116">
        <v>519.75</v>
      </c>
      <c r="C2230" s="116">
        <v>514.25</v>
      </c>
      <c r="D2230" s="116">
        <v>512.20000000000005</v>
      </c>
      <c r="E2230" s="116">
        <v>517.35</v>
      </c>
      <c r="F2230" s="116">
        <v>514.25</v>
      </c>
      <c r="G2230">
        <v>69935</v>
      </c>
      <c r="H2230" s="116"/>
      <c r="I2230" s="116"/>
      <c r="L2230" s="170">
        <v>45288</v>
      </c>
      <c r="M2230" s="116">
        <v>514.25</v>
      </c>
      <c r="N2230" s="116">
        <v>519.95000000000005</v>
      </c>
      <c r="O2230" s="116">
        <v>512.04999999999995</v>
      </c>
      <c r="P2230" s="116">
        <v>518</v>
      </c>
      <c r="Q2230" s="116">
        <v>514.25</v>
      </c>
      <c r="R2230">
        <v>1945694</v>
      </c>
    </row>
    <row r="2231" spans="1:18" x14ac:dyDescent="0.25">
      <c r="A2231" s="170">
        <v>45289</v>
      </c>
      <c r="B2231" s="116">
        <v>522.29999999999995</v>
      </c>
      <c r="C2231" s="116">
        <v>520.95000000000005</v>
      </c>
      <c r="D2231" s="116">
        <v>511.3</v>
      </c>
      <c r="E2231" s="116">
        <v>511.55</v>
      </c>
      <c r="F2231" s="116">
        <v>520.95000000000005</v>
      </c>
      <c r="G2231">
        <v>179989</v>
      </c>
      <c r="H2231" s="116"/>
      <c r="I2231" s="116"/>
      <c r="L2231" s="170">
        <v>45289</v>
      </c>
      <c r="M2231" s="116">
        <v>520.9</v>
      </c>
      <c r="N2231" s="116">
        <v>522.45000000000005</v>
      </c>
      <c r="O2231" s="116">
        <v>511.6</v>
      </c>
      <c r="P2231" s="116">
        <v>514.6</v>
      </c>
      <c r="Q2231" s="116">
        <v>520.9</v>
      </c>
      <c r="R2231">
        <v>2686563</v>
      </c>
    </row>
    <row r="2232" spans="1:18" x14ac:dyDescent="0.25">
      <c r="A2232" s="170">
        <v>45292</v>
      </c>
      <c r="B2232" s="116">
        <v>539.54999999999995</v>
      </c>
      <c r="C2232" s="116">
        <v>534.70000000000005</v>
      </c>
      <c r="D2232" s="116">
        <v>519.95000000000005</v>
      </c>
      <c r="E2232" s="116">
        <v>520.54999999999995</v>
      </c>
      <c r="F2232" s="116">
        <v>534.70000000000005</v>
      </c>
      <c r="G2232">
        <v>391506</v>
      </c>
      <c r="H2232" s="116"/>
      <c r="I2232" s="116"/>
      <c r="L2232" s="170">
        <v>45292</v>
      </c>
      <c r="M2232" s="116">
        <v>534.29999999999995</v>
      </c>
      <c r="N2232" s="116">
        <v>539.70000000000005</v>
      </c>
      <c r="O2232" s="116">
        <v>519.79999999999995</v>
      </c>
      <c r="P2232" s="116">
        <v>520.85</v>
      </c>
      <c r="Q2232" s="116">
        <v>534.29999999999995</v>
      </c>
      <c r="R2232">
        <v>4251624</v>
      </c>
    </row>
    <row r="2233" spans="1:18" x14ac:dyDescent="0.25">
      <c r="A2233" s="170">
        <v>45293</v>
      </c>
      <c r="B2233" s="116">
        <v>537</v>
      </c>
      <c r="C2233" s="116">
        <v>530.6</v>
      </c>
      <c r="D2233" s="116">
        <v>518.20000000000005</v>
      </c>
      <c r="E2233" s="116">
        <v>536.04999999999995</v>
      </c>
      <c r="F2233" s="116">
        <v>530.6</v>
      </c>
      <c r="G2233">
        <v>280599</v>
      </c>
      <c r="H2233" s="116"/>
      <c r="I2233" s="116"/>
      <c r="L2233" s="170">
        <v>45293</v>
      </c>
      <c r="M2233" s="116">
        <v>530.9</v>
      </c>
      <c r="N2233" s="116">
        <v>537</v>
      </c>
      <c r="O2233" s="116">
        <v>518.5</v>
      </c>
      <c r="P2233" s="116">
        <v>537</v>
      </c>
      <c r="Q2233" s="116">
        <v>530.9</v>
      </c>
      <c r="R2233">
        <v>2655551</v>
      </c>
    </row>
    <row r="2234" spans="1:18" x14ac:dyDescent="0.25">
      <c r="A2234" s="170">
        <v>45294</v>
      </c>
      <c r="B2234" s="116">
        <v>549</v>
      </c>
      <c r="C2234" s="116">
        <v>536.4</v>
      </c>
      <c r="D2234" s="116">
        <v>527.6</v>
      </c>
      <c r="E2234" s="116">
        <v>538.20000000000005</v>
      </c>
      <c r="F2234" s="116">
        <v>536.4</v>
      </c>
      <c r="G2234">
        <v>471931</v>
      </c>
      <c r="H2234" s="116"/>
      <c r="I2234" s="116"/>
      <c r="L2234" s="170">
        <v>45294</v>
      </c>
      <c r="M2234" s="116">
        <v>536.1</v>
      </c>
      <c r="N2234" s="116">
        <v>549</v>
      </c>
      <c r="O2234" s="116">
        <v>528.15</v>
      </c>
      <c r="P2234" s="116">
        <v>538.45000000000005</v>
      </c>
      <c r="Q2234" s="116">
        <v>536.1</v>
      </c>
      <c r="R2234">
        <v>13711402</v>
      </c>
    </row>
    <row r="2235" spans="1:18" x14ac:dyDescent="0.25">
      <c r="A2235" s="170">
        <v>45295</v>
      </c>
      <c r="B2235" s="116">
        <v>554.25</v>
      </c>
      <c r="C2235" s="116">
        <v>549.35</v>
      </c>
      <c r="D2235" s="116">
        <v>536.65</v>
      </c>
      <c r="E2235" s="116">
        <v>536.65</v>
      </c>
      <c r="F2235" s="116">
        <v>549.35</v>
      </c>
      <c r="G2235">
        <v>464411</v>
      </c>
      <c r="H2235" s="116"/>
      <c r="I2235" s="116"/>
      <c r="L2235" s="170">
        <v>45295</v>
      </c>
      <c r="M2235" s="116">
        <v>549.45000000000005</v>
      </c>
      <c r="N2235" s="116">
        <v>554.54999999999995</v>
      </c>
      <c r="O2235" s="116">
        <v>536.75</v>
      </c>
      <c r="P2235" s="116">
        <v>538.35</v>
      </c>
      <c r="Q2235" s="116">
        <v>549.45000000000005</v>
      </c>
      <c r="R2235">
        <v>6112049</v>
      </c>
    </row>
    <row r="2236" spans="1:18" x14ac:dyDescent="0.25">
      <c r="A2236" s="170">
        <v>45296</v>
      </c>
      <c r="B2236" s="116">
        <v>557.75</v>
      </c>
      <c r="C2236" s="116">
        <v>542.25</v>
      </c>
      <c r="D2236" s="116">
        <v>538.4</v>
      </c>
      <c r="E2236" s="116">
        <v>550</v>
      </c>
      <c r="F2236" s="116">
        <v>542.25</v>
      </c>
      <c r="G2236">
        <v>172194</v>
      </c>
      <c r="H2236" s="116"/>
      <c r="I2236" s="116"/>
      <c r="L2236" s="170">
        <v>45296</v>
      </c>
      <c r="M2236" s="116">
        <v>542.35</v>
      </c>
      <c r="N2236" s="116">
        <v>557.9</v>
      </c>
      <c r="O2236" s="116">
        <v>538.4</v>
      </c>
      <c r="P2236" s="116">
        <v>550</v>
      </c>
      <c r="Q2236" s="116">
        <v>542.35</v>
      </c>
      <c r="R2236">
        <v>5130749</v>
      </c>
    </row>
    <row r="2237" spans="1:18" x14ac:dyDescent="0.25">
      <c r="A2237" s="170">
        <v>45299</v>
      </c>
      <c r="B2237" s="116">
        <v>544.20000000000005</v>
      </c>
      <c r="C2237" s="116">
        <v>530.20000000000005</v>
      </c>
      <c r="D2237" s="116">
        <v>526.70000000000005</v>
      </c>
      <c r="E2237" s="116">
        <v>543.70000000000005</v>
      </c>
      <c r="F2237" s="116">
        <v>530.20000000000005</v>
      </c>
      <c r="G2237">
        <v>217570</v>
      </c>
      <c r="H2237" s="116"/>
      <c r="I2237" s="116"/>
      <c r="L2237" s="170">
        <v>45299</v>
      </c>
      <c r="M2237" s="116">
        <v>530.20000000000005</v>
      </c>
      <c r="N2237" s="116">
        <v>544.25</v>
      </c>
      <c r="O2237" s="116">
        <v>526.9</v>
      </c>
      <c r="P2237" s="116">
        <v>544.25</v>
      </c>
      <c r="Q2237" s="116">
        <v>530.20000000000005</v>
      </c>
      <c r="R2237">
        <v>3333769</v>
      </c>
    </row>
    <row r="2238" spans="1:18" x14ac:dyDescent="0.25">
      <c r="A2238" s="170">
        <v>45300</v>
      </c>
      <c r="B2238" s="116">
        <v>538.85</v>
      </c>
      <c r="C2238" s="116">
        <v>525.25</v>
      </c>
      <c r="D2238" s="116">
        <v>523.45000000000005</v>
      </c>
      <c r="E2238" s="116">
        <v>535.25</v>
      </c>
      <c r="F2238" s="116">
        <v>525.25</v>
      </c>
      <c r="G2238">
        <v>142298</v>
      </c>
      <c r="H2238" s="116"/>
      <c r="I2238" s="116"/>
      <c r="L2238" s="170">
        <v>45300</v>
      </c>
      <c r="M2238" s="116">
        <v>525.20000000000005</v>
      </c>
      <c r="N2238" s="116">
        <v>538.79999999999995</v>
      </c>
      <c r="O2238" s="116">
        <v>523.25</v>
      </c>
      <c r="P2238" s="116">
        <v>535.85</v>
      </c>
      <c r="Q2238" s="116">
        <v>525.20000000000005</v>
      </c>
      <c r="R2238">
        <v>2741683</v>
      </c>
    </row>
    <row r="2239" spans="1:18" x14ac:dyDescent="0.25">
      <c r="A2239" s="170">
        <v>45301</v>
      </c>
      <c r="B2239" s="116">
        <v>528.35</v>
      </c>
      <c r="C2239" s="116">
        <v>526.04999999999995</v>
      </c>
      <c r="D2239" s="116">
        <v>518.29999999999995</v>
      </c>
      <c r="E2239" s="116">
        <v>526.15</v>
      </c>
      <c r="F2239" s="116">
        <v>526.04999999999995</v>
      </c>
      <c r="G2239">
        <v>111564</v>
      </c>
      <c r="H2239" s="116"/>
      <c r="I2239" s="116"/>
      <c r="L2239" s="170">
        <v>45301</v>
      </c>
      <c r="M2239" s="116">
        <v>526.15</v>
      </c>
      <c r="N2239" s="116">
        <v>528.70000000000005</v>
      </c>
      <c r="O2239" s="116">
        <v>518.25</v>
      </c>
      <c r="P2239" s="116">
        <v>528.70000000000005</v>
      </c>
      <c r="Q2239" s="116">
        <v>526.15</v>
      </c>
      <c r="R2239">
        <v>1792977</v>
      </c>
    </row>
    <row r="2240" spans="1:18" x14ac:dyDescent="0.25">
      <c r="A2240" s="170">
        <v>45302</v>
      </c>
      <c r="B2240" s="116">
        <v>541.20000000000005</v>
      </c>
      <c r="C2240" s="116">
        <v>538.15</v>
      </c>
      <c r="D2240" s="116">
        <v>525.5</v>
      </c>
      <c r="E2240" s="116">
        <v>529.45000000000005</v>
      </c>
      <c r="F2240" s="116">
        <v>538.15</v>
      </c>
      <c r="G2240">
        <v>123872</v>
      </c>
      <c r="H2240" s="116"/>
      <c r="I2240" s="116"/>
      <c r="L2240" s="170">
        <v>45302</v>
      </c>
      <c r="M2240" s="116">
        <v>538.25</v>
      </c>
      <c r="N2240" s="116">
        <v>541.95000000000005</v>
      </c>
      <c r="O2240" s="116">
        <v>525.4</v>
      </c>
      <c r="P2240" s="116">
        <v>529.15</v>
      </c>
      <c r="Q2240" s="116">
        <v>538.25</v>
      </c>
      <c r="R2240">
        <v>2505937</v>
      </c>
    </row>
    <row r="2241" spans="1:18" x14ac:dyDescent="0.25">
      <c r="A2241" s="170">
        <v>45303</v>
      </c>
      <c r="B2241" s="116">
        <v>544.79999999999995</v>
      </c>
      <c r="C2241" s="116">
        <v>532.4</v>
      </c>
      <c r="D2241" s="116">
        <v>531.45000000000005</v>
      </c>
      <c r="E2241" s="116">
        <v>540.4</v>
      </c>
      <c r="F2241" s="116">
        <v>532.4</v>
      </c>
      <c r="G2241">
        <v>84821</v>
      </c>
      <c r="H2241" s="116"/>
      <c r="I2241" s="116"/>
      <c r="L2241" s="170">
        <v>45303</v>
      </c>
      <c r="M2241" s="116">
        <v>532.4</v>
      </c>
      <c r="N2241" s="116">
        <v>544.75</v>
      </c>
      <c r="O2241" s="116">
        <v>531.1</v>
      </c>
      <c r="P2241" s="116">
        <v>543</v>
      </c>
      <c r="Q2241" s="116">
        <v>532.4</v>
      </c>
      <c r="R2241">
        <v>2315342</v>
      </c>
    </row>
    <row r="2242" spans="1:18" x14ac:dyDescent="0.25">
      <c r="A2242" s="170">
        <v>45306</v>
      </c>
      <c r="B2242" s="116">
        <v>536.45000000000005</v>
      </c>
      <c r="C2242" s="116">
        <v>531.54999999999995</v>
      </c>
      <c r="D2242" s="116">
        <v>526.70000000000005</v>
      </c>
      <c r="E2242" s="116">
        <v>533.25</v>
      </c>
      <c r="F2242" s="116">
        <v>531.54999999999995</v>
      </c>
      <c r="G2242">
        <v>233251</v>
      </c>
      <c r="H2242" s="116"/>
      <c r="I2242" s="116"/>
      <c r="L2242" s="170">
        <v>45306</v>
      </c>
      <c r="M2242" s="116">
        <v>531.45000000000005</v>
      </c>
      <c r="N2242" s="116">
        <v>537.20000000000005</v>
      </c>
      <c r="O2242" s="116">
        <v>526.5</v>
      </c>
      <c r="P2242" s="116">
        <v>537</v>
      </c>
      <c r="Q2242" s="116">
        <v>531.45000000000005</v>
      </c>
      <c r="R2242">
        <v>1838608</v>
      </c>
    </row>
    <row r="2243" spans="1:18" x14ac:dyDescent="0.25">
      <c r="A2243" s="170">
        <v>45307</v>
      </c>
      <c r="B2243" s="116">
        <v>534.9</v>
      </c>
      <c r="C2243" s="116">
        <v>528.79999999999995</v>
      </c>
      <c r="D2243" s="116">
        <v>524.65</v>
      </c>
      <c r="E2243" s="116">
        <v>531.70000000000005</v>
      </c>
      <c r="F2243" s="116">
        <v>528.79999999999995</v>
      </c>
      <c r="G2243">
        <v>87314</v>
      </c>
      <c r="H2243" s="116"/>
      <c r="I2243" s="116"/>
      <c r="L2243" s="170">
        <v>45307</v>
      </c>
      <c r="M2243" s="116">
        <v>528.70000000000005</v>
      </c>
      <c r="N2243" s="116">
        <v>534.95000000000005</v>
      </c>
      <c r="O2243" s="116">
        <v>525</v>
      </c>
      <c r="P2243" s="116">
        <v>533.79999999999995</v>
      </c>
      <c r="Q2243" s="116">
        <v>528.70000000000005</v>
      </c>
      <c r="R2243">
        <v>2732941</v>
      </c>
    </row>
    <row r="2244" spans="1:18" x14ac:dyDescent="0.25">
      <c r="A2244" s="170">
        <v>45308</v>
      </c>
      <c r="B2244" s="116">
        <v>539.29999999999995</v>
      </c>
      <c r="C2244" s="116">
        <v>520.5</v>
      </c>
      <c r="D2244" s="116">
        <v>518.04999999999995</v>
      </c>
      <c r="E2244" s="116">
        <v>525.15</v>
      </c>
      <c r="F2244" s="116">
        <v>520.5</v>
      </c>
      <c r="G2244">
        <v>216483</v>
      </c>
      <c r="H2244" s="116"/>
      <c r="I2244" s="116"/>
      <c r="L2244" s="170">
        <v>45308</v>
      </c>
      <c r="M2244" s="116">
        <v>520.54999999999995</v>
      </c>
      <c r="N2244" s="116">
        <v>539.35</v>
      </c>
      <c r="O2244" s="116">
        <v>518.25</v>
      </c>
      <c r="P2244" s="116">
        <v>528</v>
      </c>
      <c r="Q2244" s="116">
        <v>520.54999999999995</v>
      </c>
      <c r="R2244">
        <v>6229815</v>
      </c>
    </row>
    <row r="2245" spans="1:18" x14ac:dyDescent="0.25">
      <c r="A2245" s="170">
        <v>45309</v>
      </c>
      <c r="B2245" s="116">
        <v>526.9</v>
      </c>
      <c r="C2245" s="116">
        <v>523.95000000000005</v>
      </c>
      <c r="D2245" s="116">
        <v>509.55</v>
      </c>
      <c r="E2245" s="116">
        <v>520.79999999999995</v>
      </c>
      <c r="F2245" s="116">
        <v>523.95000000000005</v>
      </c>
      <c r="G2245">
        <v>77791</v>
      </c>
      <c r="H2245" s="116"/>
      <c r="I2245" s="116"/>
      <c r="L2245" s="170">
        <v>45309</v>
      </c>
      <c r="M2245" s="116">
        <v>524.15</v>
      </c>
      <c r="N2245" s="116">
        <v>526.95000000000005</v>
      </c>
      <c r="O2245" s="116">
        <v>509</v>
      </c>
      <c r="P2245" s="116">
        <v>522.65</v>
      </c>
      <c r="Q2245" s="116">
        <v>524.15</v>
      </c>
      <c r="R2245">
        <v>2084710</v>
      </c>
    </row>
    <row r="2246" spans="1:18" x14ac:dyDescent="0.25">
      <c r="A2246" s="170">
        <v>45310</v>
      </c>
      <c r="B2246" s="116">
        <v>538</v>
      </c>
      <c r="C2246" s="116">
        <v>537.15</v>
      </c>
      <c r="D2246" s="116">
        <v>525.4</v>
      </c>
      <c r="E2246" s="116">
        <v>527.54999999999995</v>
      </c>
      <c r="F2246" s="116">
        <v>537.15</v>
      </c>
      <c r="G2246">
        <v>83485</v>
      </c>
      <c r="H2246" s="116"/>
      <c r="I2246" s="116"/>
      <c r="L2246" s="170">
        <v>45310</v>
      </c>
      <c r="M2246" s="116">
        <v>537.1</v>
      </c>
      <c r="N2246" s="116">
        <v>538</v>
      </c>
      <c r="O2246" s="116">
        <v>525.25</v>
      </c>
      <c r="P2246" s="116">
        <v>526.85</v>
      </c>
      <c r="Q2246" s="116">
        <v>537.1</v>
      </c>
      <c r="R2246">
        <v>2661086</v>
      </c>
    </row>
    <row r="2247" spans="1:18" x14ac:dyDescent="0.25">
      <c r="A2247" s="170">
        <v>45311</v>
      </c>
      <c r="B2247" s="116">
        <v>545.79999999999995</v>
      </c>
      <c r="C2247" s="116">
        <v>540.70000000000005</v>
      </c>
      <c r="D2247" s="116">
        <v>531.95000000000005</v>
      </c>
      <c r="E2247" s="116">
        <v>538.75</v>
      </c>
      <c r="F2247" s="116">
        <v>540.70000000000005</v>
      </c>
      <c r="G2247">
        <v>181181</v>
      </c>
      <c r="H2247" s="116"/>
      <c r="I2247" s="116"/>
      <c r="L2247" s="170">
        <v>45311</v>
      </c>
      <c r="M2247" s="116">
        <v>540.75</v>
      </c>
      <c r="N2247" s="116">
        <v>546</v>
      </c>
      <c r="O2247" s="116">
        <v>532.1</v>
      </c>
      <c r="P2247" s="116">
        <v>538</v>
      </c>
      <c r="Q2247" s="116">
        <v>540.75</v>
      </c>
      <c r="R2247">
        <v>2579032</v>
      </c>
    </row>
    <row r="2248" spans="1:18" x14ac:dyDescent="0.25">
      <c r="A2248" s="170">
        <v>45314</v>
      </c>
      <c r="B2248" s="116">
        <v>546.85</v>
      </c>
      <c r="C2248" s="116">
        <v>525.45000000000005</v>
      </c>
      <c r="D2248" s="116">
        <v>517.45000000000005</v>
      </c>
      <c r="E2248" s="116">
        <v>546.85</v>
      </c>
      <c r="F2248" s="116">
        <v>525.45000000000005</v>
      </c>
      <c r="G2248">
        <v>109083</v>
      </c>
      <c r="H2248" s="116"/>
      <c r="I2248" s="116"/>
      <c r="L2248" s="170">
        <v>45314</v>
      </c>
      <c r="M2248" s="116">
        <v>525.04999999999995</v>
      </c>
      <c r="N2248" s="116">
        <v>543.79999999999995</v>
      </c>
      <c r="O2248" s="116">
        <v>517.04999999999995</v>
      </c>
      <c r="P2248" s="116">
        <v>543.79999999999995</v>
      </c>
      <c r="Q2248" s="116">
        <v>525.04999999999995</v>
      </c>
      <c r="R2248">
        <v>2682760</v>
      </c>
    </row>
    <row r="2249" spans="1:18" x14ac:dyDescent="0.25">
      <c r="A2249" s="170">
        <v>45315</v>
      </c>
      <c r="B2249" s="116">
        <v>530.35</v>
      </c>
      <c r="C2249" s="116">
        <v>527.6</v>
      </c>
      <c r="D2249" s="116">
        <v>515</v>
      </c>
      <c r="E2249" s="116">
        <v>525</v>
      </c>
      <c r="F2249" s="116">
        <v>527.6</v>
      </c>
      <c r="G2249">
        <v>154607</v>
      </c>
      <c r="H2249" s="116"/>
      <c r="I2249" s="116"/>
      <c r="L2249" s="170">
        <v>45315</v>
      </c>
      <c r="M2249" s="116">
        <v>527.45000000000005</v>
      </c>
      <c r="N2249" s="116">
        <v>531</v>
      </c>
      <c r="O2249" s="116">
        <v>514.5</v>
      </c>
      <c r="P2249" s="116">
        <v>525.04999999999995</v>
      </c>
      <c r="Q2249" s="116">
        <v>527.45000000000005</v>
      </c>
      <c r="R2249">
        <v>3893697</v>
      </c>
    </row>
    <row r="2250" spans="1:18" x14ac:dyDescent="0.25">
      <c r="A2250" s="170">
        <v>45316</v>
      </c>
      <c r="B2250" s="116">
        <v>565.79999999999995</v>
      </c>
      <c r="C2250" s="116">
        <v>560.5</v>
      </c>
      <c r="D2250" s="116">
        <v>527.45000000000005</v>
      </c>
      <c r="E2250" s="116">
        <v>529.25</v>
      </c>
      <c r="F2250" s="116">
        <v>560.5</v>
      </c>
      <c r="G2250">
        <v>1383745</v>
      </c>
      <c r="H2250" s="116"/>
      <c r="I2250" s="116"/>
      <c r="L2250" s="170">
        <v>45316</v>
      </c>
      <c r="M2250" s="116">
        <v>560.15</v>
      </c>
      <c r="N2250" s="116">
        <v>566</v>
      </c>
      <c r="O2250" s="116">
        <v>526.35</v>
      </c>
      <c r="P2250" s="116">
        <v>530</v>
      </c>
      <c r="Q2250" s="116">
        <v>560.15</v>
      </c>
      <c r="R2250">
        <v>8019238</v>
      </c>
    </row>
    <row r="2251" spans="1:18" x14ac:dyDescent="0.25">
      <c r="A2251" s="170">
        <v>45320</v>
      </c>
      <c r="B2251" s="116">
        <v>578.5</v>
      </c>
      <c r="C2251" s="116">
        <v>573.75</v>
      </c>
      <c r="D2251" s="116">
        <v>562.4</v>
      </c>
      <c r="E2251" s="116">
        <v>570.15</v>
      </c>
      <c r="F2251" s="116">
        <v>573.75</v>
      </c>
      <c r="G2251">
        <v>591660</v>
      </c>
      <c r="H2251" s="116"/>
      <c r="I2251" s="116"/>
      <c r="L2251" s="170">
        <v>45320</v>
      </c>
      <c r="M2251" s="116">
        <v>574.1</v>
      </c>
      <c r="N2251" s="116">
        <v>578.9</v>
      </c>
      <c r="O2251" s="116">
        <v>562.79999999999995</v>
      </c>
      <c r="P2251" s="116">
        <v>570.9</v>
      </c>
      <c r="Q2251" s="116">
        <v>574.1</v>
      </c>
      <c r="R2251">
        <v>7828638</v>
      </c>
    </row>
    <row r="2252" spans="1:18" x14ac:dyDescent="0.25">
      <c r="A2252" s="170">
        <v>45321</v>
      </c>
      <c r="B2252" s="116">
        <v>583.75</v>
      </c>
      <c r="C2252" s="116">
        <v>570.5</v>
      </c>
      <c r="D2252" s="116">
        <v>568</v>
      </c>
      <c r="E2252" s="116">
        <v>576.65</v>
      </c>
      <c r="F2252" s="116">
        <v>570.5</v>
      </c>
      <c r="G2252">
        <v>223060</v>
      </c>
      <c r="H2252" s="116"/>
      <c r="I2252" s="116"/>
      <c r="L2252" s="170">
        <v>45321</v>
      </c>
      <c r="M2252" s="116">
        <v>570.85</v>
      </c>
      <c r="N2252" s="116">
        <v>583.95000000000005</v>
      </c>
      <c r="O2252" s="116">
        <v>568.04999999999995</v>
      </c>
      <c r="P2252" s="116">
        <v>574.20000000000005</v>
      </c>
      <c r="Q2252" s="116">
        <v>570.85</v>
      </c>
      <c r="R2252">
        <v>4572466</v>
      </c>
    </row>
    <row r="2253" spans="1:18" x14ac:dyDescent="0.25">
      <c r="A2253" s="170">
        <v>45322</v>
      </c>
      <c r="B2253" s="116">
        <v>586</v>
      </c>
      <c r="C2253" s="116">
        <v>560.35</v>
      </c>
      <c r="D2253" s="116">
        <v>547.45000000000005</v>
      </c>
      <c r="E2253" s="116">
        <v>572.15</v>
      </c>
      <c r="F2253" s="116">
        <v>560.35</v>
      </c>
      <c r="G2253">
        <v>412289</v>
      </c>
      <c r="H2253" s="116"/>
      <c r="I2253" s="116"/>
      <c r="L2253" s="170">
        <v>45322</v>
      </c>
      <c r="M2253" s="116">
        <v>560.29999999999995</v>
      </c>
      <c r="N2253" s="116">
        <v>586.45000000000005</v>
      </c>
      <c r="O2253" s="116">
        <v>547</v>
      </c>
      <c r="P2253" s="116">
        <v>573.4</v>
      </c>
      <c r="Q2253" s="116">
        <v>560.29999999999995</v>
      </c>
      <c r="R2253">
        <v>13741694</v>
      </c>
    </row>
    <row r="2254" spans="1:18" x14ac:dyDescent="0.25">
      <c r="A2254" s="170">
        <v>45323</v>
      </c>
      <c r="B2254" s="116">
        <v>569.79999999999995</v>
      </c>
      <c r="C2254" s="116">
        <v>565.1</v>
      </c>
      <c r="D2254" s="116">
        <v>554.25</v>
      </c>
      <c r="E2254" s="116">
        <v>568.75</v>
      </c>
      <c r="F2254" s="116">
        <v>565.1</v>
      </c>
      <c r="G2254">
        <v>328061</v>
      </c>
      <c r="H2254" s="116"/>
      <c r="I2254" s="116"/>
      <c r="L2254" s="170">
        <v>45323</v>
      </c>
      <c r="M2254" s="116">
        <v>565.04999999999995</v>
      </c>
      <c r="N2254" s="116">
        <v>569.79999999999995</v>
      </c>
      <c r="O2254" s="116">
        <v>554.04999999999995</v>
      </c>
      <c r="P2254" s="116">
        <v>568</v>
      </c>
      <c r="Q2254" s="116">
        <v>565.04999999999995</v>
      </c>
      <c r="R2254">
        <v>6228014</v>
      </c>
    </row>
    <row r="2255" spans="1:18" x14ac:dyDescent="0.25">
      <c r="A2255" s="170">
        <v>45324</v>
      </c>
      <c r="B2255" s="116">
        <v>572.45000000000005</v>
      </c>
      <c r="C2255" s="116">
        <v>557.29999999999995</v>
      </c>
      <c r="D2255" s="116">
        <v>554.95000000000005</v>
      </c>
      <c r="E2255" s="116">
        <v>571.4</v>
      </c>
      <c r="F2255" s="116">
        <v>557.29999999999995</v>
      </c>
      <c r="G2255">
        <v>223662</v>
      </c>
      <c r="H2255" s="116"/>
      <c r="I2255" s="116"/>
      <c r="L2255" s="170">
        <v>45324</v>
      </c>
      <c r="M2255" s="116">
        <v>557.4</v>
      </c>
      <c r="N2255" s="116">
        <v>572.25</v>
      </c>
      <c r="O2255" s="116">
        <v>554.54999999999995</v>
      </c>
      <c r="P2255" s="116">
        <v>570.65</v>
      </c>
      <c r="Q2255" s="116">
        <v>557.4</v>
      </c>
      <c r="R2255">
        <v>3263916</v>
      </c>
    </row>
    <row r="2256" spans="1:18" x14ac:dyDescent="0.25">
      <c r="A2256" s="170">
        <v>45327</v>
      </c>
      <c r="B2256" s="116">
        <v>563</v>
      </c>
      <c r="C2256" s="116">
        <v>553.85</v>
      </c>
      <c r="D2256" s="116">
        <v>551</v>
      </c>
      <c r="E2256" s="116">
        <v>557.5</v>
      </c>
      <c r="F2256" s="116">
        <v>553.85</v>
      </c>
      <c r="G2256">
        <v>256270</v>
      </c>
      <c r="H2256" s="116"/>
      <c r="I2256" s="116"/>
      <c r="L2256" s="170">
        <v>45327</v>
      </c>
      <c r="M2256" s="116">
        <v>555</v>
      </c>
      <c r="N2256" s="116">
        <v>563.15</v>
      </c>
      <c r="O2256" s="116">
        <v>551</v>
      </c>
      <c r="P2256" s="116">
        <v>560</v>
      </c>
      <c r="Q2256" s="116">
        <v>555</v>
      </c>
      <c r="R2256">
        <v>2366641</v>
      </c>
    </row>
    <row r="2257" spans="1:18" x14ac:dyDescent="0.25">
      <c r="A2257" s="170">
        <v>45328</v>
      </c>
      <c r="B2257" s="116">
        <v>567.54999999999995</v>
      </c>
      <c r="C2257" s="116">
        <v>566.5</v>
      </c>
      <c r="D2257" s="116">
        <v>550</v>
      </c>
      <c r="E2257" s="116">
        <v>555.29999999999995</v>
      </c>
      <c r="F2257" s="116">
        <v>566.5</v>
      </c>
      <c r="G2257">
        <v>107559</v>
      </c>
      <c r="H2257" s="116"/>
      <c r="I2257" s="116"/>
      <c r="L2257" s="170">
        <v>45328</v>
      </c>
      <c r="M2257" s="116">
        <v>566.6</v>
      </c>
      <c r="N2257" s="116">
        <v>568</v>
      </c>
      <c r="O2257" s="116">
        <v>549.95000000000005</v>
      </c>
      <c r="P2257" s="116">
        <v>558.95000000000005</v>
      </c>
      <c r="Q2257" s="116">
        <v>566.6</v>
      </c>
      <c r="R2257">
        <v>2969565</v>
      </c>
    </row>
    <row r="2258" spans="1:18" x14ac:dyDescent="0.25">
      <c r="A2258" s="170">
        <v>45329</v>
      </c>
      <c r="B2258" s="116">
        <v>575.29999999999995</v>
      </c>
      <c r="C2258" s="116">
        <v>567.65</v>
      </c>
      <c r="D2258" s="116">
        <v>564.29999999999995</v>
      </c>
      <c r="E2258" s="116">
        <v>570</v>
      </c>
      <c r="F2258" s="116">
        <v>567.65</v>
      </c>
      <c r="G2258">
        <v>66087</v>
      </c>
      <c r="H2258" s="116"/>
      <c r="I2258" s="116"/>
      <c r="L2258" s="170">
        <v>45329</v>
      </c>
      <c r="M2258" s="116">
        <v>568.20000000000005</v>
      </c>
      <c r="N2258" s="116">
        <v>575.95000000000005</v>
      </c>
      <c r="O2258" s="116">
        <v>564.29999999999995</v>
      </c>
      <c r="P2258" s="116">
        <v>570</v>
      </c>
      <c r="Q2258" s="116">
        <v>568.20000000000005</v>
      </c>
      <c r="R2258">
        <v>2248160</v>
      </c>
    </row>
    <row r="2259" spans="1:18" x14ac:dyDescent="0.25">
      <c r="A2259" s="170">
        <v>45330</v>
      </c>
      <c r="B2259" s="116">
        <v>571</v>
      </c>
      <c r="C2259" s="116">
        <v>563</v>
      </c>
      <c r="D2259" s="116">
        <v>560</v>
      </c>
      <c r="E2259" s="116">
        <v>567.70000000000005</v>
      </c>
      <c r="F2259" s="116">
        <v>563</v>
      </c>
      <c r="G2259">
        <v>56438</v>
      </c>
      <c r="H2259" s="116"/>
      <c r="I2259" s="116"/>
      <c r="L2259" s="170">
        <v>45330</v>
      </c>
      <c r="M2259" s="116">
        <v>563.35</v>
      </c>
      <c r="N2259" s="116">
        <v>571.25</v>
      </c>
      <c r="O2259" s="116">
        <v>559.65</v>
      </c>
      <c r="P2259" s="116">
        <v>570</v>
      </c>
      <c r="Q2259" s="116">
        <v>563.35</v>
      </c>
      <c r="R2259">
        <v>2089376</v>
      </c>
    </row>
    <row r="2260" spans="1:18" x14ac:dyDescent="0.25">
      <c r="A2260" s="170">
        <v>45331</v>
      </c>
      <c r="B2260" s="116">
        <v>582.20000000000005</v>
      </c>
      <c r="C2260" s="116">
        <v>576.6</v>
      </c>
      <c r="D2260" s="116">
        <v>552.54999999999995</v>
      </c>
      <c r="E2260" s="116">
        <v>563.95000000000005</v>
      </c>
      <c r="F2260" s="116">
        <v>576.6</v>
      </c>
      <c r="G2260">
        <v>160519</v>
      </c>
      <c r="H2260" s="116"/>
      <c r="I2260" s="116"/>
      <c r="L2260" s="170">
        <v>45331</v>
      </c>
      <c r="M2260" s="116">
        <v>576.20000000000005</v>
      </c>
      <c r="N2260" s="116">
        <v>582.25</v>
      </c>
      <c r="O2260" s="116">
        <v>552.54999999999995</v>
      </c>
      <c r="P2260" s="116">
        <v>564.70000000000005</v>
      </c>
      <c r="Q2260" s="116">
        <v>576.20000000000005</v>
      </c>
      <c r="R2260">
        <v>6956624</v>
      </c>
    </row>
    <row r="2261" spans="1:18" x14ac:dyDescent="0.25">
      <c r="A2261" s="170">
        <v>45334</v>
      </c>
      <c r="B2261" s="116">
        <v>587</v>
      </c>
      <c r="C2261" s="116">
        <v>564.15</v>
      </c>
      <c r="D2261" s="116">
        <v>561</v>
      </c>
      <c r="E2261" s="116">
        <v>582</v>
      </c>
      <c r="F2261" s="116">
        <v>564.15</v>
      </c>
      <c r="G2261">
        <v>296376</v>
      </c>
      <c r="H2261" s="116"/>
      <c r="I2261" s="116"/>
      <c r="L2261" s="170">
        <v>45334</v>
      </c>
      <c r="M2261" s="116">
        <v>563.5</v>
      </c>
      <c r="N2261" s="116">
        <v>587.20000000000005</v>
      </c>
      <c r="O2261" s="116">
        <v>560.25</v>
      </c>
      <c r="P2261" s="116">
        <v>582.1</v>
      </c>
      <c r="Q2261" s="116">
        <v>563.5</v>
      </c>
      <c r="R2261">
        <v>3475737</v>
      </c>
    </row>
    <row r="2262" spans="1:18" x14ac:dyDescent="0.25">
      <c r="A2262" s="170">
        <v>45335</v>
      </c>
      <c r="B2262" s="116">
        <v>570</v>
      </c>
      <c r="C2262" s="116">
        <v>568.35</v>
      </c>
      <c r="D2262" s="116">
        <v>552.35</v>
      </c>
      <c r="E2262" s="116">
        <v>562.70000000000005</v>
      </c>
      <c r="F2262" s="116">
        <v>568.35</v>
      </c>
      <c r="G2262">
        <v>107815</v>
      </c>
      <c r="H2262" s="116"/>
      <c r="I2262" s="116"/>
      <c r="L2262" s="170">
        <v>45335</v>
      </c>
      <c r="M2262" s="116">
        <v>568.25</v>
      </c>
      <c r="N2262" s="116">
        <v>570</v>
      </c>
      <c r="O2262" s="116">
        <v>552.5</v>
      </c>
      <c r="P2262" s="116">
        <v>566.35</v>
      </c>
      <c r="Q2262" s="116">
        <v>568.25</v>
      </c>
      <c r="R2262">
        <v>2529788</v>
      </c>
    </row>
    <row r="2263" spans="1:18" x14ac:dyDescent="0.25">
      <c r="A2263" s="170">
        <v>45336</v>
      </c>
      <c r="B2263" s="116">
        <v>573.1</v>
      </c>
      <c r="C2263" s="116">
        <v>570.85</v>
      </c>
      <c r="D2263" s="116">
        <v>559.70000000000005</v>
      </c>
      <c r="E2263" s="116">
        <v>560.85</v>
      </c>
      <c r="F2263" s="116">
        <v>570.85</v>
      </c>
      <c r="G2263">
        <v>101565</v>
      </c>
      <c r="H2263" s="116"/>
      <c r="I2263" s="116"/>
      <c r="L2263" s="170">
        <v>45336</v>
      </c>
      <c r="M2263" s="116">
        <v>570.9</v>
      </c>
      <c r="N2263" s="116">
        <v>573.35</v>
      </c>
      <c r="O2263" s="116">
        <v>559.65</v>
      </c>
      <c r="P2263" s="116">
        <v>560.15</v>
      </c>
      <c r="Q2263" s="116">
        <v>570.9</v>
      </c>
      <c r="R2263">
        <v>2094616</v>
      </c>
    </row>
    <row r="2264" spans="1:18" x14ac:dyDescent="0.25">
      <c r="A2264" s="170">
        <v>45337</v>
      </c>
      <c r="B2264" s="116">
        <v>574.79999999999995</v>
      </c>
      <c r="C2264" s="116">
        <v>571.79999999999995</v>
      </c>
      <c r="D2264" s="116">
        <v>568.75</v>
      </c>
      <c r="E2264" s="116">
        <v>573.65</v>
      </c>
      <c r="F2264" s="116">
        <v>571.79999999999995</v>
      </c>
      <c r="G2264">
        <v>46967</v>
      </c>
      <c r="H2264" s="116"/>
      <c r="I2264" s="116"/>
      <c r="L2264" s="170">
        <v>45337</v>
      </c>
      <c r="M2264" s="116">
        <v>572.25</v>
      </c>
      <c r="N2264" s="116">
        <v>574.79999999999995</v>
      </c>
      <c r="O2264" s="116">
        <v>568.85</v>
      </c>
      <c r="P2264" s="116">
        <v>573.9</v>
      </c>
      <c r="Q2264" s="116">
        <v>572.25</v>
      </c>
      <c r="R2264">
        <v>1240706</v>
      </c>
    </row>
    <row r="2265" spans="1:18" x14ac:dyDescent="0.25">
      <c r="A2265" s="170">
        <v>45338</v>
      </c>
      <c r="B2265" s="116">
        <v>590.45000000000005</v>
      </c>
      <c r="C2265" s="116">
        <v>585.25</v>
      </c>
      <c r="D2265" s="116">
        <v>572.5</v>
      </c>
      <c r="E2265" s="116">
        <v>572.5</v>
      </c>
      <c r="F2265" s="116">
        <v>585.25</v>
      </c>
      <c r="G2265">
        <v>197780</v>
      </c>
      <c r="H2265" s="116"/>
      <c r="I2265" s="116"/>
      <c r="L2265" s="170">
        <v>45338</v>
      </c>
      <c r="M2265" s="116">
        <v>585.1</v>
      </c>
      <c r="N2265" s="116">
        <v>590.65</v>
      </c>
      <c r="O2265" s="116">
        <v>573.04999999999995</v>
      </c>
      <c r="P2265" s="116">
        <v>573.20000000000005</v>
      </c>
      <c r="Q2265" s="116">
        <v>585.1</v>
      </c>
      <c r="R2265">
        <v>9619487</v>
      </c>
    </row>
    <row r="2266" spans="1:18" x14ac:dyDescent="0.25">
      <c r="A2266" s="170">
        <v>45341</v>
      </c>
      <c r="B2266" s="116">
        <v>593.79999999999995</v>
      </c>
      <c r="C2266" s="116">
        <v>584.79999999999995</v>
      </c>
      <c r="D2266" s="116">
        <v>581.70000000000005</v>
      </c>
      <c r="E2266" s="116">
        <v>586.65</v>
      </c>
      <c r="F2266" s="116">
        <v>584.79999999999995</v>
      </c>
      <c r="G2266">
        <v>204358</v>
      </c>
      <c r="H2266" s="116"/>
      <c r="I2266" s="116"/>
      <c r="L2266" s="170">
        <v>45341</v>
      </c>
      <c r="M2266" s="116">
        <v>584.85</v>
      </c>
      <c r="N2266" s="116">
        <v>594</v>
      </c>
      <c r="O2266" s="116">
        <v>581.9</v>
      </c>
      <c r="P2266" s="116">
        <v>588.79999999999995</v>
      </c>
      <c r="Q2266" s="116">
        <v>584.85</v>
      </c>
      <c r="R2266">
        <v>3141571</v>
      </c>
    </row>
    <row r="2267" spans="1:18" x14ac:dyDescent="0.25">
      <c r="A2267" s="170">
        <v>45342</v>
      </c>
      <c r="B2267" s="116">
        <v>590</v>
      </c>
      <c r="C2267" s="116">
        <v>588.79999999999995</v>
      </c>
      <c r="D2267" s="116">
        <v>579.70000000000005</v>
      </c>
      <c r="E2267" s="116">
        <v>585</v>
      </c>
      <c r="F2267" s="116">
        <v>588.79999999999995</v>
      </c>
      <c r="G2267">
        <v>70585</v>
      </c>
      <c r="H2267" s="116"/>
      <c r="I2267" s="116"/>
      <c r="L2267" s="170">
        <v>45342</v>
      </c>
      <c r="M2267" s="116">
        <v>588.79999999999995</v>
      </c>
      <c r="N2267" s="116">
        <v>590</v>
      </c>
      <c r="O2267" s="116">
        <v>579.45000000000005</v>
      </c>
      <c r="P2267" s="116">
        <v>584.85</v>
      </c>
      <c r="Q2267" s="116">
        <v>588.79999999999995</v>
      </c>
      <c r="R2267">
        <v>1867263</v>
      </c>
    </row>
    <row r="2268" spans="1:18" x14ac:dyDescent="0.25">
      <c r="A2268" s="170">
        <v>45343</v>
      </c>
      <c r="B2268" s="116">
        <v>596.5</v>
      </c>
      <c r="C2268" s="116">
        <v>587.75</v>
      </c>
      <c r="D2268" s="116">
        <v>583.1</v>
      </c>
      <c r="E2268" s="116">
        <v>589.4</v>
      </c>
      <c r="F2268" s="116">
        <v>587.75</v>
      </c>
      <c r="G2268">
        <v>223507</v>
      </c>
      <c r="H2268" s="116"/>
      <c r="I2268" s="116"/>
      <c r="L2268" s="170">
        <v>45343</v>
      </c>
      <c r="M2268" s="116">
        <v>587.79999999999995</v>
      </c>
      <c r="N2268" s="116">
        <v>596.70000000000005</v>
      </c>
      <c r="O2268" s="116">
        <v>583.25</v>
      </c>
      <c r="P2268" s="116">
        <v>591.9</v>
      </c>
      <c r="Q2268" s="116">
        <v>587.79999999999995</v>
      </c>
      <c r="R2268">
        <v>4209055</v>
      </c>
    </row>
    <row r="2269" spans="1:18" x14ac:dyDescent="0.25">
      <c r="A2269" s="170">
        <v>45344</v>
      </c>
      <c r="B2269" s="116">
        <v>595</v>
      </c>
      <c r="C2269" s="116">
        <v>592.5</v>
      </c>
      <c r="D2269" s="116">
        <v>583</v>
      </c>
      <c r="E2269" s="116">
        <v>590.65</v>
      </c>
      <c r="F2269" s="116">
        <v>592.5</v>
      </c>
      <c r="G2269">
        <v>57351</v>
      </c>
      <c r="H2269" s="116"/>
      <c r="I2269" s="116"/>
      <c r="L2269" s="170">
        <v>45344</v>
      </c>
      <c r="M2269" s="116">
        <v>592.75</v>
      </c>
      <c r="N2269" s="116">
        <v>595</v>
      </c>
      <c r="O2269" s="116">
        <v>583</v>
      </c>
      <c r="P2269" s="116">
        <v>593</v>
      </c>
      <c r="Q2269" s="116">
        <v>592.75</v>
      </c>
      <c r="R2269">
        <v>1838366</v>
      </c>
    </row>
    <row r="2270" spans="1:18" x14ac:dyDescent="0.25">
      <c r="A2270" s="170">
        <v>45345</v>
      </c>
      <c r="B2270" s="116">
        <v>608.6</v>
      </c>
      <c r="C2270" s="116">
        <v>602.85</v>
      </c>
      <c r="D2270" s="116">
        <v>587.9</v>
      </c>
      <c r="E2270" s="116">
        <v>592.95000000000005</v>
      </c>
      <c r="F2270" s="116">
        <v>602.85</v>
      </c>
      <c r="G2270">
        <v>136700</v>
      </c>
      <c r="H2270" s="116"/>
      <c r="I2270" s="116"/>
      <c r="L2270" s="170">
        <v>45345</v>
      </c>
      <c r="M2270" s="116">
        <v>602.95000000000005</v>
      </c>
      <c r="N2270" s="116">
        <v>608.70000000000005</v>
      </c>
      <c r="O2270" s="116">
        <v>587.25</v>
      </c>
      <c r="P2270" s="116">
        <v>593.79999999999995</v>
      </c>
      <c r="Q2270" s="116">
        <v>602.95000000000005</v>
      </c>
      <c r="R2270">
        <v>4824640</v>
      </c>
    </row>
    <row r="2271" spans="1:18" x14ac:dyDescent="0.25">
      <c r="A2271" s="170">
        <v>45348</v>
      </c>
      <c r="B2271" s="116">
        <v>615.20000000000005</v>
      </c>
      <c r="C2271" s="116">
        <v>608.85</v>
      </c>
      <c r="D2271" s="116">
        <v>603</v>
      </c>
      <c r="E2271" s="116">
        <v>606</v>
      </c>
      <c r="F2271" s="116">
        <v>608.85</v>
      </c>
      <c r="G2271">
        <v>121232</v>
      </c>
      <c r="H2271" s="116"/>
      <c r="I2271" s="116"/>
      <c r="L2271" s="170">
        <v>45348</v>
      </c>
      <c r="M2271" s="116">
        <v>608.6</v>
      </c>
      <c r="N2271" s="116">
        <v>615.25</v>
      </c>
      <c r="O2271" s="116">
        <v>602.6</v>
      </c>
      <c r="P2271" s="116">
        <v>602.95000000000005</v>
      </c>
      <c r="Q2271" s="116">
        <v>608.6</v>
      </c>
      <c r="R2271">
        <v>5715227</v>
      </c>
    </row>
    <row r="2272" spans="1:18" x14ac:dyDescent="0.25">
      <c r="A2272" s="170">
        <v>45349</v>
      </c>
      <c r="B2272" s="116">
        <v>612.5</v>
      </c>
      <c r="C2272" s="116">
        <v>603.15</v>
      </c>
      <c r="D2272" s="116">
        <v>599.29999999999995</v>
      </c>
      <c r="E2272" s="116">
        <v>608.70000000000005</v>
      </c>
      <c r="F2272" s="116">
        <v>603.15</v>
      </c>
      <c r="G2272">
        <v>122072</v>
      </c>
      <c r="H2272" s="116"/>
      <c r="I2272" s="116"/>
      <c r="L2272" s="170">
        <v>45349</v>
      </c>
      <c r="M2272" s="116">
        <v>603.35</v>
      </c>
      <c r="N2272" s="116">
        <v>612.5</v>
      </c>
      <c r="O2272" s="116">
        <v>599</v>
      </c>
      <c r="P2272" s="116">
        <v>607.95000000000005</v>
      </c>
      <c r="Q2272" s="116">
        <v>603.35</v>
      </c>
      <c r="R2272">
        <v>3604237</v>
      </c>
    </row>
    <row r="2273" spans="1:18" x14ac:dyDescent="0.25">
      <c r="A2273" s="170">
        <v>45350</v>
      </c>
      <c r="B2273" s="116">
        <v>605.9</v>
      </c>
      <c r="C2273" s="116">
        <v>589.54999999999995</v>
      </c>
      <c r="D2273" s="116">
        <v>585.25</v>
      </c>
      <c r="E2273" s="116">
        <v>603.20000000000005</v>
      </c>
      <c r="F2273" s="116">
        <v>589.54999999999995</v>
      </c>
      <c r="G2273">
        <v>103634</v>
      </c>
      <c r="H2273" s="116"/>
      <c r="I2273" s="116"/>
      <c r="L2273" s="170">
        <v>45350</v>
      </c>
      <c r="M2273" s="116">
        <v>589.25</v>
      </c>
      <c r="N2273" s="116">
        <v>606</v>
      </c>
      <c r="O2273" s="116">
        <v>585.1</v>
      </c>
      <c r="P2273" s="116">
        <v>603.9</v>
      </c>
      <c r="Q2273" s="116">
        <v>589.25</v>
      </c>
      <c r="R2273">
        <v>2831925</v>
      </c>
    </row>
    <row r="2274" spans="1:18" x14ac:dyDescent="0.25">
      <c r="A2274" s="170">
        <v>45351</v>
      </c>
      <c r="B2274" s="116">
        <v>609</v>
      </c>
      <c r="C2274" s="116">
        <v>606.54999999999995</v>
      </c>
      <c r="D2274" s="116">
        <v>583.5</v>
      </c>
      <c r="E2274" s="116">
        <v>589</v>
      </c>
      <c r="F2274" s="116">
        <v>606.54999999999995</v>
      </c>
      <c r="G2274">
        <v>172964</v>
      </c>
      <c r="H2274" s="116"/>
      <c r="I2274" s="116"/>
      <c r="L2274" s="170">
        <v>45351</v>
      </c>
      <c r="M2274" s="116">
        <v>605.9</v>
      </c>
      <c r="N2274" s="116">
        <v>609.70000000000005</v>
      </c>
      <c r="O2274" s="116">
        <v>584</v>
      </c>
      <c r="P2274" s="116">
        <v>589.25</v>
      </c>
      <c r="Q2274" s="116">
        <v>605.9</v>
      </c>
      <c r="R2274">
        <v>3263796</v>
      </c>
    </row>
    <row r="2275" spans="1:18" x14ac:dyDescent="0.25">
      <c r="A2275" s="170">
        <v>45352</v>
      </c>
      <c r="B2275" s="116">
        <v>620.25</v>
      </c>
      <c r="C2275" s="116">
        <v>617.6</v>
      </c>
      <c r="D2275" s="116">
        <v>607</v>
      </c>
      <c r="E2275" s="116">
        <v>609.85</v>
      </c>
      <c r="F2275" s="116">
        <v>617.6</v>
      </c>
      <c r="G2275">
        <v>210504</v>
      </c>
      <c r="H2275" s="116"/>
      <c r="I2275" s="116"/>
      <c r="L2275" s="170">
        <v>45352</v>
      </c>
      <c r="M2275" s="116">
        <v>617.6</v>
      </c>
      <c r="N2275" s="116">
        <v>620</v>
      </c>
      <c r="O2275" s="116">
        <v>607</v>
      </c>
      <c r="P2275" s="116">
        <v>608.1</v>
      </c>
      <c r="Q2275" s="116">
        <v>617.6</v>
      </c>
      <c r="R2275">
        <v>4011709</v>
      </c>
    </row>
    <row r="2276" spans="1:18" x14ac:dyDescent="0.25">
      <c r="A2276" s="170">
        <v>45353</v>
      </c>
      <c r="B2276" s="116">
        <v>621.20000000000005</v>
      </c>
      <c r="C2276" s="116">
        <v>618.4</v>
      </c>
      <c r="D2276" s="116">
        <v>610</v>
      </c>
      <c r="E2276" s="116">
        <v>619.85</v>
      </c>
      <c r="F2276" s="116">
        <v>618.4</v>
      </c>
      <c r="G2276">
        <v>11549</v>
      </c>
      <c r="H2276" s="116"/>
      <c r="I2276" s="116"/>
      <c r="L2276" s="170">
        <v>45353</v>
      </c>
      <c r="M2276" s="116">
        <v>617.9</v>
      </c>
      <c r="N2276" s="116">
        <v>621</v>
      </c>
      <c r="O2276" s="116">
        <v>615.35</v>
      </c>
      <c r="P2276" s="116">
        <v>619.9</v>
      </c>
      <c r="Q2276" s="116">
        <v>617.9</v>
      </c>
      <c r="R2276">
        <v>468561</v>
      </c>
    </row>
    <row r="2277" spans="1:18" x14ac:dyDescent="0.25">
      <c r="A2277" s="170">
        <v>45355</v>
      </c>
      <c r="B2277" s="116">
        <v>621.15</v>
      </c>
      <c r="C2277" s="116">
        <v>617.20000000000005</v>
      </c>
      <c r="D2277" s="116">
        <v>612.5</v>
      </c>
      <c r="E2277" s="116">
        <v>619.54999999999995</v>
      </c>
      <c r="F2277" s="116">
        <v>617.20000000000005</v>
      </c>
      <c r="G2277">
        <v>124240</v>
      </c>
      <c r="H2277" s="116"/>
      <c r="I2277" s="116"/>
      <c r="L2277" s="170">
        <v>45355</v>
      </c>
      <c r="M2277" s="116">
        <v>617.15</v>
      </c>
      <c r="N2277" s="116">
        <v>621.75</v>
      </c>
      <c r="O2277" s="116">
        <v>612.54999999999995</v>
      </c>
      <c r="P2277" s="116">
        <v>621.25</v>
      </c>
      <c r="Q2277" s="116">
        <v>617.15</v>
      </c>
      <c r="R2277">
        <v>1878206</v>
      </c>
    </row>
    <row r="2278" spans="1:18" x14ac:dyDescent="0.25">
      <c r="A2278" s="170">
        <v>45356</v>
      </c>
      <c r="B2278" s="116">
        <v>624.54999999999995</v>
      </c>
      <c r="C2278" s="116">
        <v>613.20000000000005</v>
      </c>
      <c r="D2278" s="116">
        <v>611</v>
      </c>
      <c r="E2278" s="116">
        <v>621.6</v>
      </c>
      <c r="F2278" s="116">
        <v>613.20000000000005</v>
      </c>
      <c r="G2278">
        <v>117328</v>
      </c>
      <c r="H2278" s="116"/>
      <c r="I2278" s="116"/>
      <c r="L2278" s="170">
        <v>45356</v>
      </c>
      <c r="M2278" s="116">
        <v>613.1</v>
      </c>
      <c r="N2278" s="116">
        <v>625</v>
      </c>
      <c r="O2278" s="116">
        <v>610.79999999999995</v>
      </c>
      <c r="P2278" s="116">
        <v>625</v>
      </c>
      <c r="Q2278" s="116">
        <v>613.1</v>
      </c>
      <c r="R2278">
        <v>2430074</v>
      </c>
    </row>
    <row r="2279" spans="1:18" x14ac:dyDescent="0.25">
      <c r="A2279" s="170">
        <v>45357</v>
      </c>
      <c r="B2279" s="116">
        <v>613.20000000000005</v>
      </c>
      <c r="C2279" s="116">
        <v>598</v>
      </c>
      <c r="D2279" s="116">
        <v>595.75</v>
      </c>
      <c r="E2279" s="116">
        <v>612.15</v>
      </c>
      <c r="F2279" s="116">
        <v>598</v>
      </c>
      <c r="G2279">
        <v>161124</v>
      </c>
      <c r="H2279" s="116"/>
      <c r="I2279" s="116"/>
      <c r="L2279" s="170">
        <v>45357</v>
      </c>
      <c r="M2279" s="116">
        <v>598.29999999999995</v>
      </c>
      <c r="N2279" s="116">
        <v>613.65</v>
      </c>
      <c r="O2279" s="116">
        <v>595.5</v>
      </c>
      <c r="P2279" s="116">
        <v>612.95000000000005</v>
      </c>
      <c r="Q2279" s="116">
        <v>598.29999999999995</v>
      </c>
      <c r="R2279">
        <v>4127035</v>
      </c>
    </row>
    <row r="2280" spans="1:18" x14ac:dyDescent="0.25">
      <c r="A2280" s="170">
        <v>45358</v>
      </c>
      <c r="B2280" s="116">
        <v>606.5</v>
      </c>
      <c r="C2280" s="116">
        <v>603.29999999999995</v>
      </c>
      <c r="D2280" s="116">
        <v>596.79999999999995</v>
      </c>
      <c r="E2280" s="116">
        <v>598</v>
      </c>
      <c r="F2280" s="116">
        <v>603.29999999999995</v>
      </c>
      <c r="G2280">
        <v>56532</v>
      </c>
      <c r="H2280" s="116"/>
      <c r="I2280" s="116"/>
      <c r="L2280" s="170">
        <v>45358</v>
      </c>
      <c r="M2280" s="116">
        <v>603.15</v>
      </c>
      <c r="N2280" s="116">
        <v>606.6</v>
      </c>
      <c r="O2280" s="116">
        <v>596.5</v>
      </c>
      <c r="P2280" s="116">
        <v>598.29999999999995</v>
      </c>
      <c r="Q2280" s="116">
        <v>603.15</v>
      </c>
      <c r="R2280">
        <v>2393414</v>
      </c>
    </row>
    <row r="2281" spans="1:18" x14ac:dyDescent="0.25">
      <c r="A2281" s="170">
        <v>45362</v>
      </c>
      <c r="B2281" s="116">
        <v>612.5</v>
      </c>
      <c r="C2281" s="116">
        <v>602.20000000000005</v>
      </c>
      <c r="D2281" s="116">
        <v>600.04999999999995</v>
      </c>
      <c r="E2281" s="116">
        <v>603.75</v>
      </c>
      <c r="F2281" s="116">
        <v>602.20000000000005</v>
      </c>
      <c r="G2281">
        <v>149751</v>
      </c>
      <c r="H2281" s="116"/>
      <c r="I2281" s="116"/>
      <c r="L2281" s="170">
        <v>45362</v>
      </c>
      <c r="M2281" s="116">
        <v>602.04999999999995</v>
      </c>
      <c r="N2281" s="116">
        <v>612.4</v>
      </c>
      <c r="O2281" s="116">
        <v>600.20000000000005</v>
      </c>
      <c r="P2281" s="116">
        <v>604.9</v>
      </c>
      <c r="Q2281" s="116">
        <v>602.04999999999995</v>
      </c>
      <c r="R2281">
        <v>2547145</v>
      </c>
    </row>
    <row r="2282" spans="1:18" x14ac:dyDescent="0.25">
      <c r="A2282" s="170">
        <v>45363</v>
      </c>
      <c r="B2282" s="116">
        <v>605.1</v>
      </c>
      <c r="C2282" s="116">
        <v>586.65</v>
      </c>
      <c r="D2282" s="116">
        <v>584</v>
      </c>
      <c r="E2282" s="116">
        <v>603.45000000000005</v>
      </c>
      <c r="F2282" s="116">
        <v>586.65</v>
      </c>
      <c r="G2282">
        <v>111313</v>
      </c>
      <c r="H2282" s="116"/>
      <c r="I2282" s="116"/>
      <c r="L2282" s="170">
        <v>45363</v>
      </c>
      <c r="M2282" s="116">
        <v>587.54999999999995</v>
      </c>
      <c r="N2282" s="116">
        <v>605.9</v>
      </c>
      <c r="O2282" s="116">
        <v>584.04999999999995</v>
      </c>
      <c r="P2282" s="116">
        <v>605</v>
      </c>
      <c r="Q2282" s="116">
        <v>587.54999999999995</v>
      </c>
      <c r="R2282">
        <v>2900178</v>
      </c>
    </row>
    <row r="2283" spans="1:18" x14ac:dyDescent="0.25">
      <c r="A2283" s="170">
        <v>45364</v>
      </c>
      <c r="B2283" s="116">
        <v>590.5</v>
      </c>
      <c r="C2283" s="116">
        <v>559.79999999999995</v>
      </c>
      <c r="D2283" s="116">
        <v>551.04999999999995</v>
      </c>
      <c r="E2283" s="116">
        <v>587.15</v>
      </c>
      <c r="F2283" s="116">
        <v>559.79999999999995</v>
      </c>
      <c r="G2283">
        <v>148915</v>
      </c>
      <c r="H2283" s="116"/>
      <c r="I2283" s="116"/>
      <c r="L2283" s="170">
        <v>45364</v>
      </c>
      <c r="M2283" s="116">
        <v>559.25</v>
      </c>
      <c r="N2283" s="116">
        <v>590.35</v>
      </c>
      <c r="O2283" s="116">
        <v>550.79999999999995</v>
      </c>
      <c r="P2283" s="116">
        <v>589.35</v>
      </c>
      <c r="Q2283" s="116">
        <v>559.25</v>
      </c>
      <c r="R2283">
        <v>5946259</v>
      </c>
    </row>
    <row r="2284" spans="1:18" x14ac:dyDescent="0.25">
      <c r="A2284" s="170">
        <v>45365</v>
      </c>
      <c r="B2284" s="116">
        <v>584.79999999999995</v>
      </c>
      <c r="C2284" s="116">
        <v>582.4</v>
      </c>
      <c r="D2284" s="116">
        <v>551.5</v>
      </c>
      <c r="E2284" s="116">
        <v>552.65</v>
      </c>
      <c r="F2284" s="116">
        <v>582.4</v>
      </c>
      <c r="G2284">
        <v>119571</v>
      </c>
      <c r="H2284" s="116"/>
      <c r="I2284" s="116"/>
      <c r="L2284" s="170">
        <v>45365</v>
      </c>
      <c r="M2284" s="116">
        <v>582.45000000000005</v>
      </c>
      <c r="N2284" s="116">
        <v>584.70000000000005</v>
      </c>
      <c r="O2284" s="116">
        <v>551.70000000000005</v>
      </c>
      <c r="P2284" s="116">
        <v>555.5</v>
      </c>
      <c r="Q2284" s="116">
        <v>582.45000000000005</v>
      </c>
      <c r="R2284">
        <v>3200499</v>
      </c>
    </row>
    <row r="2285" spans="1:18" x14ac:dyDescent="0.25">
      <c r="A2285" s="170">
        <v>45366</v>
      </c>
      <c r="B2285" s="116">
        <v>604</v>
      </c>
      <c r="C2285" s="116">
        <v>601.25</v>
      </c>
      <c r="D2285" s="116">
        <v>575.95000000000005</v>
      </c>
      <c r="E2285" s="116">
        <v>584.54999999999995</v>
      </c>
      <c r="F2285" s="116">
        <v>601.25</v>
      </c>
      <c r="G2285">
        <v>128417</v>
      </c>
      <c r="H2285" s="116"/>
      <c r="I2285" s="116"/>
      <c r="L2285" s="170">
        <v>45366</v>
      </c>
      <c r="M2285" s="116">
        <v>600.75</v>
      </c>
      <c r="N2285" s="116">
        <v>603.85</v>
      </c>
      <c r="O2285" s="116">
        <v>575.85</v>
      </c>
      <c r="P2285" s="116">
        <v>583.79999999999995</v>
      </c>
      <c r="Q2285" s="116">
        <v>600.75</v>
      </c>
      <c r="R2285">
        <v>3693325</v>
      </c>
    </row>
    <row r="2286" spans="1:18" x14ac:dyDescent="0.25">
      <c r="A2286" s="170">
        <v>45369</v>
      </c>
      <c r="B2286" s="116">
        <v>592.65</v>
      </c>
      <c r="C2286" s="116">
        <v>584.35</v>
      </c>
      <c r="D2286" s="116">
        <v>582.29999999999995</v>
      </c>
      <c r="E2286" s="116">
        <v>592.65</v>
      </c>
      <c r="F2286" s="116">
        <v>584.35</v>
      </c>
      <c r="G2286">
        <v>217294</v>
      </c>
      <c r="H2286" s="116"/>
      <c r="I2286" s="116"/>
      <c r="L2286" s="170">
        <v>45369</v>
      </c>
      <c r="M2286" s="116">
        <v>584.65</v>
      </c>
      <c r="N2286" s="116">
        <v>595</v>
      </c>
      <c r="O2286" s="116">
        <v>582.20000000000005</v>
      </c>
      <c r="P2286" s="116">
        <v>595</v>
      </c>
      <c r="Q2286" s="116">
        <v>584.65</v>
      </c>
      <c r="R2286">
        <v>6348109</v>
      </c>
    </row>
    <row r="2287" spans="1:18" x14ac:dyDescent="0.25">
      <c r="A2287" s="170">
        <v>45370</v>
      </c>
      <c r="B2287" s="116">
        <v>588.54999999999995</v>
      </c>
      <c r="C2287" s="116">
        <v>580.04999999999995</v>
      </c>
      <c r="D2287" s="116">
        <v>572.95000000000005</v>
      </c>
      <c r="E2287" s="116">
        <v>580.95000000000005</v>
      </c>
      <c r="F2287" s="116">
        <v>580.04999999999995</v>
      </c>
      <c r="G2287">
        <v>45741</v>
      </c>
      <c r="H2287" s="116"/>
      <c r="I2287" s="116"/>
      <c r="L2287" s="170">
        <v>45370</v>
      </c>
      <c r="M2287" s="116">
        <v>580.29999999999995</v>
      </c>
      <c r="N2287" s="116">
        <v>588.6</v>
      </c>
      <c r="O2287" s="116">
        <v>572.54999999999995</v>
      </c>
      <c r="P2287" s="116">
        <v>582</v>
      </c>
      <c r="Q2287" s="116">
        <v>580.29999999999995</v>
      </c>
      <c r="R2287">
        <v>2021483</v>
      </c>
    </row>
    <row r="2288" spans="1:18" x14ac:dyDescent="0.25">
      <c r="A2288" s="170">
        <v>45371</v>
      </c>
      <c r="B2288" s="116">
        <v>586.95000000000005</v>
      </c>
      <c r="C2288" s="116">
        <v>576.75</v>
      </c>
      <c r="D2288" s="116">
        <v>566.65</v>
      </c>
      <c r="E2288" s="116">
        <v>583.75</v>
      </c>
      <c r="F2288" s="116">
        <v>576.75</v>
      </c>
      <c r="G2288">
        <v>71194</v>
      </c>
      <c r="H2288" s="116"/>
      <c r="I2288" s="116"/>
      <c r="L2288" s="170">
        <v>45371</v>
      </c>
      <c r="M2288" s="116">
        <v>576.35</v>
      </c>
      <c r="N2288" s="116">
        <v>587.5</v>
      </c>
      <c r="O2288" s="116">
        <v>566.6</v>
      </c>
      <c r="P2288" s="116">
        <v>581.35</v>
      </c>
      <c r="Q2288" s="116">
        <v>576.35</v>
      </c>
      <c r="R2288">
        <v>1678012</v>
      </c>
    </row>
    <row r="2289" spans="1:18" x14ac:dyDescent="0.25">
      <c r="A2289" s="170">
        <v>45372</v>
      </c>
      <c r="B2289" s="116">
        <v>590.79999999999995</v>
      </c>
      <c r="C2289" s="116">
        <v>587.04999999999995</v>
      </c>
      <c r="D2289" s="116">
        <v>578.54999999999995</v>
      </c>
      <c r="E2289" s="116">
        <v>578.54999999999995</v>
      </c>
      <c r="F2289" s="116">
        <v>587.04999999999995</v>
      </c>
      <c r="G2289">
        <v>74855</v>
      </c>
      <c r="H2289" s="116"/>
      <c r="I2289" s="116"/>
      <c r="L2289" s="170">
        <v>45372</v>
      </c>
      <c r="M2289" s="116">
        <v>587.20000000000005</v>
      </c>
      <c r="N2289" s="116">
        <v>590.9</v>
      </c>
      <c r="O2289" s="116">
        <v>580</v>
      </c>
      <c r="P2289" s="116">
        <v>580</v>
      </c>
      <c r="Q2289" s="116">
        <v>587.20000000000005</v>
      </c>
      <c r="R2289">
        <v>1977799</v>
      </c>
    </row>
    <row r="2290" spans="1:18" x14ac:dyDescent="0.25">
      <c r="A2290" s="170">
        <v>45373</v>
      </c>
      <c r="B2290" s="116">
        <v>594.70000000000005</v>
      </c>
      <c r="C2290" s="116">
        <v>589.15</v>
      </c>
      <c r="D2290" s="116">
        <v>581.54999999999995</v>
      </c>
      <c r="E2290" s="116">
        <v>590.54999999999995</v>
      </c>
      <c r="F2290" s="116">
        <v>589.15</v>
      </c>
      <c r="G2290">
        <v>34901</v>
      </c>
      <c r="H2290" s="116"/>
      <c r="I2290" s="116"/>
      <c r="L2290" s="170">
        <v>45373</v>
      </c>
      <c r="M2290" s="116">
        <v>589.35</v>
      </c>
      <c r="N2290" s="116">
        <v>594.70000000000005</v>
      </c>
      <c r="O2290" s="116">
        <v>581.54999999999995</v>
      </c>
      <c r="P2290" s="116">
        <v>588</v>
      </c>
      <c r="Q2290" s="116">
        <v>589.35</v>
      </c>
      <c r="R2290">
        <v>1818091</v>
      </c>
    </row>
    <row r="2291" spans="1:18" x14ac:dyDescent="0.25">
      <c r="A2291" s="170">
        <v>45377</v>
      </c>
      <c r="B2291" s="116">
        <v>600</v>
      </c>
      <c r="C2291" s="116">
        <v>595.15</v>
      </c>
      <c r="D2291" s="116">
        <v>586.79999999999995</v>
      </c>
      <c r="E2291" s="116">
        <v>589.15</v>
      </c>
      <c r="F2291" s="116">
        <v>595.15</v>
      </c>
      <c r="G2291">
        <v>54934</v>
      </c>
      <c r="H2291" s="116"/>
      <c r="I2291" s="116"/>
      <c r="L2291" s="170">
        <v>45377</v>
      </c>
      <c r="M2291" s="116">
        <v>595.04999999999995</v>
      </c>
      <c r="N2291" s="116">
        <v>600.4</v>
      </c>
      <c r="O2291" s="116">
        <v>586.5</v>
      </c>
      <c r="P2291" s="116">
        <v>589.35</v>
      </c>
      <c r="Q2291" s="116">
        <v>595.04999999999995</v>
      </c>
      <c r="R2291">
        <v>2175165</v>
      </c>
    </row>
    <row r="2292" spans="1:18" x14ac:dyDescent="0.25">
      <c r="A2292" s="170">
        <v>45378</v>
      </c>
      <c r="B2292" s="116">
        <v>610.25</v>
      </c>
      <c r="C2292" s="116">
        <v>601.70000000000005</v>
      </c>
      <c r="D2292" s="116">
        <v>595.20000000000005</v>
      </c>
      <c r="E2292" s="116">
        <v>595.20000000000005</v>
      </c>
      <c r="F2292" s="116">
        <v>601.70000000000005</v>
      </c>
      <c r="G2292">
        <v>132364</v>
      </c>
      <c r="H2292" s="116"/>
      <c r="I2292" s="116"/>
      <c r="L2292" s="170">
        <v>45378</v>
      </c>
      <c r="M2292" s="116">
        <v>601.5</v>
      </c>
      <c r="N2292" s="116">
        <v>610</v>
      </c>
      <c r="O2292" s="116">
        <v>596.95000000000005</v>
      </c>
      <c r="P2292" s="116">
        <v>598</v>
      </c>
      <c r="Q2292" s="116">
        <v>601.5</v>
      </c>
      <c r="R2292">
        <v>5070366</v>
      </c>
    </row>
    <row r="2293" spans="1:18" x14ac:dyDescent="0.25">
      <c r="A2293" s="170">
        <v>45379</v>
      </c>
      <c r="B2293" s="116">
        <v>617</v>
      </c>
      <c r="C2293" s="116">
        <v>612.29999999999995</v>
      </c>
      <c r="D2293" s="116">
        <v>602.29999999999995</v>
      </c>
      <c r="E2293" s="116">
        <v>608.45000000000005</v>
      </c>
      <c r="F2293" s="116">
        <v>612.29999999999995</v>
      </c>
      <c r="G2293">
        <v>249246</v>
      </c>
      <c r="H2293" s="116"/>
      <c r="I2293" s="116"/>
      <c r="L2293" s="170">
        <v>45379</v>
      </c>
      <c r="M2293" s="116">
        <v>612.35</v>
      </c>
      <c r="N2293" s="116">
        <v>617</v>
      </c>
      <c r="O2293" s="116">
        <v>602.25</v>
      </c>
      <c r="P2293" s="116">
        <v>607.5</v>
      </c>
      <c r="Q2293" s="116">
        <v>612.35</v>
      </c>
      <c r="R2293">
        <v>3861492</v>
      </c>
    </row>
    <row r="2294" spans="1:18" x14ac:dyDescent="0.25">
      <c r="A2294" s="170">
        <v>45383</v>
      </c>
      <c r="B2294" s="116">
        <v>626.70000000000005</v>
      </c>
      <c r="C2294" s="116">
        <v>621.45000000000005</v>
      </c>
      <c r="D2294" s="116">
        <v>613.70000000000005</v>
      </c>
      <c r="E2294" s="116">
        <v>620.15</v>
      </c>
      <c r="F2294" s="116">
        <v>621.45000000000005</v>
      </c>
      <c r="G2294">
        <v>103861</v>
      </c>
      <c r="H2294" s="116"/>
      <c r="I2294" s="116"/>
      <c r="L2294" s="170">
        <v>45383</v>
      </c>
      <c r="M2294" s="116">
        <v>621.5</v>
      </c>
      <c r="N2294" s="116">
        <v>626.65</v>
      </c>
      <c r="O2294" s="116">
        <v>613.29999999999995</v>
      </c>
      <c r="P2294" s="116">
        <v>619.4</v>
      </c>
      <c r="Q2294" s="116">
        <v>621.5</v>
      </c>
      <c r="R2294">
        <v>3976554</v>
      </c>
    </row>
    <row r="2295" spans="1:18" x14ac:dyDescent="0.25">
      <c r="A2295" s="170">
        <v>45384</v>
      </c>
      <c r="B2295" s="116">
        <v>637.4</v>
      </c>
      <c r="C2295" s="116">
        <v>634.45000000000005</v>
      </c>
      <c r="D2295" s="116">
        <v>619.70000000000005</v>
      </c>
      <c r="E2295" s="116">
        <v>622.70000000000005</v>
      </c>
      <c r="F2295" s="116">
        <v>634.45000000000005</v>
      </c>
      <c r="G2295">
        <v>129460</v>
      </c>
      <c r="H2295" s="116"/>
      <c r="I2295" s="116"/>
      <c r="L2295" s="170">
        <v>45384</v>
      </c>
      <c r="M2295" s="116">
        <v>634.70000000000005</v>
      </c>
      <c r="N2295" s="116">
        <v>637.1</v>
      </c>
      <c r="O2295" s="116">
        <v>619.65</v>
      </c>
      <c r="P2295" s="116">
        <v>622</v>
      </c>
      <c r="Q2295" s="116">
        <v>634.70000000000005</v>
      </c>
      <c r="R2295">
        <v>4503263</v>
      </c>
    </row>
    <row r="2296" spans="1:18" x14ac:dyDescent="0.25">
      <c r="A2296" s="170">
        <v>45385</v>
      </c>
      <c r="B2296" s="116">
        <v>640.25</v>
      </c>
      <c r="C2296" s="116">
        <v>635</v>
      </c>
      <c r="D2296" s="116">
        <v>627</v>
      </c>
      <c r="E2296" s="116">
        <v>634.4</v>
      </c>
      <c r="F2296" s="116">
        <v>635</v>
      </c>
      <c r="G2296">
        <v>116943</v>
      </c>
      <c r="H2296" s="116"/>
      <c r="I2296" s="116"/>
      <c r="L2296" s="170">
        <v>45385</v>
      </c>
      <c r="M2296" s="116">
        <v>634.95000000000005</v>
      </c>
      <c r="N2296" s="116">
        <v>640.29999999999995</v>
      </c>
      <c r="O2296" s="116">
        <v>626.5</v>
      </c>
      <c r="P2296" s="116">
        <v>632</v>
      </c>
      <c r="Q2296" s="116">
        <v>634.95000000000005</v>
      </c>
      <c r="R2296">
        <v>4389047</v>
      </c>
    </row>
    <row r="2297" spans="1:18" x14ac:dyDescent="0.25">
      <c r="A2297" s="170">
        <v>45386</v>
      </c>
      <c r="B2297" s="116">
        <v>640.95000000000005</v>
      </c>
      <c r="C2297" s="116">
        <v>624.15</v>
      </c>
      <c r="D2297" s="116">
        <v>622.85</v>
      </c>
      <c r="E2297" s="116">
        <v>640.95000000000005</v>
      </c>
      <c r="F2297" s="116">
        <v>624.15</v>
      </c>
      <c r="G2297">
        <v>124107</v>
      </c>
      <c r="H2297" s="116"/>
      <c r="I2297" s="116"/>
      <c r="L2297" s="170">
        <v>45386</v>
      </c>
      <c r="M2297" s="116">
        <v>624.70000000000005</v>
      </c>
      <c r="N2297" s="116">
        <v>640.79999999999995</v>
      </c>
      <c r="O2297" s="116">
        <v>623.6</v>
      </c>
      <c r="P2297" s="116">
        <v>640</v>
      </c>
      <c r="Q2297" s="116">
        <v>624.70000000000005</v>
      </c>
      <c r="R2297">
        <v>2100754</v>
      </c>
    </row>
    <row r="2298" spans="1:18" x14ac:dyDescent="0.25">
      <c r="A2298" s="170">
        <v>45387</v>
      </c>
      <c r="B2298" s="116">
        <v>633</v>
      </c>
      <c r="C2298" s="116">
        <v>627.35</v>
      </c>
      <c r="D2298" s="116">
        <v>618.6</v>
      </c>
      <c r="E2298" s="116">
        <v>628.15</v>
      </c>
      <c r="F2298" s="116">
        <v>627.35</v>
      </c>
      <c r="G2298">
        <v>75998</v>
      </c>
      <c r="H2298" s="116"/>
      <c r="I2298" s="116"/>
      <c r="L2298" s="170">
        <v>45387</v>
      </c>
      <c r="M2298" s="116">
        <v>627.20000000000005</v>
      </c>
      <c r="N2298" s="116">
        <v>633.25</v>
      </c>
      <c r="O2298" s="116">
        <v>618.20000000000005</v>
      </c>
      <c r="P2298" s="116">
        <v>624.75</v>
      </c>
      <c r="Q2298" s="116">
        <v>627.20000000000005</v>
      </c>
      <c r="R2298">
        <v>2386291</v>
      </c>
    </row>
    <row r="2299" spans="1:18" x14ac:dyDescent="0.25">
      <c r="A2299" s="170">
        <v>45390</v>
      </c>
      <c r="B2299" s="116">
        <v>634.6</v>
      </c>
      <c r="C2299" s="116">
        <v>630.29999999999995</v>
      </c>
      <c r="D2299" s="116">
        <v>622.04999999999995</v>
      </c>
      <c r="E2299" s="116">
        <v>627</v>
      </c>
      <c r="F2299" s="116">
        <v>630.29999999999995</v>
      </c>
      <c r="G2299">
        <v>99149</v>
      </c>
      <c r="H2299" s="116"/>
      <c r="I2299" s="116"/>
      <c r="L2299" s="170">
        <v>45390</v>
      </c>
      <c r="M2299" s="116">
        <v>630.54999999999995</v>
      </c>
      <c r="N2299" s="116">
        <v>634.5</v>
      </c>
      <c r="O2299" s="116">
        <v>622.1</v>
      </c>
      <c r="P2299" s="116">
        <v>627.20000000000005</v>
      </c>
      <c r="Q2299" s="116">
        <v>630.54999999999995</v>
      </c>
      <c r="R2299">
        <v>2965491</v>
      </c>
    </row>
    <row r="2300" spans="1:18" x14ac:dyDescent="0.25">
      <c r="A2300" s="170">
        <v>45391</v>
      </c>
      <c r="B2300" s="116">
        <v>633.70000000000005</v>
      </c>
      <c r="C2300" s="116">
        <v>623.29999999999995</v>
      </c>
      <c r="D2300" s="116">
        <v>618.70000000000005</v>
      </c>
      <c r="E2300" s="116">
        <v>630.70000000000005</v>
      </c>
      <c r="F2300" s="116">
        <v>623.29999999999995</v>
      </c>
      <c r="G2300">
        <v>65887</v>
      </c>
      <c r="H2300" s="116"/>
      <c r="I2300" s="116"/>
      <c r="L2300" s="170">
        <v>45391</v>
      </c>
      <c r="M2300" s="116">
        <v>623.1</v>
      </c>
      <c r="N2300" s="116">
        <v>633.95000000000005</v>
      </c>
      <c r="O2300" s="116">
        <v>618.54999999999995</v>
      </c>
      <c r="P2300" s="116">
        <v>631.4</v>
      </c>
      <c r="Q2300" s="116">
        <v>623.1</v>
      </c>
      <c r="R2300">
        <v>2431726</v>
      </c>
    </row>
    <row r="2301" spans="1:18" x14ac:dyDescent="0.25">
      <c r="A2301" s="170">
        <v>45392</v>
      </c>
      <c r="B2301" s="116">
        <v>628.6</v>
      </c>
      <c r="C2301" s="116">
        <v>625.54999999999995</v>
      </c>
      <c r="D2301" s="116">
        <v>620.1</v>
      </c>
      <c r="E2301" s="116">
        <v>621.20000000000005</v>
      </c>
      <c r="F2301" s="116">
        <v>625.54999999999995</v>
      </c>
      <c r="G2301">
        <v>68766</v>
      </c>
      <c r="H2301" s="116"/>
      <c r="I2301" s="116"/>
      <c r="L2301" s="170">
        <v>45392</v>
      </c>
      <c r="M2301" s="116">
        <v>625.65</v>
      </c>
      <c r="N2301" s="116">
        <v>628.75</v>
      </c>
      <c r="O2301" s="116">
        <v>620.4</v>
      </c>
      <c r="P2301" s="116">
        <v>620.4</v>
      </c>
      <c r="Q2301" s="116">
        <v>625.65</v>
      </c>
      <c r="R2301">
        <v>1293786</v>
      </c>
    </row>
    <row r="2302" spans="1:18" x14ac:dyDescent="0.25">
      <c r="A2302" s="170">
        <v>45394</v>
      </c>
      <c r="B2302" s="116">
        <v>629.95000000000005</v>
      </c>
      <c r="C2302" s="116">
        <v>609.65</v>
      </c>
      <c r="D2302" s="116">
        <v>606</v>
      </c>
      <c r="E2302" s="116">
        <v>621.75</v>
      </c>
      <c r="F2302" s="116">
        <v>609.65</v>
      </c>
      <c r="G2302">
        <v>79654</v>
      </c>
      <c r="H2302" s="116"/>
      <c r="I2302" s="116"/>
      <c r="L2302" s="170">
        <v>45394</v>
      </c>
      <c r="M2302" s="116">
        <v>608.85</v>
      </c>
      <c r="N2302" s="116">
        <v>630.29999999999995</v>
      </c>
      <c r="O2302" s="116">
        <v>605.6</v>
      </c>
      <c r="P2302" s="116">
        <v>623.5</v>
      </c>
      <c r="Q2302" s="116">
        <v>608.85</v>
      </c>
      <c r="R2302">
        <v>4161320</v>
      </c>
    </row>
    <row r="2303" spans="1:18" x14ac:dyDescent="0.25">
      <c r="A2303" s="170">
        <v>45397</v>
      </c>
      <c r="B2303" s="116">
        <v>615.29999999999995</v>
      </c>
      <c r="C2303" s="116">
        <v>606.79999999999995</v>
      </c>
      <c r="D2303" s="116">
        <v>593.20000000000005</v>
      </c>
      <c r="E2303" s="116">
        <v>597.54999999999995</v>
      </c>
      <c r="F2303" s="116">
        <v>606.79999999999995</v>
      </c>
      <c r="G2303">
        <v>186268</v>
      </c>
      <c r="H2303" s="116"/>
      <c r="I2303" s="116"/>
      <c r="L2303" s="170">
        <v>45397</v>
      </c>
      <c r="M2303" s="116">
        <v>606.85</v>
      </c>
      <c r="N2303" s="116">
        <v>615.6</v>
      </c>
      <c r="O2303" s="116">
        <v>593.45000000000005</v>
      </c>
      <c r="P2303" s="116">
        <v>600</v>
      </c>
      <c r="Q2303" s="116">
        <v>606.85</v>
      </c>
      <c r="R2303">
        <v>2647237</v>
      </c>
    </row>
    <row r="2304" spans="1:18" x14ac:dyDescent="0.25">
      <c r="A2304" s="170">
        <v>45398</v>
      </c>
      <c r="B2304" s="116">
        <v>622.9</v>
      </c>
      <c r="C2304" s="116">
        <v>617</v>
      </c>
      <c r="D2304" s="116">
        <v>601.35</v>
      </c>
      <c r="E2304" s="116">
        <v>605.65</v>
      </c>
      <c r="F2304" s="116">
        <v>617</v>
      </c>
      <c r="G2304">
        <v>98727</v>
      </c>
      <c r="H2304" s="116"/>
      <c r="I2304" s="116"/>
      <c r="L2304" s="170">
        <v>45398</v>
      </c>
      <c r="M2304" s="116">
        <v>617.54999999999995</v>
      </c>
      <c r="N2304" s="116">
        <v>622</v>
      </c>
      <c r="O2304" s="116">
        <v>601.25</v>
      </c>
      <c r="P2304" s="116">
        <v>604.95000000000005</v>
      </c>
      <c r="Q2304" s="116">
        <v>617.54999999999995</v>
      </c>
      <c r="R2304">
        <v>1983635</v>
      </c>
    </row>
    <row r="2305" spans="1:18" x14ac:dyDescent="0.25">
      <c r="A2305" s="170">
        <v>45400</v>
      </c>
      <c r="B2305" s="116">
        <v>640.95000000000005</v>
      </c>
      <c r="C2305" s="116">
        <v>616.29999999999995</v>
      </c>
      <c r="D2305" s="116">
        <v>611.5</v>
      </c>
      <c r="E2305" s="116">
        <v>640.95000000000005</v>
      </c>
      <c r="F2305" s="116">
        <v>616.29999999999995</v>
      </c>
      <c r="G2305">
        <v>295917</v>
      </c>
      <c r="H2305" s="116"/>
      <c r="I2305" s="116"/>
      <c r="L2305" s="170">
        <v>45400</v>
      </c>
      <c r="M2305" s="116">
        <v>615.25</v>
      </c>
      <c r="N2305" s="116">
        <v>637.79999999999995</v>
      </c>
      <c r="O2305" s="116">
        <v>611</v>
      </c>
      <c r="P2305" s="116">
        <v>637.79999999999995</v>
      </c>
      <c r="Q2305" s="116">
        <v>615.25</v>
      </c>
      <c r="R2305">
        <v>4944023</v>
      </c>
    </row>
    <row r="2306" spans="1:18" x14ac:dyDescent="0.25">
      <c r="A2306" s="170">
        <v>45401</v>
      </c>
      <c r="B2306" s="116">
        <v>614.25</v>
      </c>
      <c r="C2306" s="116">
        <v>609.45000000000005</v>
      </c>
      <c r="D2306" s="116">
        <v>601</v>
      </c>
      <c r="E2306" s="116">
        <v>612</v>
      </c>
      <c r="F2306" s="116">
        <v>609.45000000000005</v>
      </c>
      <c r="G2306">
        <v>157473</v>
      </c>
      <c r="H2306" s="116"/>
      <c r="I2306" s="116"/>
      <c r="L2306" s="170">
        <v>45401</v>
      </c>
      <c r="M2306" s="116">
        <v>609.65</v>
      </c>
      <c r="N2306" s="116">
        <v>614.15</v>
      </c>
      <c r="O2306" s="116">
        <v>601.04999999999995</v>
      </c>
      <c r="P2306" s="116">
        <v>612</v>
      </c>
      <c r="Q2306" s="116">
        <v>609.65</v>
      </c>
      <c r="R2306">
        <v>2001911</v>
      </c>
    </row>
    <row r="2307" spans="1:18" x14ac:dyDescent="0.25">
      <c r="A2307" s="170">
        <v>45404</v>
      </c>
      <c r="B2307" s="116">
        <v>620.70000000000005</v>
      </c>
      <c r="C2307" s="116">
        <v>616.35</v>
      </c>
      <c r="D2307" s="116">
        <v>613.6</v>
      </c>
      <c r="E2307" s="116">
        <v>619.65</v>
      </c>
      <c r="F2307" s="116">
        <v>616.35</v>
      </c>
      <c r="G2307">
        <v>39775</v>
      </c>
      <c r="H2307" s="116"/>
      <c r="I2307" s="116"/>
      <c r="L2307" s="170">
        <v>45404</v>
      </c>
      <c r="M2307" s="116">
        <v>616.29999999999995</v>
      </c>
      <c r="N2307" s="116">
        <v>621.1</v>
      </c>
      <c r="O2307" s="116">
        <v>613.1</v>
      </c>
      <c r="P2307" s="116">
        <v>616</v>
      </c>
      <c r="Q2307" s="116">
        <v>616.29999999999995</v>
      </c>
      <c r="R2307">
        <v>1566507</v>
      </c>
    </row>
    <row r="2308" spans="1:18" x14ac:dyDescent="0.25">
      <c r="A2308" s="170">
        <v>45405</v>
      </c>
      <c r="B2308" s="116">
        <v>639.25</v>
      </c>
      <c r="C2308" s="116">
        <v>636.45000000000005</v>
      </c>
      <c r="D2308" s="116">
        <v>620</v>
      </c>
      <c r="E2308" s="116">
        <v>620.35</v>
      </c>
      <c r="F2308" s="116">
        <v>636.45000000000005</v>
      </c>
      <c r="G2308">
        <v>241190</v>
      </c>
      <c r="H2308" s="116"/>
      <c r="I2308" s="116"/>
      <c r="L2308" s="170">
        <v>45405</v>
      </c>
      <c r="M2308" s="116">
        <v>636.54999999999995</v>
      </c>
      <c r="N2308" s="116">
        <v>639</v>
      </c>
      <c r="O2308" s="116">
        <v>618.75</v>
      </c>
      <c r="P2308" s="116">
        <v>621.25</v>
      </c>
      <c r="Q2308" s="116">
        <v>636.54999999999995</v>
      </c>
      <c r="R2308">
        <v>3751042</v>
      </c>
    </row>
    <row r="2309" spans="1:18" x14ac:dyDescent="0.25">
      <c r="A2309" s="170">
        <v>45406</v>
      </c>
      <c r="B2309" s="116">
        <v>646.85</v>
      </c>
      <c r="C2309" s="116">
        <v>644.15</v>
      </c>
      <c r="D2309" s="116">
        <v>635.35</v>
      </c>
      <c r="E2309" s="116">
        <v>644.5</v>
      </c>
      <c r="F2309" s="116">
        <v>644.15</v>
      </c>
      <c r="G2309">
        <v>144366</v>
      </c>
      <c r="H2309" s="116"/>
      <c r="I2309" s="116"/>
      <c r="L2309" s="170">
        <v>45406</v>
      </c>
      <c r="M2309" s="116">
        <v>644.45000000000005</v>
      </c>
      <c r="N2309" s="116">
        <v>646.79999999999995</v>
      </c>
      <c r="O2309" s="116">
        <v>635.1</v>
      </c>
      <c r="P2309" s="116">
        <v>641</v>
      </c>
      <c r="Q2309" s="116">
        <v>644.45000000000005</v>
      </c>
      <c r="R2309">
        <v>4701815</v>
      </c>
    </row>
    <row r="2310" spans="1:18" x14ac:dyDescent="0.25">
      <c r="A2310" s="170">
        <v>45407</v>
      </c>
      <c r="B2310" s="116">
        <v>649</v>
      </c>
      <c r="C2310" s="116">
        <v>638.4</v>
      </c>
      <c r="D2310" s="116">
        <v>629.04999999999995</v>
      </c>
      <c r="E2310" s="116">
        <v>645.70000000000005</v>
      </c>
      <c r="F2310" s="116">
        <v>638.4</v>
      </c>
      <c r="G2310">
        <v>128668</v>
      </c>
      <c r="H2310" s="116"/>
      <c r="I2310" s="116"/>
      <c r="L2310" s="170">
        <v>45407</v>
      </c>
      <c r="M2310" s="116">
        <v>638.35</v>
      </c>
      <c r="N2310" s="116">
        <v>649</v>
      </c>
      <c r="O2310" s="116">
        <v>629.20000000000005</v>
      </c>
      <c r="P2310" s="116">
        <v>644</v>
      </c>
      <c r="Q2310" s="116">
        <v>638.35</v>
      </c>
      <c r="R2310">
        <v>3367321</v>
      </c>
    </row>
    <row r="2311" spans="1:18" x14ac:dyDescent="0.25">
      <c r="A2311" s="170">
        <v>45408</v>
      </c>
      <c r="B2311" s="116">
        <v>641.9</v>
      </c>
      <c r="C2311" s="116">
        <v>632.04999999999995</v>
      </c>
      <c r="D2311" s="116">
        <v>630.20000000000005</v>
      </c>
      <c r="E2311" s="116">
        <v>640.45000000000005</v>
      </c>
      <c r="F2311" s="116">
        <v>632.04999999999995</v>
      </c>
      <c r="G2311">
        <v>121787</v>
      </c>
      <c r="H2311" s="116"/>
      <c r="I2311" s="116"/>
      <c r="L2311" s="170">
        <v>45408</v>
      </c>
      <c r="M2311" s="116">
        <v>632.35</v>
      </c>
      <c r="N2311" s="116">
        <v>642</v>
      </c>
      <c r="O2311" s="116">
        <v>630.1</v>
      </c>
      <c r="P2311" s="116">
        <v>642</v>
      </c>
      <c r="Q2311" s="116">
        <v>632.35</v>
      </c>
      <c r="R2311">
        <v>1663147</v>
      </c>
    </row>
    <row r="2312" spans="1:18" x14ac:dyDescent="0.25">
      <c r="A2312" s="170">
        <v>45411</v>
      </c>
      <c r="B2312" s="116">
        <v>641.29999999999995</v>
      </c>
      <c r="C2312" s="116">
        <v>629.79999999999995</v>
      </c>
      <c r="D2312" s="116">
        <v>625.15</v>
      </c>
      <c r="E2312" s="116">
        <v>641.29999999999995</v>
      </c>
      <c r="F2312" s="116">
        <v>629.79999999999995</v>
      </c>
      <c r="G2312">
        <v>85844</v>
      </c>
      <c r="H2312" s="116"/>
      <c r="I2312" s="116"/>
      <c r="L2312" s="170">
        <v>45411</v>
      </c>
      <c r="M2312" s="116">
        <v>629.65</v>
      </c>
      <c r="N2312" s="116">
        <v>638.29999999999995</v>
      </c>
      <c r="O2312" s="116">
        <v>625.1</v>
      </c>
      <c r="P2312" s="116">
        <v>638</v>
      </c>
      <c r="Q2312" s="116">
        <v>629.65</v>
      </c>
      <c r="R2312">
        <v>2217374</v>
      </c>
    </row>
    <row r="2313" spans="1:18" x14ac:dyDescent="0.25">
      <c r="A2313" s="170">
        <v>45412</v>
      </c>
      <c r="B2313" s="116">
        <v>636.54999999999995</v>
      </c>
      <c r="C2313" s="116">
        <v>619.70000000000005</v>
      </c>
      <c r="D2313" s="116">
        <v>616.4</v>
      </c>
      <c r="E2313" s="116">
        <v>636.54999999999995</v>
      </c>
      <c r="F2313" s="116">
        <v>619.70000000000005</v>
      </c>
      <c r="G2313">
        <v>172440</v>
      </c>
      <c r="H2313" s="116"/>
      <c r="I2313" s="116"/>
      <c r="L2313" s="170">
        <v>45412</v>
      </c>
      <c r="M2313" s="116">
        <v>619.9</v>
      </c>
      <c r="N2313" s="116">
        <v>634</v>
      </c>
      <c r="O2313" s="116">
        <v>616.25</v>
      </c>
      <c r="P2313" s="116">
        <v>634</v>
      </c>
      <c r="Q2313" s="116">
        <v>619.9</v>
      </c>
      <c r="R2313">
        <v>5514688</v>
      </c>
    </row>
    <row r="2314" spans="1:18" x14ac:dyDescent="0.25">
      <c r="A2314" s="170">
        <v>45414</v>
      </c>
      <c r="B2314" s="116">
        <v>630.85</v>
      </c>
      <c r="C2314" s="116">
        <v>625.4</v>
      </c>
      <c r="D2314" s="116">
        <v>609.70000000000005</v>
      </c>
      <c r="E2314" s="116">
        <v>616.95000000000005</v>
      </c>
      <c r="F2314" s="116">
        <v>625.4</v>
      </c>
      <c r="G2314">
        <v>277907</v>
      </c>
      <c r="H2314" s="116"/>
      <c r="I2314" s="116"/>
      <c r="L2314" s="170">
        <v>45414</v>
      </c>
      <c r="M2314" s="116">
        <v>625.70000000000005</v>
      </c>
      <c r="N2314" s="116">
        <v>630.9</v>
      </c>
      <c r="O2314" s="116">
        <v>609.15</v>
      </c>
      <c r="P2314" s="116">
        <v>615</v>
      </c>
      <c r="Q2314" s="116">
        <v>625.70000000000005</v>
      </c>
      <c r="R2314">
        <v>6286712</v>
      </c>
    </row>
    <row r="2315" spans="1:18" x14ac:dyDescent="0.25">
      <c r="A2315" s="170">
        <v>45415</v>
      </c>
      <c r="B2315" s="116">
        <v>634.75</v>
      </c>
      <c r="C2315" s="116">
        <v>622.25</v>
      </c>
      <c r="D2315" s="116">
        <v>616.54999999999995</v>
      </c>
      <c r="E2315" s="116">
        <v>630.15</v>
      </c>
      <c r="F2315" s="116">
        <v>622.25</v>
      </c>
      <c r="G2315">
        <v>105089</v>
      </c>
      <c r="H2315" s="116"/>
      <c r="I2315" s="116"/>
      <c r="L2315" s="170">
        <v>45415</v>
      </c>
      <c r="M2315" s="116">
        <v>622.45000000000005</v>
      </c>
      <c r="N2315" s="116">
        <v>634.45000000000005</v>
      </c>
      <c r="O2315" s="116">
        <v>616.29999999999995</v>
      </c>
      <c r="P2315" s="116">
        <v>629.5</v>
      </c>
      <c r="Q2315" s="116">
        <v>622.45000000000005</v>
      </c>
      <c r="R2315">
        <v>2566478</v>
      </c>
    </row>
    <row r="2316" spans="1:18" x14ac:dyDescent="0.25">
      <c r="A2316" s="170">
        <v>45418</v>
      </c>
      <c r="B2316" s="116">
        <v>626.95000000000005</v>
      </c>
      <c r="C2316" s="116">
        <v>605.95000000000005</v>
      </c>
      <c r="D2316" s="116">
        <v>599.70000000000005</v>
      </c>
      <c r="E2316" s="116">
        <v>626.95000000000005</v>
      </c>
      <c r="F2316" s="116">
        <v>605.95000000000005</v>
      </c>
      <c r="G2316">
        <v>110232</v>
      </c>
      <c r="H2316" s="116"/>
      <c r="I2316" s="116"/>
      <c r="L2316" s="170">
        <v>45418</v>
      </c>
      <c r="M2316" s="116">
        <v>607.45000000000005</v>
      </c>
      <c r="N2316" s="116">
        <v>625.75</v>
      </c>
      <c r="O2316" s="116">
        <v>599.85</v>
      </c>
      <c r="P2316" s="116">
        <v>625.04999999999995</v>
      </c>
      <c r="Q2316" s="116">
        <v>607.45000000000005</v>
      </c>
      <c r="R2316">
        <v>3525659</v>
      </c>
    </row>
    <row r="2317" spans="1:18" x14ac:dyDescent="0.25">
      <c r="A2317" s="170">
        <v>45419</v>
      </c>
      <c r="B2317" s="116">
        <v>612.35</v>
      </c>
      <c r="C2317" s="116">
        <v>593.54999999999995</v>
      </c>
      <c r="D2317" s="116">
        <v>589</v>
      </c>
      <c r="E2317" s="116">
        <v>609.95000000000005</v>
      </c>
      <c r="F2317" s="116">
        <v>593.54999999999995</v>
      </c>
      <c r="G2317">
        <v>101391</v>
      </c>
      <c r="H2317" s="116"/>
      <c r="I2317" s="116"/>
      <c r="L2317" s="170">
        <v>45419</v>
      </c>
      <c r="M2317" s="116">
        <v>593.95000000000005</v>
      </c>
      <c r="N2317" s="116">
        <v>612.20000000000005</v>
      </c>
      <c r="O2317" s="116">
        <v>588.79999999999995</v>
      </c>
      <c r="P2317" s="116">
        <v>610.70000000000005</v>
      </c>
      <c r="Q2317" s="116">
        <v>593.95000000000005</v>
      </c>
      <c r="R2317">
        <v>2548462</v>
      </c>
    </row>
    <row r="2318" spans="1:18" x14ac:dyDescent="0.25">
      <c r="A2318" s="170">
        <v>45420</v>
      </c>
      <c r="B2318" s="116">
        <v>600.85</v>
      </c>
      <c r="C2318" s="116">
        <v>594.35</v>
      </c>
      <c r="D2318" s="116">
        <v>587.65</v>
      </c>
      <c r="E2318" s="116">
        <v>590.15</v>
      </c>
      <c r="F2318" s="116">
        <v>594.35</v>
      </c>
      <c r="G2318">
        <v>66462</v>
      </c>
      <c r="H2318" s="116"/>
      <c r="I2318" s="116"/>
      <c r="L2318" s="170">
        <v>45420</v>
      </c>
      <c r="M2318" s="116">
        <v>594.54999999999995</v>
      </c>
      <c r="N2318" s="116">
        <v>601</v>
      </c>
      <c r="O2318" s="116">
        <v>588</v>
      </c>
      <c r="P2318" s="116">
        <v>590.95000000000005</v>
      </c>
      <c r="Q2318" s="116">
        <v>594.54999999999995</v>
      </c>
      <c r="R2318">
        <v>2526772</v>
      </c>
    </row>
    <row r="2319" spans="1:18" x14ac:dyDescent="0.25">
      <c r="A2319" s="170">
        <v>45421</v>
      </c>
      <c r="B2319" s="116">
        <v>596</v>
      </c>
      <c r="C2319" s="116">
        <v>574.29999999999995</v>
      </c>
      <c r="D2319" s="116">
        <v>571.95000000000005</v>
      </c>
      <c r="E2319" s="116">
        <v>595.35</v>
      </c>
      <c r="F2319" s="116">
        <v>574.29999999999995</v>
      </c>
      <c r="G2319">
        <v>115025</v>
      </c>
      <c r="H2319" s="116"/>
      <c r="I2319" s="116"/>
      <c r="L2319" s="170">
        <v>45421</v>
      </c>
      <c r="M2319" s="116">
        <v>574.29999999999995</v>
      </c>
      <c r="N2319" s="116">
        <v>596.15</v>
      </c>
      <c r="O2319" s="116">
        <v>572</v>
      </c>
      <c r="P2319" s="116">
        <v>596</v>
      </c>
      <c r="Q2319" s="116">
        <v>574.29999999999995</v>
      </c>
      <c r="R2319">
        <v>2481928</v>
      </c>
    </row>
    <row r="2320" spans="1:18" x14ac:dyDescent="0.25">
      <c r="A2320" s="170">
        <v>45422</v>
      </c>
      <c r="B2320" s="116">
        <v>586.29999999999995</v>
      </c>
      <c r="C2320" s="116">
        <v>581.75</v>
      </c>
      <c r="D2320" s="116">
        <v>573.25</v>
      </c>
      <c r="E2320" s="116">
        <v>576.25</v>
      </c>
      <c r="F2320" s="116">
        <v>581.75</v>
      </c>
      <c r="G2320">
        <v>104094</v>
      </c>
      <c r="H2320" s="116"/>
      <c r="I2320" s="116"/>
      <c r="L2320" s="170">
        <v>45422</v>
      </c>
      <c r="M2320" s="116">
        <v>581.79999999999995</v>
      </c>
      <c r="N2320" s="116">
        <v>586</v>
      </c>
      <c r="O2320" s="116">
        <v>573.29999999999995</v>
      </c>
      <c r="P2320" s="116">
        <v>576</v>
      </c>
      <c r="Q2320" s="116">
        <v>581.79999999999995</v>
      </c>
      <c r="R2320">
        <v>3039660</v>
      </c>
    </row>
    <row r="2321" spans="1:18" x14ac:dyDescent="0.25">
      <c r="A2321" s="170">
        <v>45425</v>
      </c>
      <c r="B2321" s="116">
        <v>592.04999999999995</v>
      </c>
      <c r="C2321" s="116">
        <v>586.95000000000005</v>
      </c>
      <c r="D2321" s="116">
        <v>569.04999999999995</v>
      </c>
      <c r="E2321" s="116">
        <v>582.15</v>
      </c>
      <c r="F2321" s="116">
        <v>586.95000000000005</v>
      </c>
      <c r="G2321">
        <v>93716</v>
      </c>
      <c r="H2321" s="116"/>
      <c r="I2321" s="116"/>
      <c r="L2321" s="170">
        <v>45425</v>
      </c>
      <c r="M2321" s="116">
        <v>588.20000000000005</v>
      </c>
      <c r="N2321" s="116">
        <v>591.75</v>
      </c>
      <c r="O2321" s="116">
        <v>569.4</v>
      </c>
      <c r="P2321" s="116">
        <v>584.04999999999995</v>
      </c>
      <c r="Q2321" s="116">
        <v>588.20000000000005</v>
      </c>
      <c r="R2321">
        <v>2203837</v>
      </c>
    </row>
    <row r="2322" spans="1:18" x14ac:dyDescent="0.25">
      <c r="A2322" s="170">
        <v>45426</v>
      </c>
      <c r="B2322" s="116">
        <v>617</v>
      </c>
      <c r="C2322" s="116">
        <v>609.85</v>
      </c>
      <c r="D2322" s="116">
        <v>587.04999999999995</v>
      </c>
      <c r="E2322" s="116">
        <v>587.04999999999995</v>
      </c>
      <c r="F2322" s="116">
        <v>609.85</v>
      </c>
      <c r="G2322">
        <v>266777</v>
      </c>
      <c r="H2322" s="116"/>
      <c r="I2322" s="116"/>
      <c r="L2322" s="170">
        <v>45426</v>
      </c>
      <c r="M2322" s="116">
        <v>610.20000000000005</v>
      </c>
      <c r="N2322" s="116">
        <v>616.95000000000005</v>
      </c>
      <c r="O2322" s="116">
        <v>587</v>
      </c>
      <c r="P2322" s="116">
        <v>587.1</v>
      </c>
      <c r="Q2322" s="116">
        <v>610.20000000000005</v>
      </c>
      <c r="R2322">
        <v>3537595</v>
      </c>
    </row>
    <row r="2323" spans="1:18" x14ac:dyDescent="0.25">
      <c r="A2323" s="170">
        <v>45427</v>
      </c>
      <c r="B2323" s="116">
        <v>618.29999999999995</v>
      </c>
      <c r="C2323" s="116">
        <v>613</v>
      </c>
      <c r="D2323" s="116">
        <v>610</v>
      </c>
      <c r="E2323" s="116">
        <v>613.85</v>
      </c>
      <c r="F2323" s="116">
        <v>613</v>
      </c>
      <c r="G2323">
        <v>54244</v>
      </c>
      <c r="H2323" s="116"/>
      <c r="I2323" s="116"/>
      <c r="L2323" s="170">
        <v>45427</v>
      </c>
      <c r="M2323" s="116">
        <v>613.25</v>
      </c>
      <c r="N2323" s="116">
        <v>618.25</v>
      </c>
      <c r="O2323" s="116">
        <v>609.9</v>
      </c>
      <c r="P2323" s="116">
        <v>612</v>
      </c>
      <c r="Q2323" s="116">
        <v>613.25</v>
      </c>
      <c r="R2323">
        <v>1479399</v>
      </c>
    </row>
    <row r="2324" spans="1:18" x14ac:dyDescent="0.25">
      <c r="A2324" s="170">
        <v>45428</v>
      </c>
      <c r="B2324" s="116">
        <v>616.15</v>
      </c>
      <c r="C2324" s="116">
        <v>615.04999999999995</v>
      </c>
      <c r="D2324" s="116">
        <v>606</v>
      </c>
      <c r="E2324" s="116">
        <v>612.45000000000005</v>
      </c>
      <c r="F2324" s="116">
        <v>615.04999999999995</v>
      </c>
      <c r="G2324">
        <v>67399</v>
      </c>
      <c r="H2324" s="116"/>
      <c r="I2324" s="116"/>
      <c r="L2324" s="170">
        <v>45428</v>
      </c>
      <c r="M2324" s="116">
        <v>615.4</v>
      </c>
      <c r="N2324" s="116">
        <v>616.45000000000005</v>
      </c>
      <c r="O2324" s="116">
        <v>606.20000000000005</v>
      </c>
      <c r="P2324" s="116">
        <v>613.1</v>
      </c>
      <c r="Q2324" s="116">
        <v>615.4</v>
      </c>
      <c r="R2324">
        <v>2013842</v>
      </c>
    </row>
    <row r="2325" spans="1:18" x14ac:dyDescent="0.25">
      <c r="A2325" s="170">
        <v>45429</v>
      </c>
      <c r="B2325" s="116">
        <v>622.15</v>
      </c>
      <c r="C2325" s="116">
        <v>620.45000000000005</v>
      </c>
      <c r="D2325" s="116">
        <v>611.15</v>
      </c>
      <c r="E2325" s="116">
        <v>615.29999999999995</v>
      </c>
      <c r="F2325" s="116">
        <v>620.45000000000005</v>
      </c>
      <c r="G2325">
        <v>37250</v>
      </c>
      <c r="H2325" s="116"/>
      <c r="I2325" s="116"/>
      <c r="L2325" s="170">
        <v>45429</v>
      </c>
      <c r="M2325" s="116">
        <v>620.70000000000005</v>
      </c>
      <c r="N2325" s="116">
        <v>622.15</v>
      </c>
      <c r="O2325" s="116">
        <v>611.15</v>
      </c>
      <c r="P2325" s="116">
        <v>616</v>
      </c>
      <c r="Q2325" s="116">
        <v>620.70000000000005</v>
      </c>
      <c r="R2325">
        <v>2065379</v>
      </c>
    </row>
    <row r="2326" spans="1:18" x14ac:dyDescent="0.25">
      <c r="A2326" s="170">
        <v>45430</v>
      </c>
      <c r="B2326" s="116">
        <v>639.95000000000005</v>
      </c>
      <c r="C2326" s="116">
        <v>618.95000000000005</v>
      </c>
      <c r="D2326" s="116">
        <v>618.29999999999995</v>
      </c>
      <c r="E2326" s="116">
        <v>622.95000000000005</v>
      </c>
      <c r="F2326" s="116">
        <v>618.95000000000005</v>
      </c>
      <c r="G2326">
        <v>6719</v>
      </c>
      <c r="H2326" s="116"/>
      <c r="I2326" s="116"/>
      <c r="L2326" s="170">
        <v>45430</v>
      </c>
      <c r="M2326" s="116">
        <v>619</v>
      </c>
      <c r="N2326" s="116">
        <v>623.29999999999995</v>
      </c>
      <c r="O2326" s="116">
        <v>617</v>
      </c>
      <c r="P2326" s="116">
        <v>620.70000000000005</v>
      </c>
      <c r="Q2326" s="116">
        <v>619</v>
      </c>
      <c r="R2326">
        <v>151474</v>
      </c>
    </row>
    <row r="2327" spans="1:18" x14ac:dyDescent="0.25">
      <c r="A2327" s="170">
        <v>45433</v>
      </c>
      <c r="B2327" s="116">
        <v>634.79999999999995</v>
      </c>
      <c r="C2327" s="116">
        <v>631.20000000000005</v>
      </c>
      <c r="D2327" s="116">
        <v>613.95000000000005</v>
      </c>
      <c r="E2327" s="116">
        <v>619.75</v>
      </c>
      <c r="F2327" s="116">
        <v>631.20000000000005</v>
      </c>
      <c r="G2327">
        <v>81873</v>
      </c>
      <c r="H2327" s="116"/>
      <c r="I2327" s="116"/>
      <c r="L2327" s="170">
        <v>45433</v>
      </c>
      <c r="M2327" s="116">
        <v>631.70000000000005</v>
      </c>
      <c r="N2327" s="116">
        <v>634.75</v>
      </c>
      <c r="O2327" s="116">
        <v>613.29999999999995</v>
      </c>
      <c r="P2327" s="116">
        <v>620.9</v>
      </c>
      <c r="Q2327" s="116">
        <v>631.70000000000005</v>
      </c>
      <c r="R2327">
        <v>3811359</v>
      </c>
    </row>
    <row r="2328" spans="1:18" x14ac:dyDescent="0.25">
      <c r="A2328" s="170">
        <v>45434</v>
      </c>
      <c r="B2328" s="116">
        <v>637</v>
      </c>
      <c r="C2328" s="116">
        <v>632.85</v>
      </c>
      <c r="D2328" s="116">
        <v>621.79999999999995</v>
      </c>
      <c r="E2328" s="116">
        <v>634.85</v>
      </c>
      <c r="F2328" s="116">
        <v>632.85</v>
      </c>
      <c r="G2328">
        <v>38465</v>
      </c>
      <c r="H2328" s="116"/>
      <c r="I2328" s="116"/>
      <c r="L2328" s="170">
        <v>45434</v>
      </c>
      <c r="M2328" s="116">
        <v>633.04999999999995</v>
      </c>
      <c r="N2328" s="116">
        <v>635.75</v>
      </c>
      <c r="O2328" s="116">
        <v>621.65</v>
      </c>
      <c r="P2328" s="116">
        <v>631.70000000000005</v>
      </c>
      <c r="Q2328" s="116">
        <v>633.04999999999995</v>
      </c>
      <c r="R2328">
        <v>2209062</v>
      </c>
    </row>
    <row r="2329" spans="1:18" x14ac:dyDescent="0.25">
      <c r="A2329" s="170">
        <v>45435</v>
      </c>
      <c r="B2329" s="116">
        <v>648</v>
      </c>
      <c r="C2329" s="116">
        <v>646.04999999999995</v>
      </c>
      <c r="D2329" s="116">
        <v>627</v>
      </c>
      <c r="E2329" s="116">
        <v>634.85</v>
      </c>
      <c r="F2329" s="116">
        <v>646.04999999999995</v>
      </c>
      <c r="G2329">
        <v>117350</v>
      </c>
      <c r="H2329" s="116"/>
      <c r="I2329" s="116"/>
      <c r="L2329" s="170">
        <v>45435</v>
      </c>
      <c r="M2329" s="116">
        <v>646.5</v>
      </c>
      <c r="N2329" s="116">
        <v>648.29999999999995</v>
      </c>
      <c r="O2329" s="116">
        <v>626.6</v>
      </c>
      <c r="P2329" s="116">
        <v>635</v>
      </c>
      <c r="Q2329" s="116">
        <v>646.5</v>
      </c>
      <c r="R2329">
        <v>4718924</v>
      </c>
    </row>
    <row r="2330" spans="1:18" x14ac:dyDescent="0.25">
      <c r="A2330" s="170">
        <v>45436</v>
      </c>
      <c r="B2330" s="116">
        <v>656.15</v>
      </c>
      <c r="C2330" s="116">
        <v>635.45000000000005</v>
      </c>
      <c r="D2330" s="116">
        <v>627.35</v>
      </c>
      <c r="E2330" s="116">
        <v>646.25</v>
      </c>
      <c r="F2330" s="116">
        <v>635.45000000000005</v>
      </c>
      <c r="G2330">
        <v>141886</v>
      </c>
      <c r="H2330" s="116"/>
      <c r="I2330" s="116"/>
      <c r="L2330" s="170">
        <v>45436</v>
      </c>
      <c r="M2330" s="116">
        <v>635.29999999999995</v>
      </c>
      <c r="N2330" s="116">
        <v>656.95</v>
      </c>
      <c r="O2330" s="116">
        <v>627.35</v>
      </c>
      <c r="P2330" s="116">
        <v>648</v>
      </c>
      <c r="Q2330" s="116">
        <v>635.29999999999995</v>
      </c>
      <c r="R2330">
        <v>4865705</v>
      </c>
    </row>
    <row r="2331" spans="1:18" x14ac:dyDescent="0.25">
      <c r="A2331" s="170">
        <v>45439</v>
      </c>
      <c r="B2331" s="116">
        <v>642.45000000000005</v>
      </c>
      <c r="C2331" s="116">
        <v>632.35</v>
      </c>
      <c r="D2331" s="116">
        <v>626.35</v>
      </c>
      <c r="E2331" s="116">
        <v>636.29999999999995</v>
      </c>
      <c r="F2331" s="116">
        <v>632.35</v>
      </c>
      <c r="G2331">
        <v>107668</v>
      </c>
      <c r="H2331" s="116"/>
      <c r="I2331" s="116"/>
      <c r="L2331" s="170">
        <v>45439</v>
      </c>
      <c r="M2331" s="116">
        <v>632.5</v>
      </c>
      <c r="N2331" s="116">
        <v>638.70000000000005</v>
      </c>
      <c r="O2331" s="116">
        <v>626.6</v>
      </c>
      <c r="P2331" s="116">
        <v>638.70000000000005</v>
      </c>
      <c r="Q2331" s="116">
        <v>632.5</v>
      </c>
      <c r="R2331">
        <v>1632214</v>
      </c>
    </row>
    <row r="2332" spans="1:18" x14ac:dyDescent="0.25">
      <c r="A2332" s="170">
        <v>45440</v>
      </c>
      <c r="B2332" s="116">
        <v>636.35</v>
      </c>
      <c r="C2332" s="116">
        <v>629.20000000000005</v>
      </c>
      <c r="D2332" s="116">
        <v>626.70000000000005</v>
      </c>
      <c r="E2332" s="116">
        <v>631.29999999999995</v>
      </c>
      <c r="F2332" s="116">
        <v>629.20000000000005</v>
      </c>
      <c r="G2332">
        <v>31114</v>
      </c>
      <c r="H2332" s="116"/>
      <c r="I2332" s="116"/>
      <c r="L2332" s="170">
        <v>45440</v>
      </c>
      <c r="M2332" s="116">
        <v>629.65</v>
      </c>
      <c r="N2332" s="116">
        <v>636.5</v>
      </c>
      <c r="O2332" s="116">
        <v>627</v>
      </c>
      <c r="P2332" s="116">
        <v>633.9</v>
      </c>
      <c r="Q2332" s="116">
        <v>629.65</v>
      </c>
      <c r="R2332">
        <v>2482711</v>
      </c>
    </row>
    <row r="2333" spans="1:18" x14ac:dyDescent="0.25">
      <c r="A2333" s="170">
        <v>45441</v>
      </c>
      <c r="B2333" s="116">
        <v>633.5</v>
      </c>
      <c r="C2333" s="116">
        <v>630.1</v>
      </c>
      <c r="D2333" s="116">
        <v>620.25</v>
      </c>
      <c r="E2333" s="116">
        <v>629.15</v>
      </c>
      <c r="F2333" s="116">
        <v>630.1</v>
      </c>
      <c r="G2333">
        <v>38447</v>
      </c>
      <c r="H2333" s="116"/>
      <c r="I2333" s="116"/>
      <c r="L2333" s="170">
        <v>45441</v>
      </c>
      <c r="M2333" s="116">
        <v>630.1</v>
      </c>
      <c r="N2333" s="116">
        <v>633.5</v>
      </c>
      <c r="O2333" s="116">
        <v>620.4</v>
      </c>
      <c r="P2333" s="116">
        <v>626.54999999999995</v>
      </c>
      <c r="Q2333" s="116">
        <v>630.1</v>
      </c>
      <c r="R2333">
        <v>1702062</v>
      </c>
    </row>
    <row r="2334" spans="1:18" x14ac:dyDescent="0.25">
      <c r="A2334" s="170">
        <v>45442</v>
      </c>
      <c r="B2334" s="116">
        <v>631.15</v>
      </c>
      <c r="C2334" s="116">
        <v>618.70000000000005</v>
      </c>
      <c r="D2334" s="116">
        <v>617</v>
      </c>
      <c r="E2334" s="116">
        <v>625.04999999999995</v>
      </c>
      <c r="F2334" s="116">
        <v>618.70000000000005</v>
      </c>
      <c r="G2334">
        <v>115283</v>
      </c>
      <c r="H2334" s="116"/>
      <c r="I2334" s="116"/>
      <c r="L2334" s="170">
        <v>45442</v>
      </c>
      <c r="M2334" s="116">
        <v>619.15</v>
      </c>
      <c r="N2334" s="116">
        <v>630.95000000000005</v>
      </c>
      <c r="O2334" s="116">
        <v>616.35</v>
      </c>
      <c r="P2334" s="116">
        <v>628.95000000000005</v>
      </c>
      <c r="Q2334" s="116">
        <v>619.15</v>
      </c>
      <c r="R2334">
        <v>2485481</v>
      </c>
    </row>
    <row r="2335" spans="1:18" x14ac:dyDescent="0.25">
      <c r="A2335" s="170">
        <v>45443</v>
      </c>
      <c r="B2335" s="116">
        <v>639.4</v>
      </c>
      <c r="C2335" s="116">
        <v>634.29999999999995</v>
      </c>
      <c r="D2335" s="116">
        <v>623.45000000000005</v>
      </c>
      <c r="E2335" s="116">
        <v>628.95000000000005</v>
      </c>
      <c r="F2335" s="116">
        <v>634.29999999999995</v>
      </c>
      <c r="G2335">
        <v>84665</v>
      </c>
      <c r="H2335" s="116"/>
      <c r="I2335" s="116"/>
      <c r="L2335" s="170">
        <v>45443</v>
      </c>
      <c r="M2335" s="116">
        <v>634.04999999999995</v>
      </c>
      <c r="N2335" s="116">
        <v>639.85</v>
      </c>
      <c r="O2335" s="116">
        <v>622.65</v>
      </c>
      <c r="P2335" s="116">
        <v>625</v>
      </c>
      <c r="Q2335" s="116">
        <v>634.04999999999995</v>
      </c>
      <c r="R2335">
        <v>3662225</v>
      </c>
    </row>
    <row r="2336" spans="1:18" x14ac:dyDescent="0.25">
      <c r="A2336" s="170">
        <v>45446</v>
      </c>
      <c r="B2336" s="116">
        <v>676.65</v>
      </c>
      <c r="C2336" s="116">
        <v>670.6</v>
      </c>
      <c r="D2336" s="116">
        <v>653.20000000000005</v>
      </c>
      <c r="E2336" s="116">
        <v>665.05</v>
      </c>
      <c r="F2336" s="116">
        <v>670.6</v>
      </c>
      <c r="G2336">
        <v>558604</v>
      </c>
      <c r="H2336" s="116"/>
      <c r="I2336" s="116"/>
      <c r="L2336" s="170">
        <v>45446</v>
      </c>
      <c r="M2336" s="116">
        <v>670.8</v>
      </c>
      <c r="N2336" s="116">
        <v>676.65</v>
      </c>
      <c r="O2336" s="116">
        <v>653.45000000000005</v>
      </c>
      <c r="P2336" s="116">
        <v>668</v>
      </c>
      <c r="Q2336" s="116">
        <v>670.8</v>
      </c>
      <c r="R2336">
        <v>11189978</v>
      </c>
    </row>
    <row r="2337" spans="1:18" x14ac:dyDescent="0.25">
      <c r="A2337" s="170">
        <v>45447</v>
      </c>
      <c r="B2337" s="116">
        <v>670.6</v>
      </c>
      <c r="C2337" s="116">
        <v>557.4</v>
      </c>
      <c r="D2337" s="116">
        <v>518</v>
      </c>
      <c r="E2337" s="116">
        <v>670.6</v>
      </c>
      <c r="F2337" s="116">
        <v>557.4</v>
      </c>
      <c r="G2337">
        <v>1110009</v>
      </c>
      <c r="H2337" s="116"/>
      <c r="I2337" s="116"/>
      <c r="L2337" s="170">
        <v>45447</v>
      </c>
      <c r="M2337" s="116">
        <v>556.6</v>
      </c>
      <c r="N2337" s="116">
        <v>670.95</v>
      </c>
      <c r="O2337" s="116">
        <v>518.35</v>
      </c>
      <c r="P2337" s="116">
        <v>670.8</v>
      </c>
      <c r="Q2337" s="116">
        <v>556.6</v>
      </c>
      <c r="R2337">
        <v>20044195</v>
      </c>
    </row>
    <row r="2338" spans="1:18" x14ac:dyDescent="0.25">
      <c r="A2338" s="170">
        <v>45448</v>
      </c>
      <c r="B2338" s="116">
        <v>601.75</v>
      </c>
      <c r="C2338" s="116">
        <v>599.04999999999995</v>
      </c>
      <c r="D2338" s="116">
        <v>550.35</v>
      </c>
      <c r="E2338" s="116">
        <v>576.75</v>
      </c>
      <c r="F2338" s="116">
        <v>599.04999999999995</v>
      </c>
      <c r="G2338">
        <v>493444</v>
      </c>
      <c r="H2338" s="116"/>
      <c r="I2338" s="116"/>
      <c r="L2338" s="170">
        <v>45448</v>
      </c>
      <c r="M2338" s="116">
        <v>598.9</v>
      </c>
      <c r="N2338" s="116">
        <v>601.85</v>
      </c>
      <c r="O2338" s="116">
        <v>550.25</v>
      </c>
      <c r="P2338" s="116">
        <v>575</v>
      </c>
      <c r="Q2338" s="116">
        <v>598.9</v>
      </c>
      <c r="R2338">
        <v>6564509</v>
      </c>
    </row>
    <row r="2339" spans="1:18" x14ac:dyDescent="0.25">
      <c r="A2339" s="170">
        <v>45449</v>
      </c>
      <c r="B2339" s="116">
        <v>622.15</v>
      </c>
      <c r="C2339" s="116">
        <v>609.65</v>
      </c>
      <c r="D2339" s="116">
        <v>604.04999999999995</v>
      </c>
      <c r="E2339" s="116">
        <v>609.54999999999995</v>
      </c>
      <c r="F2339" s="116">
        <v>609.65</v>
      </c>
      <c r="G2339">
        <v>303726</v>
      </c>
      <c r="H2339" s="116"/>
      <c r="I2339" s="116"/>
      <c r="L2339" s="170">
        <v>45449</v>
      </c>
      <c r="M2339" s="116">
        <v>610.04999999999995</v>
      </c>
      <c r="N2339" s="116">
        <v>622.25</v>
      </c>
      <c r="O2339" s="116">
        <v>603.75</v>
      </c>
      <c r="P2339" s="116">
        <v>608</v>
      </c>
      <c r="Q2339" s="116">
        <v>610.04999999999995</v>
      </c>
      <c r="R2339">
        <v>3774112</v>
      </c>
    </row>
    <row r="2340" spans="1:18" x14ac:dyDescent="0.25">
      <c r="A2340" s="170">
        <v>45450</v>
      </c>
      <c r="B2340" s="116">
        <v>623.75</v>
      </c>
      <c r="C2340" s="116">
        <v>621.95000000000005</v>
      </c>
      <c r="D2340" s="116">
        <v>607.35</v>
      </c>
      <c r="E2340" s="116">
        <v>611</v>
      </c>
      <c r="F2340" s="116">
        <v>621.95000000000005</v>
      </c>
      <c r="G2340">
        <v>133859</v>
      </c>
      <c r="H2340" s="116"/>
      <c r="I2340" s="116"/>
      <c r="L2340" s="170">
        <v>45450</v>
      </c>
      <c r="M2340" s="116">
        <v>621.29999999999995</v>
      </c>
      <c r="N2340" s="116">
        <v>624</v>
      </c>
      <c r="O2340" s="116">
        <v>607.29999999999995</v>
      </c>
      <c r="P2340" s="116">
        <v>610.04999999999995</v>
      </c>
      <c r="Q2340" s="116">
        <v>621.29999999999995</v>
      </c>
      <c r="R2340">
        <v>3023546</v>
      </c>
    </row>
    <row r="2341" spans="1:18" x14ac:dyDescent="0.25">
      <c r="A2341" s="170">
        <v>45453</v>
      </c>
      <c r="B2341" s="116">
        <v>643</v>
      </c>
      <c r="C2341" s="116">
        <v>640.79999999999995</v>
      </c>
      <c r="D2341" s="116">
        <v>624.04999999999995</v>
      </c>
      <c r="E2341" s="116">
        <v>629.75</v>
      </c>
      <c r="F2341" s="116">
        <v>640.79999999999995</v>
      </c>
      <c r="G2341">
        <v>291055</v>
      </c>
      <c r="H2341" s="116"/>
      <c r="I2341" s="116"/>
      <c r="L2341" s="170">
        <v>45453</v>
      </c>
      <c r="M2341" s="116">
        <v>640.35</v>
      </c>
      <c r="N2341" s="116">
        <v>643.04999999999995</v>
      </c>
      <c r="O2341" s="116">
        <v>624</v>
      </c>
      <c r="P2341" s="116">
        <v>626</v>
      </c>
      <c r="Q2341" s="116">
        <v>640.35</v>
      </c>
      <c r="R2341">
        <v>4340712</v>
      </c>
    </row>
    <row r="2342" spans="1:18" x14ac:dyDescent="0.25">
      <c r="A2342" s="170">
        <v>45454</v>
      </c>
      <c r="B2342" s="116">
        <v>650</v>
      </c>
      <c r="C2342" s="116">
        <v>639.54999999999995</v>
      </c>
      <c r="D2342" s="116">
        <v>637.25</v>
      </c>
      <c r="E2342" s="116">
        <v>645</v>
      </c>
      <c r="F2342" s="116">
        <v>639.54999999999995</v>
      </c>
      <c r="G2342">
        <v>212286</v>
      </c>
      <c r="H2342" s="116"/>
      <c r="I2342" s="116"/>
      <c r="L2342" s="170">
        <v>45454</v>
      </c>
      <c r="M2342" s="116">
        <v>639.75</v>
      </c>
      <c r="N2342" s="116">
        <v>650</v>
      </c>
      <c r="O2342" s="116">
        <v>637.6</v>
      </c>
      <c r="P2342" s="116">
        <v>645.9</v>
      </c>
      <c r="Q2342" s="116">
        <v>639.75</v>
      </c>
      <c r="R2342">
        <v>2706589</v>
      </c>
    </row>
    <row r="2343" spans="1:18" x14ac:dyDescent="0.25">
      <c r="A2343" s="170">
        <v>45455</v>
      </c>
      <c r="B2343" s="116">
        <v>675.7</v>
      </c>
      <c r="C2343" s="116">
        <v>668.5</v>
      </c>
      <c r="D2343" s="116">
        <v>638.15</v>
      </c>
      <c r="E2343" s="116">
        <v>645.29999999999995</v>
      </c>
      <c r="F2343" s="116">
        <v>668.5</v>
      </c>
      <c r="G2343">
        <v>253126</v>
      </c>
      <c r="H2343" s="116"/>
      <c r="I2343" s="116"/>
      <c r="L2343" s="170">
        <v>45455</v>
      </c>
      <c r="M2343" s="116">
        <v>668.7</v>
      </c>
      <c r="N2343" s="116">
        <v>675.75</v>
      </c>
      <c r="O2343" s="116">
        <v>638</v>
      </c>
      <c r="P2343" s="116">
        <v>644.75</v>
      </c>
      <c r="Q2343" s="116">
        <v>668.7</v>
      </c>
      <c r="R2343">
        <v>5320428</v>
      </c>
    </row>
    <row r="2344" spans="1:18" x14ac:dyDescent="0.25">
      <c r="A2344" s="170">
        <v>45456</v>
      </c>
      <c r="B2344" s="116">
        <v>680.2</v>
      </c>
      <c r="C2344" s="116">
        <v>664.3</v>
      </c>
      <c r="D2344" s="116">
        <v>654.75</v>
      </c>
      <c r="E2344" s="116">
        <v>679.45</v>
      </c>
      <c r="F2344" s="116">
        <v>664.3</v>
      </c>
      <c r="G2344">
        <v>296656</v>
      </c>
      <c r="H2344" s="116"/>
      <c r="I2344" s="116"/>
      <c r="L2344" s="170">
        <v>45456</v>
      </c>
      <c r="M2344" s="116">
        <v>664.5</v>
      </c>
      <c r="N2344" s="116">
        <v>680.45</v>
      </c>
      <c r="O2344" s="116">
        <v>654.65</v>
      </c>
      <c r="P2344" s="116">
        <v>678.7</v>
      </c>
      <c r="Q2344" s="116">
        <v>664.5</v>
      </c>
      <c r="R2344">
        <v>8012245</v>
      </c>
    </row>
    <row r="2345" spans="1:18" x14ac:dyDescent="0.25">
      <c r="A2345" s="170">
        <v>45457</v>
      </c>
      <c r="B2345" s="116">
        <v>690</v>
      </c>
      <c r="C2345" s="116">
        <v>676.95</v>
      </c>
      <c r="D2345" s="116">
        <v>673</v>
      </c>
      <c r="E2345" s="116">
        <v>689.95</v>
      </c>
      <c r="F2345" s="116">
        <v>676.95</v>
      </c>
      <c r="G2345">
        <v>764048</v>
      </c>
      <c r="H2345" s="116"/>
      <c r="I2345" s="116"/>
      <c r="L2345" s="170">
        <v>45457</v>
      </c>
      <c r="M2345" s="116">
        <v>677.2</v>
      </c>
      <c r="N2345" s="116">
        <v>689</v>
      </c>
      <c r="O2345" s="116">
        <v>672.2</v>
      </c>
      <c r="P2345" s="116">
        <v>689</v>
      </c>
      <c r="Q2345" s="116">
        <v>677.2</v>
      </c>
      <c r="R2345">
        <v>15699653</v>
      </c>
    </row>
    <row r="2346" spans="1:18" x14ac:dyDescent="0.25">
      <c r="A2346" s="170">
        <v>45461</v>
      </c>
      <c r="B2346" s="116">
        <v>685</v>
      </c>
      <c r="C2346" s="116">
        <v>673.7</v>
      </c>
      <c r="D2346" s="116">
        <v>670.5</v>
      </c>
      <c r="E2346" s="116">
        <v>684.95</v>
      </c>
      <c r="F2346" s="116">
        <v>673.7</v>
      </c>
      <c r="G2346">
        <v>164608</v>
      </c>
      <c r="H2346" s="116"/>
      <c r="I2346" s="116"/>
      <c r="L2346" s="170">
        <v>45461</v>
      </c>
      <c r="M2346" s="116">
        <v>674.1</v>
      </c>
      <c r="N2346" s="116">
        <v>682.95</v>
      </c>
      <c r="O2346" s="116">
        <v>670.3</v>
      </c>
      <c r="P2346" s="116">
        <v>682.95</v>
      </c>
      <c r="Q2346" s="116">
        <v>674.1</v>
      </c>
      <c r="R2346">
        <v>2670571</v>
      </c>
    </row>
    <row r="2347" spans="1:18" x14ac:dyDescent="0.25">
      <c r="A2347" s="170">
        <v>45462</v>
      </c>
      <c r="B2347" s="116">
        <v>675</v>
      </c>
      <c r="C2347" s="116">
        <v>666.6</v>
      </c>
      <c r="D2347" s="116">
        <v>654.04999999999995</v>
      </c>
      <c r="E2347" s="116">
        <v>675</v>
      </c>
      <c r="F2347" s="116">
        <v>666.6</v>
      </c>
      <c r="G2347">
        <v>158614</v>
      </c>
      <c r="H2347" s="116"/>
      <c r="I2347" s="116"/>
      <c r="L2347" s="170">
        <v>45462</v>
      </c>
      <c r="M2347" s="116">
        <v>666.8</v>
      </c>
      <c r="N2347" s="116">
        <v>675.3</v>
      </c>
      <c r="O2347" s="116">
        <v>654.29999999999995</v>
      </c>
      <c r="P2347" s="116">
        <v>674.65</v>
      </c>
      <c r="Q2347" s="116">
        <v>666.8</v>
      </c>
      <c r="R2347">
        <v>3104511</v>
      </c>
    </row>
    <row r="2348" spans="1:18" x14ac:dyDescent="0.25">
      <c r="A2348" s="170">
        <v>45463</v>
      </c>
      <c r="B2348" s="116">
        <v>669.95</v>
      </c>
      <c r="C2348" s="116">
        <v>659.15</v>
      </c>
      <c r="D2348" s="116">
        <v>657.2</v>
      </c>
      <c r="E2348" s="116">
        <v>669.95</v>
      </c>
      <c r="F2348" s="116">
        <v>659.15</v>
      </c>
      <c r="G2348">
        <v>107844</v>
      </c>
      <c r="H2348" s="116"/>
      <c r="I2348" s="116"/>
      <c r="L2348" s="170">
        <v>45463</v>
      </c>
      <c r="M2348" s="116">
        <v>659.15</v>
      </c>
      <c r="N2348" s="116">
        <v>669.5</v>
      </c>
      <c r="O2348" s="116">
        <v>657.05</v>
      </c>
      <c r="P2348" s="116">
        <v>666</v>
      </c>
      <c r="Q2348" s="116">
        <v>659.15</v>
      </c>
      <c r="R2348">
        <v>2840525</v>
      </c>
    </row>
    <row r="2349" spans="1:18" x14ac:dyDescent="0.25">
      <c r="A2349" s="170">
        <v>45464</v>
      </c>
      <c r="B2349" s="116">
        <v>667.55</v>
      </c>
      <c r="C2349" s="116">
        <v>657.25</v>
      </c>
      <c r="D2349" s="116">
        <v>653</v>
      </c>
      <c r="E2349" s="116">
        <v>661.15</v>
      </c>
      <c r="F2349" s="116">
        <v>657.25</v>
      </c>
      <c r="G2349">
        <v>151101</v>
      </c>
      <c r="H2349" s="116"/>
      <c r="I2349" s="116"/>
      <c r="L2349" s="170">
        <v>45464</v>
      </c>
      <c r="M2349" s="116">
        <v>657.45</v>
      </c>
      <c r="N2349" s="116">
        <v>667.95</v>
      </c>
      <c r="O2349" s="116">
        <v>653</v>
      </c>
      <c r="P2349" s="116">
        <v>659.15</v>
      </c>
      <c r="Q2349" s="116">
        <v>657.45</v>
      </c>
      <c r="R2349">
        <v>3723454</v>
      </c>
    </row>
    <row r="2350" spans="1:18" x14ac:dyDescent="0.25">
      <c r="A2350" s="170">
        <v>45467</v>
      </c>
      <c r="B2350" s="116">
        <v>663.75</v>
      </c>
      <c r="C2350" s="116">
        <v>657.7</v>
      </c>
      <c r="D2350" s="116">
        <v>643.6</v>
      </c>
      <c r="E2350" s="116">
        <v>656.35</v>
      </c>
      <c r="F2350" s="116">
        <v>657.7</v>
      </c>
      <c r="G2350">
        <v>119367</v>
      </c>
      <c r="H2350" s="116"/>
      <c r="I2350" s="116"/>
      <c r="L2350" s="170">
        <v>45467</v>
      </c>
      <c r="M2350" s="116">
        <v>657.75</v>
      </c>
      <c r="N2350" s="116">
        <v>662.45</v>
      </c>
      <c r="O2350" s="116">
        <v>643.25</v>
      </c>
      <c r="P2350" s="116">
        <v>655.04999999999995</v>
      </c>
      <c r="Q2350" s="116">
        <v>657.75</v>
      </c>
      <c r="R2350">
        <v>2151184</v>
      </c>
    </row>
    <row r="2351" spans="1:18" x14ac:dyDescent="0.25">
      <c r="A2351" s="170">
        <v>45468</v>
      </c>
      <c r="B2351" s="116">
        <v>667</v>
      </c>
      <c r="C2351" s="116">
        <v>649.04999999999995</v>
      </c>
      <c r="D2351" s="116">
        <v>644</v>
      </c>
      <c r="E2351" s="116">
        <v>663</v>
      </c>
      <c r="F2351" s="116">
        <v>649.04999999999995</v>
      </c>
      <c r="G2351">
        <v>119638</v>
      </c>
      <c r="H2351" s="116"/>
      <c r="I2351" s="116"/>
      <c r="L2351" s="170">
        <v>45468</v>
      </c>
      <c r="M2351" s="116">
        <v>648.79999999999995</v>
      </c>
      <c r="N2351" s="116">
        <v>666.55</v>
      </c>
      <c r="O2351" s="116">
        <v>644</v>
      </c>
      <c r="P2351" s="116">
        <v>662.4</v>
      </c>
      <c r="Q2351" s="116">
        <v>648.79999999999995</v>
      </c>
      <c r="R2351">
        <v>2786086</v>
      </c>
    </row>
    <row r="2352" spans="1:18" x14ac:dyDescent="0.25">
      <c r="A2352" s="170">
        <v>45469</v>
      </c>
      <c r="B2352" s="116">
        <v>665.8</v>
      </c>
      <c r="C2352" s="116">
        <v>656.9</v>
      </c>
      <c r="D2352" s="116">
        <v>648.75</v>
      </c>
      <c r="E2352" s="116">
        <v>649</v>
      </c>
      <c r="F2352" s="116">
        <v>656.9</v>
      </c>
      <c r="G2352">
        <v>276049</v>
      </c>
      <c r="H2352" s="116"/>
      <c r="I2352" s="116"/>
      <c r="L2352" s="170">
        <v>45469</v>
      </c>
      <c r="M2352" s="116">
        <v>657.05</v>
      </c>
      <c r="N2352" s="116">
        <v>665.9</v>
      </c>
      <c r="O2352" s="116">
        <v>648.04999999999995</v>
      </c>
      <c r="P2352" s="116">
        <v>648.79999999999995</v>
      </c>
      <c r="Q2352" s="116">
        <v>657.05</v>
      </c>
      <c r="R2352">
        <v>4247865</v>
      </c>
    </row>
    <row r="2353" spans="1:18" x14ac:dyDescent="0.25">
      <c r="A2353" s="170">
        <v>45470</v>
      </c>
      <c r="B2353" s="116">
        <v>677</v>
      </c>
      <c r="C2353" s="116">
        <v>660.55</v>
      </c>
      <c r="D2353" s="116">
        <v>652.45000000000005</v>
      </c>
      <c r="E2353" s="116">
        <v>659.35</v>
      </c>
      <c r="F2353" s="116">
        <v>660.55</v>
      </c>
      <c r="G2353">
        <v>338230</v>
      </c>
      <c r="H2353" s="116"/>
      <c r="I2353" s="116"/>
      <c r="L2353" s="170">
        <v>45470</v>
      </c>
      <c r="M2353" s="116">
        <v>660.65</v>
      </c>
      <c r="N2353" s="116">
        <v>678.15</v>
      </c>
      <c r="O2353" s="116">
        <v>652.45000000000005</v>
      </c>
      <c r="P2353" s="116">
        <v>658</v>
      </c>
      <c r="Q2353" s="116">
        <v>660.65</v>
      </c>
      <c r="R2353">
        <v>6564930</v>
      </c>
    </row>
    <row r="2354" spans="1:18" x14ac:dyDescent="0.25">
      <c r="A2354" s="170">
        <v>45471</v>
      </c>
      <c r="B2354" s="116">
        <v>674.95</v>
      </c>
      <c r="C2354" s="116">
        <v>670.05</v>
      </c>
      <c r="D2354" s="116">
        <v>660</v>
      </c>
      <c r="E2354" s="116">
        <v>668.25</v>
      </c>
      <c r="F2354" s="116">
        <v>670.05</v>
      </c>
      <c r="G2354">
        <v>163769</v>
      </c>
      <c r="H2354" s="116"/>
      <c r="I2354" s="116"/>
      <c r="L2354" s="170">
        <v>45471</v>
      </c>
      <c r="M2354" s="116">
        <v>670.25</v>
      </c>
      <c r="N2354" s="116">
        <v>674.95</v>
      </c>
      <c r="O2354" s="116">
        <v>660</v>
      </c>
      <c r="P2354" s="116">
        <v>666</v>
      </c>
      <c r="Q2354" s="116">
        <v>670.25</v>
      </c>
      <c r="R2354">
        <v>3948035</v>
      </c>
    </row>
    <row r="2355" spans="1:18" x14ac:dyDescent="0.25">
      <c r="A2355" s="170">
        <v>45474</v>
      </c>
      <c r="B2355" s="116">
        <v>701.45</v>
      </c>
      <c r="C2355" s="116">
        <v>694.7</v>
      </c>
      <c r="D2355" s="116">
        <v>663.8</v>
      </c>
      <c r="E2355" s="116">
        <v>668.95</v>
      </c>
      <c r="F2355" s="116">
        <v>694.7</v>
      </c>
      <c r="G2355">
        <v>340427</v>
      </c>
      <c r="H2355" s="116"/>
      <c r="I2355" s="116"/>
      <c r="L2355" s="170">
        <v>45474</v>
      </c>
      <c r="M2355" s="116">
        <v>695</v>
      </c>
      <c r="N2355" s="116">
        <v>701.8</v>
      </c>
      <c r="O2355" s="116">
        <v>664.05</v>
      </c>
      <c r="P2355" s="116">
        <v>668</v>
      </c>
      <c r="Q2355" s="116">
        <v>695</v>
      </c>
      <c r="R2355">
        <v>6820204</v>
      </c>
    </row>
    <row r="2356" spans="1:18" x14ac:dyDescent="0.25">
      <c r="A2356" s="170">
        <v>45475</v>
      </c>
      <c r="B2356" s="116">
        <v>706.85</v>
      </c>
      <c r="C2356" s="116">
        <v>691.75</v>
      </c>
      <c r="D2356" s="116">
        <v>679.35</v>
      </c>
      <c r="E2356" s="116">
        <v>695.5</v>
      </c>
      <c r="F2356" s="116">
        <v>691.75</v>
      </c>
      <c r="G2356">
        <v>267326</v>
      </c>
      <c r="H2356" s="116"/>
      <c r="I2356" s="116"/>
      <c r="L2356" s="170">
        <v>45475</v>
      </c>
      <c r="M2356" s="116">
        <v>692.35</v>
      </c>
      <c r="N2356" s="116">
        <v>706.95</v>
      </c>
      <c r="O2356" s="116">
        <v>679.3</v>
      </c>
      <c r="P2356" s="116">
        <v>696.95</v>
      </c>
      <c r="Q2356" s="116">
        <v>692.35</v>
      </c>
      <c r="R2356">
        <v>5783589</v>
      </c>
    </row>
    <row r="2357" spans="1:18" x14ac:dyDescent="0.25">
      <c r="A2357" s="170">
        <v>45476</v>
      </c>
      <c r="B2357" s="116">
        <v>699.6</v>
      </c>
      <c r="C2357" s="116">
        <v>692.45</v>
      </c>
      <c r="D2357" s="116">
        <v>687.75</v>
      </c>
      <c r="E2357" s="116">
        <v>698.55</v>
      </c>
      <c r="F2357" s="116">
        <v>692.45</v>
      </c>
      <c r="G2357">
        <v>87520</v>
      </c>
      <c r="H2357" s="116"/>
      <c r="I2357" s="116"/>
      <c r="L2357" s="170">
        <v>45476</v>
      </c>
      <c r="M2357" s="116">
        <v>692.7</v>
      </c>
      <c r="N2357" s="116">
        <v>699.4</v>
      </c>
      <c r="O2357" s="116">
        <v>687.65</v>
      </c>
      <c r="P2357" s="116">
        <v>695</v>
      </c>
      <c r="Q2357" s="116">
        <v>692.7</v>
      </c>
      <c r="R2357">
        <v>1357858</v>
      </c>
    </row>
    <row r="2358" spans="1:18" x14ac:dyDescent="0.25">
      <c r="A2358" s="170">
        <v>45477</v>
      </c>
      <c r="B2358" s="116">
        <v>694.95</v>
      </c>
      <c r="C2358" s="116">
        <v>681.3</v>
      </c>
      <c r="D2358" s="116">
        <v>671.9</v>
      </c>
      <c r="E2358" s="116">
        <v>692.75</v>
      </c>
      <c r="F2358" s="116">
        <v>681.3</v>
      </c>
      <c r="G2358">
        <v>128252</v>
      </c>
      <c r="H2358" s="116"/>
      <c r="I2358" s="116"/>
      <c r="L2358" s="170">
        <v>45477</v>
      </c>
      <c r="M2358" s="116">
        <v>682.1</v>
      </c>
      <c r="N2358" s="116">
        <v>694.65</v>
      </c>
      <c r="O2358" s="116">
        <v>671.75</v>
      </c>
      <c r="P2358" s="116">
        <v>693.3</v>
      </c>
      <c r="Q2358" s="116">
        <v>682.1</v>
      </c>
      <c r="R2358">
        <v>4072206</v>
      </c>
    </row>
    <row r="2359" spans="1:18" x14ac:dyDescent="0.25">
      <c r="A2359" s="170">
        <v>45478</v>
      </c>
      <c r="B2359" s="116">
        <v>691</v>
      </c>
      <c r="C2359" s="116">
        <v>685.25</v>
      </c>
      <c r="D2359" s="116">
        <v>676.9</v>
      </c>
      <c r="E2359" s="116">
        <v>682.1</v>
      </c>
      <c r="F2359" s="116">
        <v>685.25</v>
      </c>
      <c r="G2359">
        <v>95031</v>
      </c>
      <c r="H2359" s="116"/>
      <c r="I2359" s="116"/>
      <c r="L2359" s="170">
        <v>45478</v>
      </c>
      <c r="M2359" s="116">
        <v>686</v>
      </c>
      <c r="N2359" s="116">
        <v>691</v>
      </c>
      <c r="O2359" s="116">
        <v>677</v>
      </c>
      <c r="P2359" s="116">
        <v>682.1</v>
      </c>
      <c r="Q2359" s="116">
        <v>686</v>
      </c>
      <c r="R2359">
        <v>4592446</v>
      </c>
    </row>
    <row r="2360" spans="1:18" x14ac:dyDescent="0.25">
      <c r="A2360" s="170">
        <v>45481</v>
      </c>
      <c r="B2360" s="116">
        <v>688.9</v>
      </c>
      <c r="C2360" s="116">
        <v>683.3</v>
      </c>
      <c r="D2360" s="116">
        <v>679.45</v>
      </c>
      <c r="E2360" s="116">
        <v>688.9</v>
      </c>
      <c r="F2360" s="116">
        <v>683.3</v>
      </c>
      <c r="G2360">
        <v>60302</v>
      </c>
      <c r="H2360" s="116"/>
      <c r="I2360" s="116"/>
      <c r="L2360" s="170">
        <v>45481</v>
      </c>
      <c r="M2360" s="116">
        <v>683.55</v>
      </c>
      <c r="N2360" s="116">
        <v>688.55</v>
      </c>
      <c r="O2360" s="116">
        <v>679.2</v>
      </c>
      <c r="P2360" s="116">
        <v>686.45</v>
      </c>
      <c r="Q2360" s="116">
        <v>683.55</v>
      </c>
      <c r="R2360">
        <v>2099399</v>
      </c>
    </row>
    <row r="2361" spans="1:18" x14ac:dyDescent="0.25">
      <c r="A2361" s="170">
        <v>45482</v>
      </c>
      <c r="B2361" s="116">
        <v>689.55</v>
      </c>
      <c r="C2361" s="116">
        <v>677.4</v>
      </c>
      <c r="D2361" s="116">
        <v>671.55</v>
      </c>
      <c r="E2361" s="116">
        <v>682.05</v>
      </c>
      <c r="F2361" s="116">
        <v>677.4</v>
      </c>
      <c r="G2361">
        <v>86629</v>
      </c>
      <c r="H2361" s="116"/>
      <c r="I2361" s="116"/>
      <c r="L2361" s="170">
        <v>45482</v>
      </c>
      <c r="M2361" s="116">
        <v>677.65</v>
      </c>
      <c r="N2361" s="116">
        <v>688</v>
      </c>
      <c r="O2361" s="116">
        <v>671.4</v>
      </c>
      <c r="P2361" s="116">
        <v>682</v>
      </c>
      <c r="Q2361" s="116">
        <v>677.65</v>
      </c>
      <c r="R2361">
        <v>2756185</v>
      </c>
    </row>
    <row r="2362" spans="1:18" x14ac:dyDescent="0.25">
      <c r="A2362" s="170">
        <v>45483</v>
      </c>
      <c r="B2362" s="116">
        <v>682</v>
      </c>
      <c r="C2362" s="116">
        <v>664.55</v>
      </c>
      <c r="D2362" s="116">
        <v>656.2</v>
      </c>
      <c r="E2362" s="116">
        <v>682</v>
      </c>
      <c r="F2362" s="116">
        <v>664.55</v>
      </c>
      <c r="G2362">
        <v>116869</v>
      </c>
      <c r="H2362" s="116"/>
      <c r="I2362" s="116"/>
      <c r="L2362" s="170">
        <v>45483</v>
      </c>
      <c r="M2362" s="116">
        <v>665</v>
      </c>
      <c r="N2362" s="116">
        <v>681.65</v>
      </c>
      <c r="O2362" s="116">
        <v>656.2</v>
      </c>
      <c r="P2362" s="116">
        <v>680</v>
      </c>
      <c r="Q2362" s="116">
        <v>665</v>
      </c>
      <c r="R2362">
        <v>7590766</v>
      </c>
    </row>
    <row r="2363" spans="1:18" x14ac:dyDescent="0.25">
      <c r="A2363" s="170">
        <v>45484</v>
      </c>
      <c r="B2363" s="116">
        <v>688</v>
      </c>
      <c r="C2363" s="116">
        <v>679.15</v>
      </c>
      <c r="D2363" s="116">
        <v>672.65</v>
      </c>
      <c r="E2363" s="116">
        <v>679</v>
      </c>
      <c r="F2363" s="116">
        <v>679.15</v>
      </c>
      <c r="G2363">
        <v>241706</v>
      </c>
      <c r="H2363" s="116"/>
      <c r="I2363" s="116"/>
      <c r="L2363" s="170">
        <v>45484</v>
      </c>
      <c r="M2363" s="116">
        <v>679.15</v>
      </c>
      <c r="N2363" s="116">
        <v>687.95</v>
      </c>
      <c r="O2363" s="116">
        <v>672.6</v>
      </c>
      <c r="P2363" s="116">
        <v>680</v>
      </c>
      <c r="Q2363" s="116">
        <v>679.15</v>
      </c>
      <c r="R2363">
        <v>6139579</v>
      </c>
    </row>
    <row r="2364" spans="1:18" x14ac:dyDescent="0.25">
      <c r="A2364" s="170">
        <v>45485</v>
      </c>
      <c r="B2364" s="116">
        <v>682.5</v>
      </c>
      <c r="C2364" s="116">
        <v>676.3</v>
      </c>
      <c r="D2364" s="116">
        <v>673.7</v>
      </c>
      <c r="E2364" s="116">
        <v>680.5</v>
      </c>
      <c r="F2364" s="116">
        <v>676.3</v>
      </c>
      <c r="G2364">
        <v>115383</v>
      </c>
      <c r="H2364" s="116"/>
      <c r="I2364" s="116"/>
      <c r="L2364" s="170">
        <v>45485</v>
      </c>
      <c r="M2364" s="116">
        <v>676.5</v>
      </c>
      <c r="N2364" s="116">
        <v>682.45</v>
      </c>
      <c r="O2364" s="116">
        <v>673.75</v>
      </c>
      <c r="P2364" s="116">
        <v>680.5</v>
      </c>
      <c r="Q2364" s="116">
        <v>676.5</v>
      </c>
      <c r="R2364">
        <v>1807744</v>
      </c>
    </row>
    <row r="2365" spans="1:18" x14ac:dyDescent="0.25">
      <c r="A2365" s="170">
        <v>45488</v>
      </c>
      <c r="B2365" s="116">
        <v>690.35</v>
      </c>
      <c r="C2365" s="116">
        <v>683.9</v>
      </c>
      <c r="D2365" s="116">
        <v>681.65</v>
      </c>
      <c r="E2365" s="116">
        <v>684.05</v>
      </c>
      <c r="F2365" s="116">
        <v>683.9</v>
      </c>
      <c r="G2365">
        <v>107210</v>
      </c>
      <c r="H2365" s="116"/>
      <c r="I2365" s="116"/>
      <c r="L2365" s="170">
        <v>45488</v>
      </c>
      <c r="M2365" s="116">
        <v>684.2</v>
      </c>
      <c r="N2365" s="116">
        <v>690.45</v>
      </c>
      <c r="O2365" s="116">
        <v>681.5</v>
      </c>
      <c r="P2365" s="116">
        <v>686.55</v>
      </c>
      <c r="Q2365" s="116">
        <v>684.2</v>
      </c>
      <c r="R2365">
        <v>2184021</v>
      </c>
    </row>
    <row r="2366" spans="1:18" x14ac:dyDescent="0.25">
      <c r="A2366" s="170">
        <v>45489</v>
      </c>
      <c r="B2366" s="116">
        <v>691.8</v>
      </c>
      <c r="C2366" s="116">
        <v>685.2</v>
      </c>
      <c r="D2366" s="116">
        <v>683.5</v>
      </c>
      <c r="E2366" s="116">
        <v>686.05</v>
      </c>
      <c r="F2366" s="116">
        <v>685.2</v>
      </c>
      <c r="G2366">
        <v>77921</v>
      </c>
      <c r="H2366" s="116"/>
      <c r="I2366" s="116"/>
      <c r="L2366" s="170">
        <v>45489</v>
      </c>
      <c r="M2366" s="116">
        <v>685.35</v>
      </c>
      <c r="N2366" s="116">
        <v>692</v>
      </c>
      <c r="O2366" s="116">
        <v>683.25</v>
      </c>
      <c r="P2366" s="116">
        <v>689.45</v>
      </c>
      <c r="Q2366" s="116">
        <v>685.35</v>
      </c>
      <c r="R2366">
        <v>2484802</v>
      </c>
    </row>
    <row r="2367" spans="1:18" x14ac:dyDescent="0.25">
      <c r="A2367" s="170">
        <v>45491</v>
      </c>
      <c r="B2367" s="116">
        <v>692.5</v>
      </c>
      <c r="C2367" s="116">
        <v>690.4</v>
      </c>
      <c r="D2367" s="116">
        <v>679</v>
      </c>
      <c r="E2367" s="116">
        <v>689.95</v>
      </c>
      <c r="F2367" s="116">
        <v>690.4</v>
      </c>
      <c r="G2367">
        <v>103505</v>
      </c>
      <c r="H2367" s="116"/>
      <c r="I2367" s="116"/>
      <c r="L2367" s="170">
        <v>45491</v>
      </c>
      <c r="M2367" s="116">
        <v>690.25</v>
      </c>
      <c r="N2367" s="116">
        <v>692.45</v>
      </c>
      <c r="O2367" s="116">
        <v>679</v>
      </c>
      <c r="P2367" s="116">
        <v>685.35</v>
      </c>
      <c r="Q2367" s="116">
        <v>690.25</v>
      </c>
      <c r="R2367">
        <v>3034365</v>
      </c>
    </row>
    <row r="2368" spans="1:18" x14ac:dyDescent="0.25">
      <c r="A2368" s="170">
        <v>45492</v>
      </c>
      <c r="B2368" s="116">
        <v>691.95</v>
      </c>
      <c r="C2368" s="116">
        <v>677.7</v>
      </c>
      <c r="D2368" s="116">
        <v>670.4</v>
      </c>
      <c r="E2368" s="116">
        <v>690.05</v>
      </c>
      <c r="F2368" s="116">
        <v>677.7</v>
      </c>
      <c r="G2368">
        <v>178965</v>
      </c>
      <c r="H2368" s="116"/>
      <c r="I2368" s="116"/>
      <c r="L2368" s="170">
        <v>45492</v>
      </c>
      <c r="M2368" s="116">
        <v>677.9</v>
      </c>
      <c r="N2368" s="116">
        <v>692.45</v>
      </c>
      <c r="O2368" s="116">
        <v>670.4</v>
      </c>
      <c r="P2368" s="116">
        <v>691.05</v>
      </c>
      <c r="Q2368" s="116">
        <v>677.9</v>
      </c>
      <c r="R2368">
        <v>2613915</v>
      </c>
    </row>
    <row r="2369" spans="1:18" x14ac:dyDescent="0.25">
      <c r="A2369" s="170">
        <v>45495</v>
      </c>
      <c r="B2369" s="116">
        <v>688.9</v>
      </c>
      <c r="C2369" s="116">
        <v>686.6</v>
      </c>
      <c r="D2369" s="116">
        <v>670.25</v>
      </c>
      <c r="E2369" s="116">
        <v>670.25</v>
      </c>
      <c r="F2369" s="116">
        <v>686.6</v>
      </c>
      <c r="G2369">
        <v>57974</v>
      </c>
      <c r="H2369" s="116"/>
      <c r="I2369" s="116"/>
      <c r="L2369" s="170">
        <v>45495</v>
      </c>
      <c r="M2369" s="116">
        <v>687.1</v>
      </c>
      <c r="N2369" s="116">
        <v>688.6</v>
      </c>
      <c r="O2369" s="116">
        <v>673.75</v>
      </c>
      <c r="P2369" s="116">
        <v>677.85</v>
      </c>
      <c r="Q2369" s="116">
        <v>687.1</v>
      </c>
      <c r="R2369">
        <v>3014997</v>
      </c>
    </row>
    <row r="2370" spans="1:18" x14ac:dyDescent="0.25">
      <c r="A2370" s="170">
        <v>45496</v>
      </c>
      <c r="B2370" s="116">
        <v>694.85</v>
      </c>
      <c r="C2370" s="116">
        <v>691.1</v>
      </c>
      <c r="D2370" s="116">
        <v>662.8</v>
      </c>
      <c r="E2370" s="116">
        <v>686.65</v>
      </c>
      <c r="F2370" s="116">
        <v>691.1</v>
      </c>
      <c r="G2370">
        <v>126629</v>
      </c>
      <c r="H2370" s="116"/>
      <c r="I2370" s="116"/>
      <c r="L2370" s="170">
        <v>45496</v>
      </c>
      <c r="M2370" s="116">
        <v>691.35</v>
      </c>
      <c r="N2370" s="116">
        <v>695</v>
      </c>
      <c r="O2370" s="116">
        <v>662.6</v>
      </c>
      <c r="P2370" s="116">
        <v>688</v>
      </c>
      <c r="Q2370" s="116">
        <v>691.35</v>
      </c>
      <c r="R2370">
        <v>4681258</v>
      </c>
    </row>
    <row r="2371" spans="1:18" x14ac:dyDescent="0.25">
      <c r="A2371" s="170">
        <v>45497</v>
      </c>
      <c r="B2371" s="116">
        <v>693.25</v>
      </c>
      <c r="C2371" s="116">
        <v>682.4</v>
      </c>
      <c r="D2371" s="116">
        <v>680.15</v>
      </c>
      <c r="E2371" s="116">
        <v>693</v>
      </c>
      <c r="F2371" s="116">
        <v>682.4</v>
      </c>
      <c r="G2371">
        <v>39826</v>
      </c>
      <c r="H2371" s="116"/>
      <c r="I2371" s="116"/>
      <c r="L2371" s="170">
        <v>45497</v>
      </c>
      <c r="M2371" s="116">
        <v>682.4</v>
      </c>
      <c r="N2371" s="116">
        <v>693</v>
      </c>
      <c r="O2371" s="116">
        <v>680.1</v>
      </c>
      <c r="P2371" s="116">
        <v>691.35</v>
      </c>
      <c r="Q2371" s="116">
        <v>682.4</v>
      </c>
      <c r="R2371">
        <v>1157565</v>
      </c>
    </row>
    <row r="2372" spans="1:18" x14ac:dyDescent="0.25">
      <c r="A2372" s="170">
        <v>45498</v>
      </c>
      <c r="B2372" s="116">
        <v>684.45</v>
      </c>
      <c r="C2372" s="116">
        <v>675.95</v>
      </c>
      <c r="D2372" s="116">
        <v>672.4</v>
      </c>
      <c r="E2372" s="116">
        <v>678.35</v>
      </c>
      <c r="F2372" s="116">
        <v>675.95</v>
      </c>
      <c r="G2372">
        <v>79073</v>
      </c>
      <c r="H2372" s="116"/>
      <c r="I2372" s="116"/>
      <c r="L2372" s="170">
        <v>45498</v>
      </c>
      <c r="M2372" s="116">
        <v>675.9</v>
      </c>
      <c r="N2372" s="116">
        <v>685</v>
      </c>
      <c r="O2372" s="116">
        <v>672.5</v>
      </c>
      <c r="P2372" s="116">
        <v>678.1</v>
      </c>
      <c r="Q2372" s="116">
        <v>675.9</v>
      </c>
      <c r="R2372">
        <v>1226783</v>
      </c>
    </row>
    <row r="2373" spans="1:18" x14ac:dyDescent="0.25">
      <c r="A2373" s="170">
        <v>45499</v>
      </c>
      <c r="B2373" s="116">
        <v>691</v>
      </c>
      <c r="C2373" s="116">
        <v>686.05</v>
      </c>
      <c r="D2373" s="116">
        <v>675</v>
      </c>
      <c r="E2373" s="116">
        <v>678.9</v>
      </c>
      <c r="F2373" s="116">
        <v>686.05</v>
      </c>
      <c r="G2373">
        <v>121293</v>
      </c>
      <c r="H2373" s="116"/>
      <c r="I2373" s="116"/>
      <c r="L2373" s="170">
        <v>45499</v>
      </c>
      <c r="M2373" s="116">
        <v>686.4</v>
      </c>
      <c r="N2373" s="116">
        <v>691.45</v>
      </c>
      <c r="O2373" s="116">
        <v>676.05</v>
      </c>
      <c r="P2373" s="116">
        <v>676.05</v>
      </c>
      <c r="Q2373" s="116">
        <v>686.4</v>
      </c>
      <c r="R2373">
        <v>1914855</v>
      </c>
    </row>
    <row r="2374" spans="1:18" x14ac:dyDescent="0.25">
      <c r="A2374" s="170">
        <v>45502</v>
      </c>
      <c r="B2374" s="116">
        <v>693.45</v>
      </c>
      <c r="C2374" s="116">
        <v>679.6</v>
      </c>
      <c r="D2374" s="116">
        <v>670.5</v>
      </c>
      <c r="E2374" s="116">
        <v>688.05</v>
      </c>
      <c r="F2374" s="116">
        <v>679.6</v>
      </c>
      <c r="G2374">
        <v>79350</v>
      </c>
      <c r="H2374" s="116"/>
      <c r="I2374" s="116"/>
      <c r="L2374" s="170">
        <v>45502</v>
      </c>
      <c r="M2374" s="116">
        <v>679.85</v>
      </c>
      <c r="N2374" s="116">
        <v>693.5</v>
      </c>
      <c r="O2374" s="116">
        <v>671</v>
      </c>
      <c r="P2374" s="116">
        <v>692</v>
      </c>
      <c r="Q2374" s="116">
        <v>679.85</v>
      </c>
      <c r="R2374">
        <v>3176753</v>
      </c>
    </row>
    <row r="2375" spans="1:18" x14ac:dyDescent="0.25">
      <c r="A2375" s="170">
        <v>45503</v>
      </c>
      <c r="B2375" s="116">
        <v>684</v>
      </c>
      <c r="C2375" s="116">
        <v>674.45</v>
      </c>
      <c r="D2375" s="116">
        <v>670.9</v>
      </c>
      <c r="E2375" s="116">
        <v>684</v>
      </c>
      <c r="F2375" s="116">
        <v>674.45</v>
      </c>
      <c r="G2375">
        <v>44416</v>
      </c>
      <c r="H2375" s="116"/>
      <c r="I2375" s="116"/>
      <c r="L2375" s="170">
        <v>45503</v>
      </c>
      <c r="M2375" s="116">
        <v>674.45</v>
      </c>
      <c r="N2375" s="116">
        <v>681.05</v>
      </c>
      <c r="O2375" s="116">
        <v>671.2</v>
      </c>
      <c r="P2375" s="116">
        <v>679.85</v>
      </c>
      <c r="Q2375" s="116">
        <v>674.45</v>
      </c>
      <c r="R2375">
        <v>1526425</v>
      </c>
    </row>
    <row r="2376" spans="1:18" x14ac:dyDescent="0.25">
      <c r="A2376" s="170">
        <v>45504</v>
      </c>
      <c r="B2376" s="116">
        <v>686.5</v>
      </c>
      <c r="C2376" s="116">
        <v>679.75</v>
      </c>
      <c r="D2376" s="116">
        <v>672.15</v>
      </c>
      <c r="E2376" s="116">
        <v>681.8</v>
      </c>
      <c r="F2376" s="116">
        <v>679.75</v>
      </c>
      <c r="G2376">
        <v>228113</v>
      </c>
      <c r="H2376" s="116"/>
      <c r="I2376" s="116"/>
      <c r="L2376" s="170">
        <v>45504</v>
      </c>
      <c r="M2376" s="116">
        <v>679.95</v>
      </c>
      <c r="N2376" s="116">
        <v>686.65</v>
      </c>
      <c r="O2376" s="116">
        <v>672.35</v>
      </c>
      <c r="P2376" s="116">
        <v>677.75</v>
      </c>
      <c r="Q2376" s="116">
        <v>679.95</v>
      </c>
      <c r="R2376">
        <v>5007055</v>
      </c>
    </row>
    <row r="2377" spans="1:18" x14ac:dyDescent="0.25">
      <c r="A2377" s="170">
        <v>45505</v>
      </c>
      <c r="B2377" s="116">
        <v>680.95</v>
      </c>
      <c r="C2377" s="116">
        <v>663.95</v>
      </c>
      <c r="D2377" s="116">
        <v>655.65</v>
      </c>
      <c r="E2377" s="116">
        <v>680</v>
      </c>
      <c r="F2377" s="116">
        <v>663.95</v>
      </c>
      <c r="G2377">
        <v>152860</v>
      </c>
      <c r="H2377" s="116"/>
      <c r="I2377" s="116"/>
      <c r="L2377" s="170">
        <v>45505</v>
      </c>
      <c r="M2377" s="116">
        <v>664</v>
      </c>
      <c r="N2377" s="116">
        <v>681</v>
      </c>
      <c r="O2377" s="116">
        <v>655</v>
      </c>
      <c r="P2377" s="116">
        <v>680</v>
      </c>
      <c r="Q2377" s="116">
        <v>664</v>
      </c>
      <c r="R2377">
        <v>7613696</v>
      </c>
    </row>
    <row r="2378" spans="1:18" x14ac:dyDescent="0.25">
      <c r="A2378" s="170">
        <v>45506</v>
      </c>
      <c r="B2378" s="116">
        <v>663</v>
      </c>
      <c r="C2378" s="116">
        <v>650.85</v>
      </c>
      <c r="D2378" s="116">
        <v>648.65</v>
      </c>
      <c r="E2378" s="116">
        <v>662.95</v>
      </c>
      <c r="F2378" s="116">
        <v>650.85</v>
      </c>
      <c r="G2378">
        <v>103796</v>
      </c>
      <c r="H2378" s="116"/>
      <c r="I2378" s="116"/>
      <c r="L2378" s="170">
        <v>45506</v>
      </c>
      <c r="M2378" s="116">
        <v>652.79999999999995</v>
      </c>
      <c r="N2378" s="116">
        <v>662.3</v>
      </c>
      <c r="O2378" s="116">
        <v>648.6</v>
      </c>
      <c r="P2378" s="116">
        <v>661</v>
      </c>
      <c r="Q2378" s="116">
        <v>652.79999999999995</v>
      </c>
      <c r="R2378">
        <v>3552731</v>
      </c>
    </row>
    <row r="2379" spans="1:18" x14ac:dyDescent="0.25">
      <c r="A2379" s="170">
        <v>45509</v>
      </c>
      <c r="B2379" s="116">
        <v>650</v>
      </c>
      <c r="C2379" s="116">
        <v>636.04999999999995</v>
      </c>
      <c r="D2379" s="116">
        <v>633.20000000000005</v>
      </c>
      <c r="E2379" s="116">
        <v>645.9</v>
      </c>
      <c r="F2379" s="116">
        <v>636.04999999999995</v>
      </c>
      <c r="G2379">
        <v>100585</v>
      </c>
      <c r="H2379" s="116"/>
      <c r="I2379" s="116"/>
      <c r="L2379" s="170">
        <v>45509</v>
      </c>
      <c r="M2379" s="116">
        <v>636.15</v>
      </c>
      <c r="N2379" s="116">
        <v>650.54999999999995</v>
      </c>
      <c r="O2379" s="116">
        <v>633.75</v>
      </c>
      <c r="P2379" s="116">
        <v>647</v>
      </c>
      <c r="Q2379" s="116">
        <v>636.15</v>
      </c>
      <c r="R2379">
        <v>3071394</v>
      </c>
    </row>
    <row r="2380" spans="1:18" x14ac:dyDescent="0.25">
      <c r="A2380" s="170">
        <v>45510</v>
      </c>
      <c r="B2380" s="116">
        <v>649</v>
      </c>
      <c r="C2380" s="116">
        <v>625.45000000000005</v>
      </c>
      <c r="D2380" s="116">
        <v>623</v>
      </c>
      <c r="E2380" s="116">
        <v>636.15</v>
      </c>
      <c r="F2380" s="116">
        <v>625.45000000000005</v>
      </c>
      <c r="G2380">
        <v>59654</v>
      </c>
      <c r="H2380" s="116"/>
      <c r="I2380" s="116"/>
      <c r="L2380" s="170">
        <v>45510</v>
      </c>
      <c r="M2380" s="116">
        <v>625.54999999999995</v>
      </c>
      <c r="N2380" s="116">
        <v>649</v>
      </c>
      <c r="O2380" s="116">
        <v>622.95000000000005</v>
      </c>
      <c r="P2380" s="116">
        <v>638.1</v>
      </c>
      <c r="Q2380" s="116">
        <v>625.54999999999995</v>
      </c>
      <c r="R2380">
        <v>2519055</v>
      </c>
    </row>
    <row r="2381" spans="1:18" x14ac:dyDescent="0.25">
      <c r="A2381" s="170">
        <v>45511</v>
      </c>
      <c r="B2381" s="116">
        <v>647.75</v>
      </c>
      <c r="C2381" s="116">
        <v>643.5</v>
      </c>
      <c r="D2381" s="116">
        <v>631.04999999999995</v>
      </c>
      <c r="E2381" s="116">
        <v>631.04999999999995</v>
      </c>
      <c r="F2381" s="116">
        <v>643.5</v>
      </c>
      <c r="G2381">
        <v>80985</v>
      </c>
      <c r="H2381" s="116"/>
      <c r="I2381" s="116"/>
      <c r="L2381" s="170">
        <v>45511</v>
      </c>
      <c r="M2381" s="116">
        <v>643.29999999999995</v>
      </c>
      <c r="N2381" s="116">
        <v>648</v>
      </c>
      <c r="O2381" s="116">
        <v>633.54999999999995</v>
      </c>
      <c r="P2381" s="116">
        <v>634</v>
      </c>
      <c r="Q2381" s="116">
        <v>643.29999999999995</v>
      </c>
      <c r="R2381">
        <v>2259244</v>
      </c>
    </row>
    <row r="2382" spans="1:18" x14ac:dyDescent="0.25">
      <c r="A2382" s="170">
        <v>45512</v>
      </c>
      <c r="B2382" s="116">
        <v>645</v>
      </c>
      <c r="C2382" s="116">
        <v>638.35</v>
      </c>
      <c r="D2382" s="116">
        <v>636.9</v>
      </c>
      <c r="E2382" s="116">
        <v>644.25</v>
      </c>
      <c r="F2382" s="116">
        <v>638.35</v>
      </c>
      <c r="G2382">
        <v>55583</v>
      </c>
      <c r="H2382" s="116"/>
      <c r="I2382" s="116"/>
      <c r="L2382" s="170">
        <v>45512</v>
      </c>
      <c r="M2382" s="116">
        <v>638.5</v>
      </c>
      <c r="N2382" s="116">
        <v>645.25</v>
      </c>
      <c r="O2382" s="116">
        <v>637.1</v>
      </c>
      <c r="P2382" s="116">
        <v>644.95000000000005</v>
      </c>
      <c r="Q2382" s="116">
        <v>638.5</v>
      </c>
      <c r="R2382">
        <v>1121594</v>
      </c>
    </row>
    <row r="2383" spans="1:18" x14ac:dyDescent="0.25">
      <c r="A2383" s="170">
        <v>45513</v>
      </c>
      <c r="B2383" s="116">
        <v>645</v>
      </c>
      <c r="C2383" s="116">
        <v>632.25</v>
      </c>
      <c r="D2383" s="116">
        <v>630.15</v>
      </c>
      <c r="E2383" s="116">
        <v>641.04999999999995</v>
      </c>
      <c r="F2383" s="116">
        <v>632.25</v>
      </c>
      <c r="G2383">
        <v>88315</v>
      </c>
      <c r="H2383" s="116"/>
      <c r="I2383" s="116"/>
      <c r="L2383" s="170">
        <v>45513</v>
      </c>
      <c r="M2383" s="116">
        <v>632</v>
      </c>
      <c r="N2383" s="116">
        <v>645.5</v>
      </c>
      <c r="O2383" s="116">
        <v>630.1</v>
      </c>
      <c r="P2383" s="116">
        <v>645</v>
      </c>
      <c r="Q2383" s="116">
        <v>632</v>
      </c>
      <c r="R2383">
        <v>2605583</v>
      </c>
    </row>
    <row r="2384" spans="1:18" x14ac:dyDescent="0.25">
      <c r="A2384" s="170">
        <v>45516</v>
      </c>
      <c r="B2384" s="116">
        <v>640.95000000000005</v>
      </c>
      <c r="C2384" s="116">
        <v>635.75</v>
      </c>
      <c r="D2384" s="116">
        <v>616.20000000000005</v>
      </c>
      <c r="E2384" s="116">
        <v>616.20000000000005</v>
      </c>
      <c r="F2384" s="116">
        <v>635.75</v>
      </c>
      <c r="G2384">
        <v>187281</v>
      </c>
      <c r="H2384" s="116"/>
      <c r="I2384" s="116"/>
      <c r="L2384" s="170">
        <v>45516</v>
      </c>
      <c r="M2384" s="116">
        <v>635.45000000000005</v>
      </c>
      <c r="N2384" s="116">
        <v>641</v>
      </c>
      <c r="O2384" s="116">
        <v>617.75</v>
      </c>
      <c r="P2384" s="116">
        <v>621.1</v>
      </c>
      <c r="Q2384" s="116">
        <v>635.45000000000005</v>
      </c>
      <c r="R2384">
        <v>3209718</v>
      </c>
    </row>
    <row r="2385" spans="1:18" x14ac:dyDescent="0.25">
      <c r="A2385" s="170">
        <v>45517</v>
      </c>
      <c r="B2385" s="116">
        <v>638.5</v>
      </c>
      <c r="C2385" s="116">
        <v>623.9</v>
      </c>
      <c r="D2385" s="116">
        <v>622.04999999999995</v>
      </c>
      <c r="E2385" s="116">
        <v>637.85</v>
      </c>
      <c r="F2385" s="116">
        <v>623.9</v>
      </c>
      <c r="G2385">
        <v>94760</v>
      </c>
      <c r="H2385" s="116"/>
      <c r="I2385" s="116"/>
      <c r="L2385" s="170">
        <v>45517</v>
      </c>
      <c r="M2385" s="116">
        <v>624.4</v>
      </c>
      <c r="N2385" s="116">
        <v>638.95000000000005</v>
      </c>
      <c r="O2385" s="116">
        <v>622.1</v>
      </c>
      <c r="P2385" s="116">
        <v>635.29999999999995</v>
      </c>
      <c r="Q2385" s="116">
        <v>624.4</v>
      </c>
      <c r="R2385">
        <v>1379099</v>
      </c>
    </row>
    <row r="2386" spans="1:18" x14ac:dyDescent="0.25">
      <c r="A2386" s="170">
        <v>45518</v>
      </c>
      <c r="B2386" s="116">
        <v>629.5</v>
      </c>
      <c r="C2386" s="116">
        <v>621.75</v>
      </c>
      <c r="D2386" s="116">
        <v>617.45000000000005</v>
      </c>
      <c r="E2386" s="116">
        <v>626.79999999999995</v>
      </c>
      <c r="F2386" s="116">
        <v>621.75</v>
      </c>
      <c r="G2386">
        <v>41267</v>
      </c>
      <c r="H2386" s="116"/>
      <c r="I2386" s="116"/>
      <c r="L2386" s="170">
        <v>45518</v>
      </c>
      <c r="M2386" s="116">
        <v>623.20000000000005</v>
      </c>
      <c r="N2386" s="116">
        <v>628.9</v>
      </c>
      <c r="O2386" s="116">
        <v>617.5</v>
      </c>
      <c r="P2386" s="116">
        <v>626.5</v>
      </c>
      <c r="Q2386" s="116">
        <v>623.20000000000005</v>
      </c>
      <c r="R2386">
        <v>930171</v>
      </c>
    </row>
    <row r="2387" spans="1:18" x14ac:dyDescent="0.25">
      <c r="A2387" s="170">
        <v>45520</v>
      </c>
      <c r="B2387" s="116">
        <v>641.5</v>
      </c>
      <c r="C2387" s="116">
        <v>639.85</v>
      </c>
      <c r="D2387" s="116">
        <v>623.45000000000005</v>
      </c>
      <c r="E2387" s="116">
        <v>628.85</v>
      </c>
      <c r="F2387" s="116">
        <v>639.85</v>
      </c>
      <c r="G2387">
        <v>56480</v>
      </c>
      <c r="H2387" s="116"/>
      <c r="I2387" s="116"/>
      <c r="L2387" s="170">
        <v>45520</v>
      </c>
      <c r="M2387" s="116">
        <v>640.5</v>
      </c>
      <c r="N2387" s="116">
        <v>641.95000000000005</v>
      </c>
      <c r="O2387" s="116">
        <v>623.45000000000005</v>
      </c>
      <c r="P2387" s="116">
        <v>625</v>
      </c>
      <c r="Q2387" s="116">
        <v>640.5</v>
      </c>
      <c r="R2387">
        <v>958226</v>
      </c>
    </row>
    <row r="2388" spans="1:18" x14ac:dyDescent="0.25">
      <c r="A2388" s="170">
        <v>45523</v>
      </c>
      <c r="B2388" s="116">
        <v>643.85</v>
      </c>
      <c r="C2388" s="116">
        <v>633.6</v>
      </c>
      <c r="D2388" s="116">
        <v>632</v>
      </c>
      <c r="E2388" s="116">
        <v>643.85</v>
      </c>
      <c r="F2388" s="116">
        <v>633.6</v>
      </c>
      <c r="G2388">
        <v>50016</v>
      </c>
      <c r="H2388" s="116"/>
      <c r="I2388" s="116"/>
      <c r="L2388" s="170">
        <v>45523</v>
      </c>
      <c r="M2388" s="116">
        <v>633.70000000000005</v>
      </c>
      <c r="N2388" s="116">
        <v>643.65</v>
      </c>
      <c r="O2388" s="116">
        <v>632.20000000000005</v>
      </c>
      <c r="P2388" s="116">
        <v>643</v>
      </c>
      <c r="Q2388" s="116">
        <v>633.70000000000005</v>
      </c>
      <c r="R2388">
        <v>938492</v>
      </c>
    </row>
    <row r="2389" spans="1:18" x14ac:dyDescent="0.25">
      <c r="A2389" s="170">
        <v>45524</v>
      </c>
      <c r="B2389" s="116">
        <v>638.54999999999995</v>
      </c>
      <c r="C2389" s="116">
        <v>626.45000000000005</v>
      </c>
      <c r="D2389" s="116">
        <v>624.70000000000005</v>
      </c>
      <c r="E2389" s="116">
        <v>634.4</v>
      </c>
      <c r="F2389" s="116">
        <v>626.45000000000005</v>
      </c>
      <c r="G2389">
        <v>45854</v>
      </c>
      <c r="H2389" s="116"/>
      <c r="I2389" s="116"/>
      <c r="L2389" s="170">
        <v>45524</v>
      </c>
      <c r="M2389" s="116">
        <v>626.45000000000005</v>
      </c>
      <c r="N2389" s="116">
        <v>639.45000000000005</v>
      </c>
      <c r="O2389" s="116">
        <v>624.65</v>
      </c>
      <c r="P2389" s="116">
        <v>636</v>
      </c>
      <c r="Q2389" s="116">
        <v>626.45000000000005</v>
      </c>
      <c r="R2389">
        <v>1390850</v>
      </c>
    </row>
    <row r="2390" spans="1:18" x14ac:dyDescent="0.25">
      <c r="A2390" s="170">
        <v>45525</v>
      </c>
      <c r="B2390" s="116">
        <v>631.70000000000005</v>
      </c>
      <c r="C2390" s="116">
        <v>629.04999999999995</v>
      </c>
      <c r="D2390" s="116">
        <v>624.70000000000005</v>
      </c>
      <c r="E2390" s="116">
        <v>629.95000000000005</v>
      </c>
      <c r="F2390" s="116">
        <v>629.04999999999995</v>
      </c>
      <c r="G2390">
        <v>80350</v>
      </c>
      <c r="H2390" s="116"/>
      <c r="I2390" s="116"/>
      <c r="L2390" s="170">
        <v>45525</v>
      </c>
      <c r="M2390" s="116">
        <v>629.25</v>
      </c>
      <c r="N2390" s="116">
        <v>631.75</v>
      </c>
      <c r="O2390" s="116">
        <v>624.79999999999995</v>
      </c>
      <c r="P2390" s="116">
        <v>627</v>
      </c>
      <c r="Q2390" s="116">
        <v>629.25</v>
      </c>
      <c r="R2390">
        <v>1038309</v>
      </c>
    </row>
    <row r="2391" spans="1:18" x14ac:dyDescent="0.25">
      <c r="A2391" s="170">
        <v>45526</v>
      </c>
      <c r="B2391" s="116">
        <v>639.20000000000005</v>
      </c>
      <c r="C2391" s="116">
        <v>632.9</v>
      </c>
      <c r="D2391" s="116">
        <v>622.5</v>
      </c>
      <c r="E2391" s="116">
        <v>626.54999999999995</v>
      </c>
      <c r="F2391" s="116">
        <v>632.9</v>
      </c>
      <c r="G2391">
        <v>98564</v>
      </c>
      <c r="H2391" s="116"/>
      <c r="I2391" s="116"/>
      <c r="L2391" s="170">
        <v>45526</v>
      </c>
      <c r="M2391" s="116">
        <v>631.79999999999995</v>
      </c>
      <c r="N2391" s="116">
        <v>639.5</v>
      </c>
      <c r="O2391" s="116">
        <v>622.45000000000005</v>
      </c>
      <c r="P2391" s="116">
        <v>629.45000000000005</v>
      </c>
      <c r="Q2391" s="116">
        <v>631.79999999999995</v>
      </c>
      <c r="R2391">
        <v>5299763</v>
      </c>
    </row>
    <row r="2392" spans="1:18" x14ac:dyDescent="0.25">
      <c r="A2392" s="170">
        <v>45527</v>
      </c>
      <c r="B2392" s="116">
        <v>659.7</v>
      </c>
      <c r="C2392" s="116">
        <v>633.54999999999995</v>
      </c>
      <c r="D2392" s="116">
        <v>631.45000000000005</v>
      </c>
      <c r="E2392" s="116">
        <v>654</v>
      </c>
      <c r="F2392" s="116">
        <v>633.54999999999995</v>
      </c>
      <c r="G2392">
        <v>781759</v>
      </c>
      <c r="H2392" s="116"/>
      <c r="I2392" s="116"/>
      <c r="L2392" s="170">
        <v>45527</v>
      </c>
      <c r="M2392" s="116">
        <v>633.6</v>
      </c>
      <c r="N2392" s="116">
        <v>660</v>
      </c>
      <c r="O2392" s="116">
        <v>631.6</v>
      </c>
      <c r="P2392" s="116">
        <v>656</v>
      </c>
      <c r="Q2392" s="116">
        <v>633.6</v>
      </c>
      <c r="R2392">
        <v>14351644</v>
      </c>
    </row>
    <row r="2393" spans="1:18" x14ac:dyDescent="0.25">
      <c r="A2393" s="170">
        <v>45530</v>
      </c>
      <c r="B2393" s="116">
        <v>642.5</v>
      </c>
      <c r="C2393" s="116">
        <v>627.65</v>
      </c>
      <c r="D2393" s="116">
        <v>625.5</v>
      </c>
      <c r="E2393" s="116">
        <v>642.5</v>
      </c>
      <c r="F2393" s="116">
        <v>627.65</v>
      </c>
      <c r="G2393">
        <v>137354</v>
      </c>
      <c r="H2393" s="116"/>
      <c r="I2393" s="116"/>
      <c r="L2393" s="170">
        <v>45530</v>
      </c>
      <c r="M2393" s="116">
        <v>627.65</v>
      </c>
      <c r="N2393" s="116">
        <v>639.9</v>
      </c>
      <c r="O2393" s="116">
        <v>625.4</v>
      </c>
      <c r="P2393" s="116">
        <v>638.95000000000005</v>
      </c>
      <c r="Q2393" s="116">
        <v>627.65</v>
      </c>
      <c r="R2393">
        <v>3688932</v>
      </c>
    </row>
    <row r="2394" spans="1:18" x14ac:dyDescent="0.25">
      <c r="A2394" s="170">
        <v>45531</v>
      </c>
      <c r="B2394" s="116">
        <v>630.04999999999995</v>
      </c>
      <c r="C2394" s="116">
        <v>624.25</v>
      </c>
      <c r="D2394" s="116">
        <v>621</v>
      </c>
      <c r="E2394" s="116">
        <v>629</v>
      </c>
      <c r="F2394" s="116">
        <v>624.25</v>
      </c>
      <c r="G2394">
        <v>119783</v>
      </c>
      <c r="H2394" s="116"/>
      <c r="I2394" s="116"/>
      <c r="L2394" s="170">
        <v>45531</v>
      </c>
      <c r="M2394" s="116">
        <v>624.45000000000005</v>
      </c>
      <c r="N2394" s="116">
        <v>629.85</v>
      </c>
      <c r="O2394" s="116">
        <v>622.04999999999995</v>
      </c>
      <c r="P2394" s="116">
        <v>628.79999999999995</v>
      </c>
      <c r="Q2394" s="116">
        <v>624.45000000000005</v>
      </c>
      <c r="R2394">
        <v>2374774</v>
      </c>
    </row>
    <row r="2395" spans="1:18" x14ac:dyDescent="0.25">
      <c r="A2395" s="170">
        <v>45532</v>
      </c>
      <c r="B2395" s="116">
        <v>628.45000000000005</v>
      </c>
      <c r="C2395" s="116">
        <v>616.5</v>
      </c>
      <c r="D2395" s="116">
        <v>615.04999999999995</v>
      </c>
      <c r="E2395" s="116">
        <v>628.45000000000005</v>
      </c>
      <c r="F2395" s="116">
        <v>616.5</v>
      </c>
      <c r="G2395">
        <v>78289</v>
      </c>
      <c r="H2395" s="116"/>
      <c r="I2395" s="116"/>
      <c r="L2395" s="170">
        <v>45532</v>
      </c>
      <c r="M2395" s="116">
        <v>616.4</v>
      </c>
      <c r="N2395" s="116">
        <v>627.25</v>
      </c>
      <c r="O2395" s="116">
        <v>615.1</v>
      </c>
      <c r="P2395" s="116">
        <v>626.04999999999995</v>
      </c>
      <c r="Q2395" s="116">
        <v>616.4</v>
      </c>
      <c r="R2395">
        <v>2570418</v>
      </c>
    </row>
    <row r="2396" spans="1:18" x14ac:dyDescent="0.25">
      <c r="A2396" s="170">
        <v>45533</v>
      </c>
      <c r="B2396" s="116">
        <v>619.79999999999995</v>
      </c>
      <c r="C2396" s="116">
        <v>612.65</v>
      </c>
      <c r="D2396" s="116">
        <v>600.70000000000005</v>
      </c>
      <c r="E2396" s="116">
        <v>616.6</v>
      </c>
      <c r="F2396" s="116">
        <v>612.65</v>
      </c>
      <c r="G2396">
        <v>229626</v>
      </c>
      <c r="H2396" s="116"/>
      <c r="I2396" s="116"/>
      <c r="L2396" s="170">
        <v>45533</v>
      </c>
      <c r="M2396" s="116">
        <v>612.5</v>
      </c>
      <c r="N2396" s="116">
        <v>619</v>
      </c>
      <c r="O2396" s="116">
        <v>600.70000000000005</v>
      </c>
      <c r="P2396" s="116">
        <v>617.70000000000005</v>
      </c>
      <c r="Q2396" s="116">
        <v>612.5</v>
      </c>
      <c r="R2396">
        <v>6301579</v>
      </c>
    </row>
    <row r="2397" spans="1:18" x14ac:dyDescent="0.25">
      <c r="A2397" s="170">
        <v>45534</v>
      </c>
      <c r="B2397" s="116">
        <v>621.20000000000005</v>
      </c>
      <c r="C2397" s="116">
        <v>617.29999999999995</v>
      </c>
      <c r="D2397" s="116">
        <v>609.5</v>
      </c>
      <c r="E2397" s="116">
        <v>612.79999999999995</v>
      </c>
      <c r="F2397" s="116">
        <v>617.29999999999995</v>
      </c>
      <c r="G2397">
        <v>118496</v>
      </c>
      <c r="H2397" s="116"/>
      <c r="I2397" s="116"/>
      <c r="L2397" s="170">
        <v>45534</v>
      </c>
      <c r="M2397" s="116">
        <v>617.04999999999995</v>
      </c>
      <c r="N2397" s="116">
        <v>621.65</v>
      </c>
      <c r="O2397" s="116">
        <v>609.4</v>
      </c>
      <c r="P2397" s="116">
        <v>612.65</v>
      </c>
      <c r="Q2397" s="116">
        <v>617.04999999999995</v>
      </c>
      <c r="R2397">
        <v>3540177</v>
      </c>
    </row>
    <row r="2398" spans="1:18" x14ac:dyDescent="0.25">
      <c r="A2398" s="170">
        <v>45537</v>
      </c>
      <c r="B2398" s="116">
        <v>623.9</v>
      </c>
      <c r="C2398" s="116">
        <v>620.15</v>
      </c>
      <c r="D2398" s="116">
        <v>616.25</v>
      </c>
      <c r="E2398" s="116">
        <v>620.1</v>
      </c>
      <c r="F2398" s="116">
        <v>620.15</v>
      </c>
      <c r="G2398">
        <v>125655</v>
      </c>
      <c r="H2398" s="116"/>
      <c r="I2398" s="116"/>
      <c r="L2398" s="170">
        <v>45537</v>
      </c>
      <c r="M2398" s="116">
        <v>620.4</v>
      </c>
      <c r="N2398" s="116">
        <v>624.20000000000005</v>
      </c>
      <c r="O2398" s="116">
        <v>616.29999999999995</v>
      </c>
      <c r="P2398" s="116">
        <v>620</v>
      </c>
      <c r="Q2398" s="116">
        <v>620.4</v>
      </c>
      <c r="R2398">
        <v>2224671</v>
      </c>
    </row>
    <row r="2399" spans="1:18" x14ac:dyDescent="0.25">
      <c r="A2399" s="170">
        <v>45538</v>
      </c>
      <c r="B2399" s="116">
        <v>622.70000000000005</v>
      </c>
      <c r="C2399" s="116">
        <v>617.45000000000005</v>
      </c>
      <c r="D2399" s="116">
        <v>614.75</v>
      </c>
      <c r="E2399" s="116">
        <v>620.95000000000005</v>
      </c>
      <c r="F2399" s="116">
        <v>617.45000000000005</v>
      </c>
      <c r="G2399">
        <v>179557</v>
      </c>
      <c r="H2399" s="116"/>
      <c r="I2399" s="116"/>
      <c r="L2399" s="170">
        <v>45538</v>
      </c>
      <c r="M2399" s="116">
        <v>617.79999999999995</v>
      </c>
      <c r="N2399" s="116">
        <v>622.5</v>
      </c>
      <c r="O2399" s="116">
        <v>614.15</v>
      </c>
      <c r="P2399" s="116">
        <v>622.25</v>
      </c>
      <c r="Q2399" s="116">
        <v>617.79999999999995</v>
      </c>
      <c r="R2399">
        <v>2546441</v>
      </c>
    </row>
    <row r="2400" spans="1:18" x14ac:dyDescent="0.25">
      <c r="A2400" s="170">
        <v>45539</v>
      </c>
      <c r="B2400" s="116">
        <v>628.85</v>
      </c>
      <c r="C2400" s="116">
        <v>626.9</v>
      </c>
      <c r="D2400" s="116">
        <v>612.65</v>
      </c>
      <c r="E2400" s="116">
        <v>615</v>
      </c>
      <c r="F2400" s="116">
        <v>626.9</v>
      </c>
      <c r="G2400">
        <v>78098</v>
      </c>
      <c r="H2400" s="116"/>
      <c r="I2400" s="116"/>
      <c r="L2400" s="170">
        <v>45539</v>
      </c>
      <c r="M2400" s="116">
        <v>627.1</v>
      </c>
      <c r="N2400" s="116">
        <v>629</v>
      </c>
      <c r="O2400" s="116">
        <v>612.6</v>
      </c>
      <c r="P2400" s="116">
        <v>615</v>
      </c>
      <c r="Q2400" s="116">
        <v>627.1</v>
      </c>
      <c r="R2400">
        <v>2347174</v>
      </c>
    </row>
    <row r="2401" spans="1:18" x14ac:dyDescent="0.25">
      <c r="A2401" s="170">
        <v>45540</v>
      </c>
      <c r="B2401" s="116">
        <v>636.70000000000005</v>
      </c>
      <c r="C2401" s="116">
        <v>631.6</v>
      </c>
      <c r="D2401" s="116">
        <v>627.15</v>
      </c>
      <c r="E2401" s="116">
        <v>628.25</v>
      </c>
      <c r="F2401" s="116">
        <v>631.6</v>
      </c>
      <c r="G2401">
        <v>102201</v>
      </c>
      <c r="H2401" s="116"/>
      <c r="I2401" s="116"/>
      <c r="L2401" s="170">
        <v>45540</v>
      </c>
      <c r="M2401" s="116">
        <v>631.85</v>
      </c>
      <c r="N2401" s="116">
        <v>636.75</v>
      </c>
      <c r="O2401" s="116">
        <v>627.4</v>
      </c>
      <c r="P2401" s="116">
        <v>628.95000000000005</v>
      </c>
      <c r="Q2401" s="116">
        <v>631.85</v>
      </c>
      <c r="R2401">
        <v>2834101</v>
      </c>
    </row>
    <row r="2402" spans="1:18" x14ac:dyDescent="0.25">
      <c r="A2402" s="170">
        <v>45541</v>
      </c>
      <c r="B2402" s="116">
        <v>636.95000000000005</v>
      </c>
      <c r="C2402" s="116">
        <v>623.20000000000005</v>
      </c>
      <c r="D2402" s="116">
        <v>620.5</v>
      </c>
      <c r="E2402" s="116">
        <v>636.95000000000005</v>
      </c>
      <c r="F2402" s="116">
        <v>623.20000000000005</v>
      </c>
      <c r="G2402">
        <v>36272</v>
      </c>
      <c r="H2402" s="116"/>
      <c r="I2402" s="116"/>
      <c r="L2402" s="170">
        <v>45541</v>
      </c>
      <c r="M2402" s="116">
        <v>623.25</v>
      </c>
      <c r="N2402" s="116">
        <v>631</v>
      </c>
      <c r="O2402" s="116">
        <v>620.29999999999995</v>
      </c>
      <c r="P2402" s="116">
        <v>627</v>
      </c>
      <c r="Q2402" s="116">
        <v>623.25</v>
      </c>
      <c r="R2402">
        <v>2085086</v>
      </c>
    </row>
    <row r="2403" spans="1:18" x14ac:dyDescent="0.25">
      <c r="A2403" s="170">
        <v>45544</v>
      </c>
      <c r="B2403" s="116">
        <v>631.5</v>
      </c>
      <c r="C2403" s="116">
        <v>630.5</v>
      </c>
      <c r="D2403" s="116">
        <v>615</v>
      </c>
      <c r="E2403" s="116">
        <v>618.29999999999995</v>
      </c>
      <c r="F2403" s="116">
        <v>630.5</v>
      </c>
      <c r="G2403">
        <v>35183</v>
      </c>
      <c r="H2403" s="116"/>
      <c r="I2403" s="116"/>
      <c r="L2403" s="170">
        <v>45544</v>
      </c>
      <c r="M2403" s="116">
        <v>630.15</v>
      </c>
      <c r="N2403" s="116">
        <v>631.5</v>
      </c>
      <c r="O2403" s="116">
        <v>614.75</v>
      </c>
      <c r="P2403" s="116">
        <v>622.9</v>
      </c>
      <c r="Q2403" s="116">
        <v>630.15</v>
      </c>
      <c r="R2403">
        <v>1675042</v>
      </c>
    </row>
    <row r="2404" spans="1:18" x14ac:dyDescent="0.25">
      <c r="A2404" s="170">
        <v>45545</v>
      </c>
      <c r="B2404" s="116">
        <v>630.95000000000005</v>
      </c>
      <c r="C2404" s="116">
        <v>626.95000000000005</v>
      </c>
      <c r="D2404" s="116">
        <v>623.9</v>
      </c>
      <c r="E2404" s="116">
        <v>628.45000000000005</v>
      </c>
      <c r="F2404" s="116">
        <v>626.95000000000005</v>
      </c>
      <c r="G2404">
        <v>63544</v>
      </c>
      <c r="H2404" s="116"/>
      <c r="I2404" s="116"/>
      <c r="L2404" s="170">
        <v>45545</v>
      </c>
      <c r="M2404" s="116">
        <v>627.04999999999995</v>
      </c>
      <c r="N2404" s="116">
        <v>631</v>
      </c>
      <c r="O2404" s="116">
        <v>623.70000000000005</v>
      </c>
      <c r="P2404" s="116">
        <v>630.15</v>
      </c>
      <c r="Q2404" s="116">
        <v>627.04999999999995</v>
      </c>
      <c r="R2404">
        <v>1466555</v>
      </c>
    </row>
    <row r="2405" spans="1:18" x14ac:dyDescent="0.25">
      <c r="A2405" s="170">
        <v>45546</v>
      </c>
      <c r="B2405" s="116">
        <v>631.79999999999995</v>
      </c>
      <c r="C2405" s="116">
        <v>622.45000000000005</v>
      </c>
      <c r="D2405" s="116">
        <v>620.85</v>
      </c>
      <c r="E2405" s="116">
        <v>627.9</v>
      </c>
      <c r="F2405" s="116">
        <v>622.45000000000005</v>
      </c>
      <c r="G2405">
        <v>51544</v>
      </c>
      <c r="H2405" s="116"/>
      <c r="I2405" s="116"/>
      <c r="L2405" s="170">
        <v>45546</v>
      </c>
      <c r="M2405" s="116">
        <v>623</v>
      </c>
      <c r="N2405" s="116">
        <v>632</v>
      </c>
      <c r="O2405" s="116">
        <v>620.65</v>
      </c>
      <c r="P2405" s="116">
        <v>627</v>
      </c>
      <c r="Q2405" s="116">
        <v>623</v>
      </c>
      <c r="R2405">
        <v>1659410</v>
      </c>
    </row>
    <row r="2406" spans="1:18" x14ac:dyDescent="0.25">
      <c r="A2406" s="170">
        <v>45547</v>
      </c>
      <c r="B2406" s="116">
        <v>629.85</v>
      </c>
      <c r="C2406" s="116">
        <v>628.95000000000005</v>
      </c>
      <c r="D2406" s="116">
        <v>620.85</v>
      </c>
      <c r="E2406" s="116">
        <v>623.04999999999995</v>
      </c>
      <c r="F2406" s="116">
        <v>628.95000000000005</v>
      </c>
      <c r="G2406">
        <v>27777</v>
      </c>
      <c r="H2406" s="116"/>
      <c r="I2406" s="116"/>
      <c r="L2406" s="170">
        <v>45547</v>
      </c>
      <c r="M2406" s="116">
        <v>628.15</v>
      </c>
      <c r="N2406" s="116">
        <v>629.70000000000005</v>
      </c>
      <c r="O2406" s="116">
        <v>620.6</v>
      </c>
      <c r="P2406" s="116">
        <v>626.1</v>
      </c>
      <c r="Q2406" s="116">
        <v>628.15</v>
      </c>
      <c r="R2406">
        <v>1052634</v>
      </c>
    </row>
    <row r="2407" spans="1:18" x14ac:dyDescent="0.25">
      <c r="A2407" s="170">
        <v>45548</v>
      </c>
      <c r="B2407" s="116">
        <v>635.45000000000005</v>
      </c>
      <c r="C2407" s="116">
        <v>629.35</v>
      </c>
      <c r="D2407" s="116">
        <v>625.54999999999995</v>
      </c>
      <c r="E2407" s="116">
        <v>629.95000000000005</v>
      </c>
      <c r="F2407" s="116">
        <v>629.35</v>
      </c>
      <c r="G2407">
        <v>74263</v>
      </c>
      <c r="H2407" s="116"/>
      <c r="I2407" s="116"/>
      <c r="L2407" s="170">
        <v>45548</v>
      </c>
      <c r="M2407" s="116">
        <v>629.6</v>
      </c>
      <c r="N2407" s="116">
        <v>635.75</v>
      </c>
      <c r="O2407" s="116">
        <v>625.5</v>
      </c>
      <c r="P2407" s="116">
        <v>628.15</v>
      </c>
      <c r="Q2407" s="116">
        <v>629.6</v>
      </c>
      <c r="R2407">
        <v>1898585</v>
      </c>
    </row>
    <row r="2408" spans="1:18" x14ac:dyDescent="0.25">
      <c r="A2408" s="170">
        <v>45551</v>
      </c>
      <c r="B2408" s="116">
        <v>635.4</v>
      </c>
      <c r="C2408" s="116">
        <v>627.15</v>
      </c>
      <c r="D2408" s="116">
        <v>626.5</v>
      </c>
      <c r="E2408" s="116">
        <v>630.79999999999995</v>
      </c>
      <c r="F2408" s="116">
        <v>627.15</v>
      </c>
      <c r="G2408">
        <v>32114</v>
      </c>
      <c r="H2408" s="116"/>
      <c r="I2408" s="116"/>
      <c r="L2408" s="170">
        <v>45551</v>
      </c>
      <c r="M2408" s="116">
        <v>627.29999999999995</v>
      </c>
      <c r="N2408" s="116">
        <v>633.85</v>
      </c>
      <c r="O2408" s="116">
        <v>626.25</v>
      </c>
      <c r="P2408" s="116">
        <v>631</v>
      </c>
      <c r="Q2408" s="116">
        <v>627.29999999999995</v>
      </c>
      <c r="R2408">
        <v>737033</v>
      </c>
    </row>
    <row r="2409" spans="1:18" x14ac:dyDescent="0.25">
      <c r="A2409" s="170">
        <v>45552</v>
      </c>
      <c r="B2409" s="116">
        <v>627</v>
      </c>
      <c r="C2409" s="116">
        <v>622.75</v>
      </c>
      <c r="D2409" s="116">
        <v>621</v>
      </c>
      <c r="E2409" s="116">
        <v>625.25</v>
      </c>
      <c r="F2409" s="116">
        <v>622.75</v>
      </c>
      <c r="G2409">
        <v>50940</v>
      </c>
      <c r="H2409" s="116"/>
      <c r="I2409" s="116"/>
      <c r="L2409" s="170">
        <v>45552</v>
      </c>
      <c r="M2409" s="116">
        <v>623</v>
      </c>
      <c r="N2409" s="116">
        <v>627.4</v>
      </c>
      <c r="O2409" s="116">
        <v>620.70000000000005</v>
      </c>
      <c r="P2409" s="116">
        <v>625.95000000000005</v>
      </c>
      <c r="Q2409" s="116">
        <v>623</v>
      </c>
      <c r="R2409">
        <v>1091216</v>
      </c>
    </row>
    <row r="2410" spans="1:18" x14ac:dyDescent="0.25">
      <c r="A2410" s="170">
        <v>45553</v>
      </c>
      <c r="B2410" s="116">
        <v>625.79999999999995</v>
      </c>
      <c r="C2410" s="116">
        <v>619.70000000000005</v>
      </c>
      <c r="D2410" s="116">
        <v>614.79999999999995</v>
      </c>
      <c r="E2410" s="116">
        <v>623</v>
      </c>
      <c r="F2410" s="116">
        <v>619.70000000000005</v>
      </c>
      <c r="G2410">
        <v>18491</v>
      </c>
      <c r="H2410" s="116"/>
      <c r="I2410" s="116"/>
      <c r="L2410" s="170">
        <v>45553</v>
      </c>
      <c r="M2410" s="116">
        <v>620.1</v>
      </c>
      <c r="N2410" s="116">
        <v>626</v>
      </c>
      <c r="O2410" s="116">
        <v>615</v>
      </c>
      <c r="P2410" s="116">
        <v>623</v>
      </c>
      <c r="Q2410" s="116">
        <v>620.1</v>
      </c>
      <c r="R2410">
        <v>736543</v>
      </c>
    </row>
    <row r="2411" spans="1:18" x14ac:dyDescent="0.25">
      <c r="A2411" s="170">
        <v>45554</v>
      </c>
      <c r="B2411" s="116">
        <v>625.45000000000005</v>
      </c>
      <c r="C2411" s="116">
        <v>609</v>
      </c>
      <c r="D2411" s="116">
        <v>598</v>
      </c>
      <c r="E2411" s="116">
        <v>625.45000000000005</v>
      </c>
      <c r="F2411" s="116">
        <v>609</v>
      </c>
      <c r="G2411">
        <v>76114</v>
      </c>
      <c r="H2411" s="116"/>
      <c r="I2411" s="116"/>
      <c r="L2411" s="170">
        <v>45554</v>
      </c>
      <c r="M2411" s="116">
        <v>608.4</v>
      </c>
      <c r="N2411" s="116">
        <v>624</v>
      </c>
      <c r="O2411" s="116">
        <v>598</v>
      </c>
      <c r="P2411" s="116">
        <v>624</v>
      </c>
      <c r="Q2411" s="116">
        <v>608.4</v>
      </c>
      <c r="R2411">
        <v>2512582</v>
      </c>
    </row>
    <row r="2412" spans="1:18" x14ac:dyDescent="0.25">
      <c r="A2412" s="170">
        <v>45555</v>
      </c>
      <c r="B2412" s="116">
        <v>618.70000000000005</v>
      </c>
      <c r="C2412" s="116">
        <v>616.75</v>
      </c>
      <c r="D2412" s="116">
        <v>607.25</v>
      </c>
      <c r="E2412" s="116">
        <v>614.35</v>
      </c>
      <c r="F2412" s="116">
        <v>616.75</v>
      </c>
      <c r="G2412">
        <v>80364</v>
      </c>
      <c r="H2412" s="116"/>
      <c r="I2412" s="116"/>
      <c r="L2412" s="170">
        <v>45555</v>
      </c>
      <c r="M2412" s="116">
        <v>616.54999999999995</v>
      </c>
      <c r="N2412" s="116">
        <v>618.79999999999995</v>
      </c>
      <c r="O2412" s="116">
        <v>607.04999999999995</v>
      </c>
      <c r="P2412" s="116">
        <v>611</v>
      </c>
      <c r="Q2412" s="116">
        <v>616.54999999999995</v>
      </c>
      <c r="R2412">
        <v>1799104</v>
      </c>
    </row>
    <row r="2413" spans="1:18" x14ac:dyDescent="0.25">
      <c r="A2413" s="170">
        <v>45558</v>
      </c>
      <c r="B2413" s="116">
        <v>623.95000000000005</v>
      </c>
      <c r="C2413" s="116">
        <v>621.95000000000005</v>
      </c>
      <c r="D2413" s="116">
        <v>617.35</v>
      </c>
      <c r="E2413" s="116">
        <v>618.20000000000005</v>
      </c>
      <c r="F2413" s="116">
        <v>621.95000000000005</v>
      </c>
      <c r="G2413">
        <v>79586</v>
      </c>
      <c r="H2413" s="116"/>
      <c r="I2413" s="116"/>
      <c r="L2413" s="170">
        <v>45558</v>
      </c>
      <c r="M2413" s="116">
        <v>622.04999999999995</v>
      </c>
      <c r="N2413" s="116">
        <v>624</v>
      </c>
      <c r="O2413" s="116">
        <v>617.1</v>
      </c>
      <c r="P2413" s="116">
        <v>620</v>
      </c>
      <c r="Q2413" s="116">
        <v>622.04999999999995</v>
      </c>
      <c r="R2413">
        <v>1601273</v>
      </c>
    </row>
    <row r="2414" spans="1:18" x14ac:dyDescent="0.25">
      <c r="A2414" s="170">
        <v>45559</v>
      </c>
      <c r="B2414" s="116">
        <v>622.20000000000005</v>
      </c>
      <c r="C2414" s="116">
        <v>618.5</v>
      </c>
      <c r="D2414" s="116">
        <v>615.29999999999995</v>
      </c>
      <c r="E2414" s="116">
        <v>621.4</v>
      </c>
      <c r="F2414" s="116">
        <v>618.5</v>
      </c>
      <c r="G2414">
        <v>39108</v>
      </c>
      <c r="H2414" s="116"/>
      <c r="I2414" s="116"/>
      <c r="L2414" s="170">
        <v>45559</v>
      </c>
      <c r="M2414" s="116">
        <v>618.29999999999995</v>
      </c>
      <c r="N2414" s="116">
        <v>623.9</v>
      </c>
      <c r="O2414" s="116">
        <v>615.9</v>
      </c>
      <c r="P2414" s="116">
        <v>620</v>
      </c>
      <c r="Q2414" s="116">
        <v>618.29999999999995</v>
      </c>
      <c r="R2414">
        <v>1309122</v>
      </c>
    </row>
    <row r="2415" spans="1:18" x14ac:dyDescent="0.25">
      <c r="A2415" s="170">
        <v>45560</v>
      </c>
      <c r="B2415" s="116">
        <v>619.5</v>
      </c>
      <c r="C2415" s="116">
        <v>616.04999999999995</v>
      </c>
      <c r="D2415" s="116">
        <v>610.1</v>
      </c>
      <c r="E2415" s="116">
        <v>618.5</v>
      </c>
      <c r="F2415" s="116">
        <v>616.04999999999995</v>
      </c>
      <c r="G2415">
        <v>50944</v>
      </c>
      <c r="H2415" s="116"/>
      <c r="I2415" s="116"/>
      <c r="L2415" s="170">
        <v>45560</v>
      </c>
      <c r="M2415" s="116">
        <v>616.04999999999995</v>
      </c>
      <c r="N2415" s="116">
        <v>619.6</v>
      </c>
      <c r="O2415" s="116">
        <v>610</v>
      </c>
      <c r="P2415" s="116">
        <v>618.29999999999995</v>
      </c>
      <c r="Q2415" s="116">
        <v>616.04999999999995</v>
      </c>
      <c r="R2415">
        <v>1456337</v>
      </c>
    </row>
    <row r="2416" spans="1:18" x14ac:dyDescent="0.25">
      <c r="A2416" s="170">
        <v>45561</v>
      </c>
      <c r="B2416" s="116">
        <v>626.75</v>
      </c>
      <c r="C2416" s="116">
        <v>624.35</v>
      </c>
      <c r="D2416" s="116">
        <v>611.15</v>
      </c>
      <c r="E2416" s="116">
        <v>615.04999999999995</v>
      </c>
      <c r="F2416" s="116">
        <v>624.35</v>
      </c>
      <c r="G2416">
        <v>86401</v>
      </c>
      <c r="H2416" s="116"/>
      <c r="I2416" s="116"/>
      <c r="L2416" s="170">
        <v>45561</v>
      </c>
      <c r="M2416" s="116">
        <v>625.15</v>
      </c>
      <c r="N2416" s="116">
        <v>627.04999999999995</v>
      </c>
      <c r="O2416" s="116">
        <v>610.85</v>
      </c>
      <c r="P2416" s="116">
        <v>616.04999999999995</v>
      </c>
      <c r="Q2416" s="116">
        <v>625.15</v>
      </c>
      <c r="R2416">
        <v>1936586</v>
      </c>
    </row>
    <row r="2417" spans="1:18" x14ac:dyDescent="0.25">
      <c r="A2417" s="170">
        <v>45562</v>
      </c>
      <c r="B2417" s="116">
        <v>636.35</v>
      </c>
      <c r="C2417" s="116">
        <v>633.79999999999995</v>
      </c>
      <c r="D2417" s="116">
        <v>622.54999999999995</v>
      </c>
      <c r="E2417" s="116">
        <v>624.5</v>
      </c>
      <c r="F2417" s="116">
        <v>633.79999999999995</v>
      </c>
      <c r="G2417">
        <v>787045</v>
      </c>
      <c r="H2417" s="116"/>
      <c r="I2417" s="116"/>
      <c r="L2417" s="170">
        <v>45562</v>
      </c>
      <c r="M2417" s="116">
        <v>634</v>
      </c>
      <c r="N2417" s="116">
        <v>636.45000000000005</v>
      </c>
      <c r="O2417" s="116">
        <v>623.15</v>
      </c>
      <c r="P2417" s="116">
        <v>625</v>
      </c>
      <c r="Q2417" s="116">
        <v>634</v>
      </c>
      <c r="R2417">
        <v>3874843</v>
      </c>
    </row>
    <row r="2418" spans="1:18" x14ac:dyDescent="0.25">
      <c r="A2418" s="170">
        <v>45565</v>
      </c>
      <c r="B2418" s="116">
        <v>643.45000000000005</v>
      </c>
      <c r="C2418" s="116">
        <v>631.04999999999995</v>
      </c>
      <c r="D2418" s="116">
        <v>628.15</v>
      </c>
      <c r="E2418" s="116">
        <v>634</v>
      </c>
      <c r="F2418" s="116">
        <v>631.04999999999995</v>
      </c>
      <c r="G2418">
        <v>70004</v>
      </c>
      <c r="H2418" s="116"/>
      <c r="I2418" s="116"/>
      <c r="L2418" s="170">
        <v>45565</v>
      </c>
      <c r="M2418" s="116">
        <v>632.54999999999995</v>
      </c>
      <c r="N2418" s="116">
        <v>643.29999999999995</v>
      </c>
      <c r="O2418" s="116">
        <v>628.04999999999995</v>
      </c>
      <c r="P2418" s="116">
        <v>634</v>
      </c>
      <c r="Q2418" s="116">
        <v>632.54999999999995</v>
      </c>
      <c r="R2418">
        <v>4215188</v>
      </c>
    </row>
    <row r="2419" spans="1:18" x14ac:dyDescent="0.25">
      <c r="A2419" s="170">
        <v>45566</v>
      </c>
      <c r="B2419" s="116">
        <v>634.4</v>
      </c>
      <c r="C2419" s="116">
        <v>631.79999999999995</v>
      </c>
      <c r="D2419" s="116">
        <v>623</v>
      </c>
      <c r="E2419" s="116">
        <v>632.54999999999995</v>
      </c>
      <c r="F2419" s="116">
        <v>631.79999999999995</v>
      </c>
      <c r="G2419">
        <v>50401</v>
      </c>
      <c r="H2419" s="116"/>
      <c r="I2419" s="116"/>
      <c r="L2419" s="170">
        <v>45566</v>
      </c>
      <c r="M2419" s="116">
        <v>632.45000000000005</v>
      </c>
      <c r="N2419" s="116">
        <v>634.75</v>
      </c>
      <c r="O2419" s="116">
        <v>623</v>
      </c>
      <c r="P2419" s="116">
        <v>630.20000000000005</v>
      </c>
      <c r="Q2419" s="116">
        <v>632.45000000000005</v>
      </c>
      <c r="R2419">
        <v>1508022</v>
      </c>
    </row>
    <row r="2420" spans="1:18" x14ac:dyDescent="0.25">
      <c r="A2420" s="170">
        <v>45568</v>
      </c>
      <c r="B2420" s="116">
        <v>632.85</v>
      </c>
      <c r="C2420" s="116">
        <v>617.4</v>
      </c>
      <c r="D2420" s="116">
        <v>613.35</v>
      </c>
      <c r="E2420" s="116">
        <v>620.04999999999995</v>
      </c>
      <c r="F2420" s="116">
        <v>617.4</v>
      </c>
      <c r="G2420">
        <v>48578</v>
      </c>
      <c r="H2420" s="116"/>
      <c r="I2420" s="116"/>
      <c r="L2420" s="170">
        <v>45568</v>
      </c>
      <c r="M2420" s="116">
        <v>617.45000000000005</v>
      </c>
      <c r="N2420" s="116">
        <v>633</v>
      </c>
      <c r="O2420" s="116">
        <v>613.04999999999995</v>
      </c>
      <c r="P2420" s="116">
        <v>623</v>
      </c>
      <c r="Q2420" s="116">
        <v>617.45000000000005</v>
      </c>
      <c r="R2420">
        <v>1552493</v>
      </c>
    </row>
    <row r="2421" spans="1:18" x14ac:dyDescent="0.25">
      <c r="A2421" s="170">
        <v>45569</v>
      </c>
      <c r="B2421" s="116">
        <v>621.79999999999995</v>
      </c>
      <c r="C2421" s="116">
        <v>609.95000000000005</v>
      </c>
      <c r="D2421" s="116">
        <v>605</v>
      </c>
      <c r="E2421" s="116">
        <v>617.4</v>
      </c>
      <c r="F2421" s="116">
        <v>609.95000000000005</v>
      </c>
      <c r="G2421">
        <v>56168</v>
      </c>
      <c r="H2421" s="116"/>
      <c r="I2421" s="116"/>
      <c r="L2421" s="170">
        <v>45569</v>
      </c>
      <c r="M2421" s="116">
        <v>610.70000000000005</v>
      </c>
      <c r="N2421" s="116">
        <v>622</v>
      </c>
      <c r="O2421" s="116">
        <v>604.6</v>
      </c>
      <c r="P2421" s="116">
        <v>615.45000000000005</v>
      </c>
      <c r="Q2421" s="116">
        <v>610.70000000000005</v>
      </c>
      <c r="R2421">
        <v>1538542</v>
      </c>
    </row>
    <row r="2422" spans="1:18" x14ac:dyDescent="0.25">
      <c r="A2422" s="170">
        <v>45572</v>
      </c>
      <c r="B2422" s="116">
        <v>619.20000000000005</v>
      </c>
      <c r="C2422" s="116">
        <v>590.29999999999995</v>
      </c>
      <c r="D2422" s="116">
        <v>586.54999999999995</v>
      </c>
      <c r="E2422" s="116">
        <v>616.95000000000005</v>
      </c>
      <c r="F2422" s="116">
        <v>590.29999999999995</v>
      </c>
      <c r="G2422">
        <v>61269</v>
      </c>
      <c r="H2422" s="116"/>
      <c r="I2422" s="116"/>
      <c r="L2422" s="170">
        <v>45572</v>
      </c>
      <c r="M2422" s="116">
        <v>590.35</v>
      </c>
      <c r="N2422" s="116">
        <v>619.35</v>
      </c>
      <c r="O2422" s="116">
        <v>586.65</v>
      </c>
      <c r="P2422" s="116">
        <v>615</v>
      </c>
      <c r="Q2422" s="116">
        <v>590.35</v>
      </c>
      <c r="R2422">
        <v>3195158</v>
      </c>
    </row>
    <row r="2423" spans="1:18" x14ac:dyDescent="0.25">
      <c r="A2423" s="170">
        <v>45573</v>
      </c>
      <c r="B2423" s="116">
        <v>610.35</v>
      </c>
      <c r="C2423" s="116">
        <v>606.5</v>
      </c>
      <c r="D2423" s="116">
        <v>584.75</v>
      </c>
      <c r="E2423" s="116">
        <v>589.95000000000005</v>
      </c>
      <c r="F2423" s="116">
        <v>606.5</v>
      </c>
      <c r="G2423">
        <v>47872</v>
      </c>
      <c r="H2423" s="116"/>
      <c r="I2423" s="116"/>
      <c r="L2423" s="170">
        <v>45573</v>
      </c>
      <c r="M2423" s="116">
        <v>606.4</v>
      </c>
      <c r="N2423" s="116">
        <v>610.4</v>
      </c>
      <c r="O2423" s="116">
        <v>584.45000000000005</v>
      </c>
      <c r="P2423" s="116">
        <v>588.70000000000005</v>
      </c>
      <c r="Q2423" s="116">
        <v>606.4</v>
      </c>
      <c r="R2423">
        <v>3481559</v>
      </c>
    </row>
    <row r="2424" spans="1:18" x14ac:dyDescent="0.25">
      <c r="A2424" s="170">
        <v>45574</v>
      </c>
      <c r="B2424" s="116">
        <v>617.4</v>
      </c>
      <c r="C2424" s="116">
        <v>607.75</v>
      </c>
      <c r="D2424" s="116">
        <v>605.95000000000005</v>
      </c>
      <c r="E2424" s="116">
        <v>609.70000000000005</v>
      </c>
      <c r="F2424" s="116">
        <v>607.75</v>
      </c>
      <c r="G2424">
        <v>55909</v>
      </c>
      <c r="H2424" s="116"/>
      <c r="I2424" s="116"/>
      <c r="L2424" s="170">
        <v>45574</v>
      </c>
      <c r="M2424" s="116">
        <v>607.95000000000005</v>
      </c>
      <c r="N2424" s="116">
        <v>617.4</v>
      </c>
      <c r="O2424" s="116">
        <v>605.75</v>
      </c>
      <c r="P2424" s="116">
        <v>610</v>
      </c>
      <c r="Q2424" s="116">
        <v>607.95000000000005</v>
      </c>
      <c r="R2424">
        <v>3148946</v>
      </c>
    </row>
    <row r="2425" spans="1:18" x14ac:dyDescent="0.25">
      <c r="A2425" s="170">
        <v>45575</v>
      </c>
      <c r="B2425" s="116">
        <v>611.65</v>
      </c>
      <c r="C2425" s="116">
        <v>585.45000000000005</v>
      </c>
      <c r="D2425" s="116">
        <v>582.20000000000005</v>
      </c>
      <c r="E2425" s="116">
        <v>610.04999999999995</v>
      </c>
      <c r="F2425" s="116">
        <v>585.45000000000005</v>
      </c>
      <c r="G2425">
        <v>114273</v>
      </c>
      <c r="H2425" s="116"/>
      <c r="I2425" s="116"/>
      <c r="L2425" s="170">
        <v>45575</v>
      </c>
      <c r="M2425" s="116">
        <v>585.25</v>
      </c>
      <c r="N2425" s="116">
        <v>613.45000000000005</v>
      </c>
      <c r="O2425" s="116">
        <v>582</v>
      </c>
      <c r="P2425" s="116">
        <v>610.79999999999995</v>
      </c>
      <c r="Q2425" s="116">
        <v>585.25</v>
      </c>
      <c r="R2425">
        <v>6417410</v>
      </c>
    </row>
    <row r="2426" spans="1:18" x14ac:dyDescent="0.25">
      <c r="A2426" s="170">
        <v>45576</v>
      </c>
      <c r="B2426" s="116">
        <v>592.9</v>
      </c>
      <c r="C2426" s="116">
        <v>585.29999999999995</v>
      </c>
      <c r="D2426" s="116">
        <v>583.5</v>
      </c>
      <c r="E2426" s="116">
        <v>589.95000000000005</v>
      </c>
      <c r="F2426" s="116">
        <v>585.29999999999995</v>
      </c>
      <c r="G2426">
        <v>134048</v>
      </c>
      <c r="H2426" s="116"/>
      <c r="I2426" s="116"/>
      <c r="L2426" s="170">
        <v>45576</v>
      </c>
      <c r="M2426" s="116">
        <v>585.20000000000005</v>
      </c>
      <c r="N2426" s="116">
        <v>592.79999999999995</v>
      </c>
      <c r="O2426" s="116">
        <v>583.04999999999995</v>
      </c>
      <c r="P2426" s="116">
        <v>588.95000000000005</v>
      </c>
      <c r="Q2426" s="116">
        <v>585.20000000000005</v>
      </c>
      <c r="R2426">
        <v>1939238</v>
      </c>
    </row>
    <row r="2427" spans="1:18" x14ac:dyDescent="0.25">
      <c r="A2427" s="170">
        <v>45579</v>
      </c>
      <c r="B2427" s="116">
        <v>590.4</v>
      </c>
      <c r="C2427" s="116">
        <v>588.54999999999995</v>
      </c>
      <c r="D2427" s="116">
        <v>583.75</v>
      </c>
      <c r="E2427" s="116">
        <v>589.95000000000005</v>
      </c>
      <c r="F2427" s="116">
        <v>588.54999999999995</v>
      </c>
      <c r="G2427">
        <v>68313</v>
      </c>
      <c r="H2427" s="116"/>
      <c r="I2427" s="116"/>
      <c r="L2427" s="170">
        <v>45579</v>
      </c>
      <c r="M2427" s="116">
        <v>588.9</v>
      </c>
      <c r="N2427" s="116">
        <v>590.79999999999995</v>
      </c>
      <c r="O2427" s="116">
        <v>583.4</v>
      </c>
      <c r="P2427" s="116">
        <v>587.95000000000005</v>
      </c>
      <c r="Q2427" s="116">
        <v>588.9</v>
      </c>
      <c r="R2427">
        <v>1202564</v>
      </c>
    </row>
    <row r="2428" spans="1:18" x14ac:dyDescent="0.25">
      <c r="A2428" s="170">
        <v>45580</v>
      </c>
      <c r="B2428" s="116">
        <v>597</v>
      </c>
      <c r="C2428" s="116">
        <v>590.1</v>
      </c>
      <c r="D2428" s="116">
        <v>586.45000000000005</v>
      </c>
      <c r="E2428" s="116">
        <v>589.4</v>
      </c>
      <c r="F2428" s="116">
        <v>590.1</v>
      </c>
      <c r="G2428">
        <v>30072</v>
      </c>
      <c r="H2428" s="116"/>
      <c r="I2428" s="116"/>
      <c r="L2428" s="170">
        <v>45580</v>
      </c>
      <c r="M2428" s="116">
        <v>590.35</v>
      </c>
      <c r="N2428" s="116">
        <v>597</v>
      </c>
      <c r="O2428" s="116">
        <v>586.54999999999995</v>
      </c>
      <c r="P2428" s="116">
        <v>590.20000000000005</v>
      </c>
      <c r="Q2428" s="116">
        <v>590.35</v>
      </c>
      <c r="R2428">
        <v>1805205</v>
      </c>
    </row>
    <row r="2429" spans="1:18" x14ac:dyDescent="0.25">
      <c r="A2429" s="170">
        <v>45581</v>
      </c>
      <c r="B2429" s="116">
        <v>594.70000000000005</v>
      </c>
      <c r="C2429" s="116">
        <v>589.15</v>
      </c>
      <c r="D2429" s="116">
        <v>576.4</v>
      </c>
      <c r="E2429" s="116">
        <v>590.35</v>
      </c>
      <c r="F2429" s="116">
        <v>589.15</v>
      </c>
      <c r="G2429">
        <v>90756</v>
      </c>
      <c r="H2429" s="116"/>
      <c r="I2429" s="116"/>
      <c r="L2429" s="170">
        <v>45581</v>
      </c>
      <c r="M2429" s="116">
        <v>589.04999999999995</v>
      </c>
      <c r="N2429" s="116">
        <v>594.45000000000005</v>
      </c>
      <c r="O2429" s="116">
        <v>576.4</v>
      </c>
      <c r="P2429" s="116">
        <v>590.35</v>
      </c>
      <c r="Q2429" s="116">
        <v>589.04999999999995</v>
      </c>
      <c r="R2429">
        <v>20191089</v>
      </c>
    </row>
    <row r="2430" spans="1:18" x14ac:dyDescent="0.25">
      <c r="A2430" s="170">
        <v>45582</v>
      </c>
      <c r="B2430" s="116">
        <v>595.5</v>
      </c>
      <c r="C2430" s="116">
        <v>571.54999999999995</v>
      </c>
      <c r="D2430" s="116">
        <v>569.9</v>
      </c>
      <c r="E2430" s="116">
        <v>589.95000000000005</v>
      </c>
      <c r="F2430" s="116">
        <v>571.54999999999995</v>
      </c>
      <c r="G2430">
        <v>112006</v>
      </c>
      <c r="H2430" s="116"/>
      <c r="I2430" s="116"/>
      <c r="L2430" s="170">
        <v>45582</v>
      </c>
      <c r="M2430" s="116">
        <v>571.25</v>
      </c>
      <c r="N2430" s="116">
        <v>595.79999999999995</v>
      </c>
      <c r="O2430" s="116">
        <v>569.29999999999995</v>
      </c>
      <c r="P2430" s="116">
        <v>588</v>
      </c>
      <c r="Q2430" s="116">
        <v>571.25</v>
      </c>
      <c r="R2430">
        <v>3483057</v>
      </c>
    </row>
    <row r="2431" spans="1:18" x14ac:dyDescent="0.25">
      <c r="A2431" s="170">
        <v>45583</v>
      </c>
      <c r="B2431" s="116">
        <v>577.54999999999995</v>
      </c>
      <c r="C2431" s="116">
        <v>573.15</v>
      </c>
      <c r="D2431" s="116">
        <v>558.79999999999995</v>
      </c>
      <c r="E2431" s="116">
        <v>572</v>
      </c>
      <c r="F2431" s="116">
        <v>573.15</v>
      </c>
      <c r="G2431">
        <v>108922</v>
      </c>
      <c r="H2431" s="116"/>
      <c r="I2431" s="116"/>
      <c r="L2431" s="170">
        <v>45583</v>
      </c>
      <c r="M2431" s="116">
        <v>573.95000000000005</v>
      </c>
      <c r="N2431" s="116">
        <v>577.4</v>
      </c>
      <c r="O2431" s="116">
        <v>558.95000000000005</v>
      </c>
      <c r="P2431" s="116">
        <v>571.5</v>
      </c>
      <c r="Q2431" s="116">
        <v>573.95000000000005</v>
      </c>
      <c r="R2431">
        <v>5208678</v>
      </c>
    </row>
    <row r="2432" spans="1:18" x14ac:dyDescent="0.25">
      <c r="A2432" s="170">
        <v>45586</v>
      </c>
      <c r="B2432" s="116">
        <v>580</v>
      </c>
      <c r="C2432" s="116">
        <v>571.9</v>
      </c>
      <c r="D2432" s="116">
        <v>566.79999999999995</v>
      </c>
      <c r="E2432" s="116">
        <v>580</v>
      </c>
      <c r="F2432" s="116">
        <v>571.9</v>
      </c>
      <c r="G2432">
        <v>45116</v>
      </c>
      <c r="H2432" s="116"/>
      <c r="I2432" s="116"/>
      <c r="L2432" s="170">
        <v>45586</v>
      </c>
      <c r="M2432" s="116">
        <v>571.9</v>
      </c>
      <c r="N2432" s="116">
        <v>577.9</v>
      </c>
      <c r="O2432" s="116">
        <v>566.29999999999995</v>
      </c>
      <c r="P2432" s="116">
        <v>574.29999999999995</v>
      </c>
      <c r="Q2432" s="116">
        <v>571.9</v>
      </c>
      <c r="R2432">
        <v>3650658</v>
      </c>
    </row>
    <row r="2433" spans="1:18" x14ac:dyDescent="0.25">
      <c r="A2433" s="170">
        <v>45587</v>
      </c>
      <c r="B2433" s="116">
        <v>583</v>
      </c>
      <c r="C2433" s="116">
        <v>558.04999999999995</v>
      </c>
      <c r="D2433" s="116">
        <v>555.85</v>
      </c>
      <c r="E2433" s="116">
        <v>569.79999999999995</v>
      </c>
      <c r="F2433" s="116">
        <v>558.04999999999995</v>
      </c>
      <c r="G2433">
        <v>168604</v>
      </c>
      <c r="H2433" s="116"/>
      <c r="I2433" s="116"/>
      <c r="L2433" s="170">
        <v>45587</v>
      </c>
      <c r="M2433" s="116">
        <v>558.5</v>
      </c>
      <c r="N2433" s="116">
        <v>583.25</v>
      </c>
      <c r="O2433" s="116">
        <v>556.1</v>
      </c>
      <c r="P2433" s="116">
        <v>569</v>
      </c>
      <c r="Q2433" s="116">
        <v>558.5</v>
      </c>
      <c r="R2433">
        <v>5527745</v>
      </c>
    </row>
    <row r="2434" spans="1:18" x14ac:dyDescent="0.25">
      <c r="A2434" s="170">
        <v>45588</v>
      </c>
      <c r="B2434" s="116">
        <v>564.9</v>
      </c>
      <c r="C2434" s="116">
        <v>555.45000000000005</v>
      </c>
      <c r="D2434" s="116">
        <v>552.5</v>
      </c>
      <c r="E2434" s="116">
        <v>560.70000000000005</v>
      </c>
      <c r="F2434" s="116">
        <v>555.45000000000005</v>
      </c>
      <c r="G2434">
        <v>53138</v>
      </c>
      <c r="H2434" s="116"/>
      <c r="I2434" s="116"/>
      <c r="L2434" s="170">
        <v>45588</v>
      </c>
      <c r="M2434" s="116">
        <v>555.85</v>
      </c>
      <c r="N2434" s="116">
        <v>564.54999999999995</v>
      </c>
      <c r="O2434" s="116">
        <v>551.70000000000005</v>
      </c>
      <c r="P2434" s="116">
        <v>561</v>
      </c>
      <c r="Q2434" s="116">
        <v>555.85</v>
      </c>
      <c r="R2434">
        <v>4336713</v>
      </c>
    </row>
    <row r="2435" spans="1:18" x14ac:dyDescent="0.25">
      <c r="A2435" s="170">
        <v>45589</v>
      </c>
      <c r="B2435" s="116">
        <v>562.6</v>
      </c>
      <c r="C2435" s="116">
        <v>558.85</v>
      </c>
      <c r="D2435" s="116">
        <v>553.9</v>
      </c>
      <c r="E2435" s="116">
        <v>556.04999999999995</v>
      </c>
      <c r="F2435" s="116">
        <v>558.85</v>
      </c>
      <c r="G2435">
        <v>24514</v>
      </c>
      <c r="H2435" s="116"/>
      <c r="I2435" s="116"/>
      <c r="L2435" s="170">
        <v>45589</v>
      </c>
      <c r="M2435" s="116">
        <v>558.9</v>
      </c>
      <c r="N2435" s="116">
        <v>562.54999999999995</v>
      </c>
      <c r="O2435" s="116">
        <v>553.5</v>
      </c>
      <c r="P2435" s="116">
        <v>557</v>
      </c>
      <c r="Q2435" s="116">
        <v>558.9</v>
      </c>
      <c r="R2435">
        <v>1330005</v>
      </c>
    </row>
    <row r="2436" spans="1:18" x14ac:dyDescent="0.25">
      <c r="A2436" s="170">
        <v>45590</v>
      </c>
      <c r="B2436" s="116">
        <v>561.4</v>
      </c>
      <c r="C2436" s="116">
        <v>553.35</v>
      </c>
      <c r="D2436" s="116">
        <v>545</v>
      </c>
      <c r="E2436" s="116">
        <v>558.65</v>
      </c>
      <c r="F2436" s="116">
        <v>553.35</v>
      </c>
      <c r="G2436">
        <v>38949</v>
      </c>
      <c r="H2436" s="116"/>
      <c r="I2436" s="116"/>
      <c r="L2436" s="170">
        <v>45590</v>
      </c>
      <c r="M2436" s="116">
        <v>552.70000000000005</v>
      </c>
      <c r="N2436" s="116">
        <v>561</v>
      </c>
      <c r="O2436" s="116">
        <v>545.20000000000005</v>
      </c>
      <c r="P2436" s="116">
        <v>556.04999999999995</v>
      </c>
      <c r="Q2436" s="116">
        <v>552.70000000000005</v>
      </c>
      <c r="R2436">
        <v>1607719</v>
      </c>
    </row>
    <row r="2437" spans="1:18" x14ac:dyDescent="0.25">
      <c r="A2437" s="170">
        <v>45593</v>
      </c>
      <c r="B2437" s="116">
        <v>582.20000000000005</v>
      </c>
      <c r="C2437" s="116">
        <v>569.45000000000005</v>
      </c>
      <c r="D2437" s="116">
        <v>546.79999999999995</v>
      </c>
      <c r="E2437" s="116">
        <v>550.79999999999995</v>
      </c>
      <c r="F2437" s="116">
        <v>569.45000000000005</v>
      </c>
      <c r="G2437">
        <v>261870</v>
      </c>
      <c r="H2437" s="116"/>
      <c r="I2437" s="116"/>
      <c r="L2437" s="170">
        <v>45593</v>
      </c>
      <c r="M2437" s="116">
        <v>569.4</v>
      </c>
      <c r="N2437" s="116">
        <v>582.25</v>
      </c>
      <c r="O2437" s="116">
        <v>547.04999999999995</v>
      </c>
      <c r="P2437" s="116">
        <v>552.70000000000005</v>
      </c>
      <c r="Q2437" s="116">
        <v>569.4</v>
      </c>
      <c r="R2437">
        <v>6419282</v>
      </c>
    </row>
    <row r="2438" spans="1:18" x14ac:dyDescent="0.25">
      <c r="A2438" s="170">
        <v>45594</v>
      </c>
      <c r="B2438" s="116">
        <v>576.15</v>
      </c>
      <c r="C2438" s="116">
        <v>575</v>
      </c>
      <c r="D2438" s="116">
        <v>566.70000000000005</v>
      </c>
      <c r="E2438" s="116">
        <v>569.9</v>
      </c>
      <c r="F2438" s="116">
        <v>575</v>
      </c>
      <c r="G2438">
        <v>73821</v>
      </c>
      <c r="H2438" s="116"/>
      <c r="I2438" s="116"/>
      <c r="L2438" s="170">
        <v>45594</v>
      </c>
      <c r="M2438" s="116">
        <v>575</v>
      </c>
      <c r="N2438" s="116">
        <v>576.25</v>
      </c>
      <c r="O2438" s="116">
        <v>566.65</v>
      </c>
      <c r="P2438" s="116">
        <v>570</v>
      </c>
      <c r="Q2438" s="116">
        <v>575</v>
      </c>
      <c r="R2438">
        <v>2417223</v>
      </c>
    </row>
    <row r="2439" spans="1:18" x14ac:dyDescent="0.25">
      <c r="A2439" s="170">
        <v>45595</v>
      </c>
      <c r="B2439" s="116">
        <v>585.70000000000005</v>
      </c>
      <c r="C2439" s="116">
        <v>579.35</v>
      </c>
      <c r="D2439" s="116">
        <v>570.20000000000005</v>
      </c>
      <c r="E2439" s="116">
        <v>575</v>
      </c>
      <c r="F2439" s="116">
        <v>579.35</v>
      </c>
      <c r="G2439">
        <v>28586</v>
      </c>
      <c r="H2439" s="116"/>
      <c r="I2439" s="116"/>
      <c r="L2439" s="170">
        <v>45595</v>
      </c>
      <c r="M2439" s="116">
        <v>579.70000000000005</v>
      </c>
      <c r="N2439" s="116">
        <v>585.75</v>
      </c>
      <c r="O2439" s="116">
        <v>570.45000000000005</v>
      </c>
      <c r="P2439" s="116">
        <v>574.9</v>
      </c>
      <c r="Q2439" s="116">
        <v>579.70000000000005</v>
      </c>
      <c r="R2439">
        <v>2364199</v>
      </c>
    </row>
    <row r="2440" spans="1:18" x14ac:dyDescent="0.25">
      <c r="A2440" s="170">
        <v>45596</v>
      </c>
      <c r="B2440" s="116">
        <v>586.54999999999995</v>
      </c>
      <c r="C2440" s="116">
        <v>580.4</v>
      </c>
      <c r="D2440" s="116">
        <v>574.20000000000005</v>
      </c>
      <c r="E2440" s="116">
        <v>582.6</v>
      </c>
      <c r="F2440" s="116">
        <v>580.4</v>
      </c>
      <c r="G2440">
        <v>28450</v>
      </c>
      <c r="H2440" s="116"/>
      <c r="I2440" s="116"/>
      <c r="L2440" s="170">
        <v>45596</v>
      </c>
      <c r="M2440" s="116">
        <v>580.54999999999995</v>
      </c>
      <c r="N2440" s="116">
        <v>586.79999999999995</v>
      </c>
      <c r="O2440" s="116">
        <v>574.35</v>
      </c>
      <c r="P2440" s="116">
        <v>579.70000000000005</v>
      </c>
      <c r="Q2440" s="116">
        <v>580.54999999999995</v>
      </c>
      <c r="R2440">
        <v>2016146</v>
      </c>
    </row>
    <row r="2441" spans="1:18" x14ac:dyDescent="0.25">
      <c r="A2441" s="170">
        <v>45597</v>
      </c>
      <c r="B2441" s="116">
        <v>585.79999999999995</v>
      </c>
      <c r="C2441" s="116">
        <v>582.9</v>
      </c>
      <c r="D2441" s="116">
        <v>580.9</v>
      </c>
      <c r="E2441" s="116">
        <v>584.95000000000005</v>
      </c>
      <c r="F2441" s="116">
        <v>582.9</v>
      </c>
      <c r="G2441">
        <v>12920</v>
      </c>
      <c r="H2441" s="116"/>
      <c r="I2441" s="116"/>
      <c r="L2441" s="170">
        <v>45597</v>
      </c>
      <c r="M2441" s="116">
        <v>582.45000000000005</v>
      </c>
      <c r="N2441" s="116">
        <v>585.5</v>
      </c>
      <c r="O2441" s="116">
        <v>580.04999999999995</v>
      </c>
      <c r="P2441" s="116">
        <v>582.95000000000005</v>
      </c>
      <c r="Q2441" s="116">
        <v>582.45000000000005</v>
      </c>
      <c r="R2441">
        <v>216563</v>
      </c>
    </row>
    <row r="2442" spans="1:18" x14ac:dyDescent="0.25">
      <c r="A2442" s="170">
        <v>45600</v>
      </c>
      <c r="B2442" s="116">
        <v>582</v>
      </c>
      <c r="C2442" s="116">
        <v>571.25</v>
      </c>
      <c r="D2442" s="116">
        <v>566</v>
      </c>
      <c r="E2442" s="116">
        <v>582</v>
      </c>
      <c r="F2442" s="116">
        <v>571.25</v>
      </c>
      <c r="G2442">
        <v>59503</v>
      </c>
      <c r="H2442" s="116"/>
      <c r="I2442" s="116"/>
      <c r="L2442" s="170">
        <v>45600</v>
      </c>
      <c r="M2442" s="116">
        <v>571.4</v>
      </c>
      <c r="N2442" s="116">
        <v>580.70000000000005</v>
      </c>
      <c r="O2442" s="116">
        <v>566</v>
      </c>
      <c r="P2442" s="116">
        <v>579.95000000000005</v>
      </c>
      <c r="Q2442" s="116">
        <v>571.4</v>
      </c>
      <c r="R2442">
        <v>1059806</v>
      </c>
    </row>
    <row r="2443" spans="1:18" x14ac:dyDescent="0.25">
      <c r="A2443" s="170">
        <v>45601</v>
      </c>
      <c r="B2443" s="116">
        <v>575</v>
      </c>
      <c r="C2443" s="116">
        <v>572.15</v>
      </c>
      <c r="D2443" s="116">
        <v>565.20000000000005</v>
      </c>
      <c r="E2443" s="116">
        <v>570.04999999999995</v>
      </c>
      <c r="F2443" s="116">
        <v>572.15</v>
      </c>
      <c r="G2443">
        <v>20386</v>
      </c>
      <c r="H2443" s="116"/>
      <c r="I2443" s="116"/>
      <c r="L2443" s="170">
        <v>45601</v>
      </c>
      <c r="M2443" s="116">
        <v>572</v>
      </c>
      <c r="N2443" s="116">
        <v>575</v>
      </c>
      <c r="O2443" s="116">
        <v>565.35</v>
      </c>
      <c r="P2443" s="116">
        <v>571</v>
      </c>
      <c r="Q2443" s="116">
        <v>572</v>
      </c>
      <c r="R2443">
        <v>625470</v>
      </c>
    </row>
    <row r="2444" spans="1:18" x14ac:dyDescent="0.25">
      <c r="A2444" s="170">
        <v>45602</v>
      </c>
      <c r="B2444" s="116">
        <v>585</v>
      </c>
      <c r="C2444" s="116">
        <v>582.9</v>
      </c>
      <c r="D2444" s="116">
        <v>572.4</v>
      </c>
      <c r="E2444" s="116">
        <v>574.85</v>
      </c>
      <c r="F2444" s="116">
        <v>582.9</v>
      </c>
      <c r="G2444">
        <v>72199</v>
      </c>
      <c r="H2444" s="116"/>
      <c r="I2444" s="116"/>
      <c r="L2444" s="170">
        <v>45602</v>
      </c>
      <c r="M2444" s="116">
        <v>582.65</v>
      </c>
      <c r="N2444" s="116">
        <v>585</v>
      </c>
      <c r="O2444" s="116">
        <v>572</v>
      </c>
      <c r="P2444" s="116">
        <v>572</v>
      </c>
      <c r="Q2444" s="116">
        <v>582.65</v>
      </c>
      <c r="R2444">
        <v>1682971</v>
      </c>
    </row>
    <row r="2445" spans="1:18" x14ac:dyDescent="0.25">
      <c r="A2445" s="170">
        <v>45603</v>
      </c>
      <c r="B2445" s="116">
        <v>585</v>
      </c>
      <c r="C2445" s="116">
        <v>570.5</v>
      </c>
      <c r="D2445" s="116">
        <v>569.1</v>
      </c>
      <c r="E2445" s="116">
        <v>583.5</v>
      </c>
      <c r="F2445" s="116">
        <v>570.5</v>
      </c>
      <c r="G2445">
        <v>61833</v>
      </c>
      <c r="H2445" s="116"/>
      <c r="I2445" s="116"/>
      <c r="L2445" s="170">
        <v>45603</v>
      </c>
      <c r="M2445" s="116">
        <v>570.70000000000005</v>
      </c>
      <c r="N2445" s="116">
        <v>585.04999999999995</v>
      </c>
      <c r="O2445" s="116">
        <v>569.4</v>
      </c>
      <c r="P2445" s="116">
        <v>584.20000000000005</v>
      </c>
      <c r="Q2445" s="116">
        <v>570.70000000000005</v>
      </c>
      <c r="R2445">
        <v>822608</v>
      </c>
    </row>
    <row r="2446" spans="1:18" x14ac:dyDescent="0.25">
      <c r="A2446" s="170">
        <v>45604</v>
      </c>
      <c r="B2446" s="116">
        <v>578</v>
      </c>
      <c r="C2446" s="116">
        <v>564.45000000000005</v>
      </c>
      <c r="D2446" s="116">
        <v>561.70000000000005</v>
      </c>
      <c r="E2446" s="116">
        <v>578</v>
      </c>
      <c r="F2446" s="116">
        <v>564.45000000000005</v>
      </c>
      <c r="G2446">
        <v>35027</v>
      </c>
      <c r="H2446" s="116"/>
      <c r="I2446" s="116"/>
      <c r="L2446" s="170">
        <v>45604</v>
      </c>
      <c r="M2446" s="116">
        <v>564.9</v>
      </c>
      <c r="N2446" s="116">
        <v>574.70000000000005</v>
      </c>
      <c r="O2446" s="116">
        <v>561.5</v>
      </c>
      <c r="P2446" s="116">
        <v>574.70000000000005</v>
      </c>
      <c r="Q2446" s="116">
        <v>564.9</v>
      </c>
      <c r="R2446">
        <v>901220</v>
      </c>
    </row>
    <row r="2447" spans="1:18" x14ac:dyDescent="0.25">
      <c r="A2447" s="170">
        <v>45607</v>
      </c>
      <c r="B2447" s="116">
        <v>569.20000000000005</v>
      </c>
      <c r="C2447" s="116">
        <v>560.85</v>
      </c>
      <c r="D2447" s="116">
        <v>558.6</v>
      </c>
      <c r="E2447" s="116">
        <v>569.20000000000005</v>
      </c>
      <c r="F2447" s="116">
        <v>560.85</v>
      </c>
      <c r="G2447">
        <v>20619</v>
      </c>
      <c r="H2447" s="116"/>
      <c r="I2447" s="116"/>
      <c r="L2447" s="170">
        <v>45607</v>
      </c>
      <c r="M2447" s="116">
        <v>560.4</v>
      </c>
      <c r="N2447" s="116">
        <v>567.79999999999995</v>
      </c>
      <c r="O2447" s="116">
        <v>558.54999999999995</v>
      </c>
      <c r="P2447" s="116">
        <v>564</v>
      </c>
      <c r="Q2447" s="116">
        <v>560.4</v>
      </c>
      <c r="R2447">
        <v>745179</v>
      </c>
    </row>
    <row r="2448" spans="1:18" x14ac:dyDescent="0.25">
      <c r="A2448" s="170">
        <v>45608</v>
      </c>
      <c r="B2448" s="116">
        <v>565.29999999999995</v>
      </c>
      <c r="C2448" s="116">
        <v>556.65</v>
      </c>
      <c r="D2448" s="116">
        <v>555</v>
      </c>
      <c r="E2448" s="116">
        <v>560.04999999999995</v>
      </c>
      <c r="F2448" s="116">
        <v>556.65</v>
      </c>
      <c r="G2448">
        <v>46058</v>
      </c>
      <c r="H2448" s="116"/>
      <c r="I2448" s="116"/>
      <c r="L2448" s="170">
        <v>45608</v>
      </c>
      <c r="M2448" s="116">
        <v>556.6</v>
      </c>
      <c r="N2448" s="116">
        <v>565.5</v>
      </c>
      <c r="O2448" s="116">
        <v>554.5</v>
      </c>
      <c r="P2448" s="116">
        <v>561.95000000000005</v>
      </c>
      <c r="Q2448" s="116">
        <v>556.6</v>
      </c>
      <c r="R2448">
        <v>761982</v>
      </c>
    </row>
    <row r="2449" spans="1:18" x14ac:dyDescent="0.25">
      <c r="A2449" s="170">
        <v>45609</v>
      </c>
      <c r="B2449" s="116">
        <v>558.04999999999995</v>
      </c>
      <c r="C2449" s="116">
        <v>545.35</v>
      </c>
      <c r="D2449" s="116">
        <v>541.15</v>
      </c>
      <c r="E2449" s="116">
        <v>550.04999999999995</v>
      </c>
      <c r="F2449" s="116">
        <v>545.35</v>
      </c>
      <c r="G2449">
        <v>98110</v>
      </c>
      <c r="H2449" s="116"/>
      <c r="I2449" s="116"/>
      <c r="L2449" s="170">
        <v>45609</v>
      </c>
      <c r="M2449" s="116">
        <v>545.35</v>
      </c>
      <c r="N2449" s="116">
        <v>558.25</v>
      </c>
      <c r="O2449" s="116">
        <v>541.25</v>
      </c>
      <c r="P2449" s="116">
        <v>554</v>
      </c>
      <c r="Q2449" s="116">
        <v>545.35</v>
      </c>
      <c r="R2449">
        <v>838603</v>
      </c>
    </row>
    <row r="2450" spans="1:18" x14ac:dyDescent="0.25">
      <c r="A2450" s="170">
        <v>45610</v>
      </c>
      <c r="B2450" s="116">
        <v>552.25</v>
      </c>
      <c r="C2450" s="116">
        <v>544.65</v>
      </c>
      <c r="D2450" s="116">
        <v>540.54999999999995</v>
      </c>
      <c r="E2450" s="116">
        <v>545</v>
      </c>
      <c r="F2450" s="116">
        <v>544.65</v>
      </c>
      <c r="G2450">
        <v>57957</v>
      </c>
      <c r="H2450" s="116"/>
      <c r="I2450" s="116"/>
      <c r="L2450" s="170">
        <v>45610</v>
      </c>
      <c r="M2450" s="116">
        <v>544.5</v>
      </c>
      <c r="N2450" s="116">
        <v>552.29999999999995</v>
      </c>
      <c r="O2450" s="116">
        <v>541.04999999999995</v>
      </c>
      <c r="P2450" s="116">
        <v>545.35</v>
      </c>
      <c r="Q2450" s="116">
        <v>544.5</v>
      </c>
      <c r="R2450">
        <v>1535042</v>
      </c>
    </row>
    <row r="2451" spans="1:18" x14ac:dyDescent="0.25">
      <c r="A2451" s="170">
        <v>45614</v>
      </c>
      <c r="B2451" s="116">
        <v>554.4</v>
      </c>
      <c r="C2451" s="116">
        <v>550.29999999999995</v>
      </c>
      <c r="D2451" s="116">
        <v>538</v>
      </c>
      <c r="E2451" s="116">
        <v>539.15</v>
      </c>
      <c r="F2451" s="116">
        <v>550.29999999999995</v>
      </c>
      <c r="G2451">
        <v>57851</v>
      </c>
      <c r="H2451" s="116"/>
      <c r="I2451" s="116"/>
      <c r="L2451" s="170">
        <v>45614</v>
      </c>
      <c r="M2451" s="116">
        <v>550.54999999999995</v>
      </c>
      <c r="N2451" s="116">
        <v>555</v>
      </c>
      <c r="O2451" s="116">
        <v>537.9</v>
      </c>
      <c r="P2451" s="116">
        <v>541</v>
      </c>
      <c r="Q2451" s="116">
        <v>550.54999999999995</v>
      </c>
      <c r="R2451">
        <v>1707792</v>
      </c>
    </row>
    <row r="2452" spans="1:18" x14ac:dyDescent="0.25">
      <c r="A2452" s="170">
        <v>45615</v>
      </c>
      <c r="B2452" s="116">
        <v>560</v>
      </c>
      <c r="C2452" s="116">
        <v>549.6</v>
      </c>
      <c r="D2452" s="116">
        <v>547.04999999999995</v>
      </c>
      <c r="E2452" s="116">
        <v>550.04999999999995</v>
      </c>
      <c r="F2452" s="116">
        <v>549.6</v>
      </c>
      <c r="G2452">
        <v>68755</v>
      </c>
      <c r="H2452" s="116"/>
      <c r="I2452" s="116"/>
      <c r="L2452" s="170">
        <v>45615</v>
      </c>
      <c r="M2452" s="116">
        <v>549.54999999999995</v>
      </c>
      <c r="N2452" s="116">
        <v>560.35</v>
      </c>
      <c r="O2452" s="116">
        <v>546.9</v>
      </c>
      <c r="P2452" s="116">
        <v>551.04999999999995</v>
      </c>
      <c r="Q2452" s="116">
        <v>549.54999999999995</v>
      </c>
      <c r="R2452">
        <v>1267126</v>
      </c>
    </row>
    <row r="2453" spans="1:18" x14ac:dyDescent="0.25">
      <c r="A2453" s="170">
        <v>45617</v>
      </c>
      <c r="B2453" s="116">
        <v>500</v>
      </c>
      <c r="C2453" s="116">
        <v>483.75</v>
      </c>
      <c r="D2453" s="116">
        <v>452.9</v>
      </c>
      <c r="E2453" s="116">
        <v>494.65</v>
      </c>
      <c r="F2453" s="116">
        <v>483.75</v>
      </c>
      <c r="G2453">
        <v>1427554</v>
      </c>
      <c r="H2453" s="116"/>
      <c r="I2453" s="116"/>
      <c r="L2453" s="170">
        <v>45617</v>
      </c>
      <c r="M2453" s="116">
        <v>484.15</v>
      </c>
      <c r="N2453" s="116">
        <v>500</v>
      </c>
      <c r="O2453" s="116">
        <v>453.05</v>
      </c>
      <c r="P2453" s="116">
        <v>494.6</v>
      </c>
      <c r="Q2453" s="116">
        <v>484.15</v>
      </c>
      <c r="R2453">
        <v>38274256</v>
      </c>
    </row>
    <row r="2454" spans="1:18" x14ac:dyDescent="0.25">
      <c r="A2454" s="170">
        <v>45618</v>
      </c>
      <c r="B2454" s="116">
        <v>514.6</v>
      </c>
      <c r="C2454" s="116">
        <v>500.7</v>
      </c>
      <c r="D2454" s="116">
        <v>475.05</v>
      </c>
      <c r="E2454" s="116">
        <v>475.05</v>
      </c>
      <c r="F2454" s="116">
        <v>500.7</v>
      </c>
      <c r="G2454">
        <v>509370</v>
      </c>
      <c r="H2454" s="116"/>
      <c r="I2454" s="116"/>
      <c r="L2454" s="170">
        <v>45618</v>
      </c>
      <c r="M2454" s="116">
        <v>499.85</v>
      </c>
      <c r="N2454" s="116">
        <v>514.85</v>
      </c>
      <c r="O2454" s="116">
        <v>477.15</v>
      </c>
      <c r="P2454" s="116">
        <v>477.15</v>
      </c>
      <c r="Q2454" s="116">
        <v>499.85</v>
      </c>
      <c r="R2454">
        <v>11645446</v>
      </c>
    </row>
    <row r="2455" spans="1:18" x14ac:dyDescent="0.25">
      <c r="A2455" s="170">
        <v>45621</v>
      </c>
      <c r="B2455" s="116">
        <v>514.29999999999995</v>
      </c>
      <c r="C2455" s="116">
        <v>505.1</v>
      </c>
      <c r="D2455" s="116">
        <v>502.95</v>
      </c>
      <c r="E2455" s="116">
        <v>513</v>
      </c>
      <c r="F2455" s="116">
        <v>505.1</v>
      </c>
      <c r="G2455">
        <v>225650</v>
      </c>
      <c r="H2455" s="116"/>
      <c r="I2455" s="116"/>
      <c r="L2455" s="170">
        <v>45621</v>
      </c>
      <c r="M2455" s="116">
        <v>504.95</v>
      </c>
      <c r="N2455" s="116">
        <v>514.29999999999995</v>
      </c>
      <c r="O2455" s="116">
        <v>503.2</v>
      </c>
      <c r="P2455" s="116">
        <v>513.5</v>
      </c>
      <c r="Q2455" s="116">
        <v>504.95</v>
      </c>
      <c r="R2455">
        <v>5805288</v>
      </c>
    </row>
    <row r="2456" spans="1:18" x14ac:dyDescent="0.25">
      <c r="A2456" s="170">
        <v>45622</v>
      </c>
      <c r="B2456" s="116">
        <v>509.75</v>
      </c>
      <c r="C2456" s="116">
        <v>493.45</v>
      </c>
      <c r="D2456" s="116">
        <v>491.05</v>
      </c>
      <c r="E2456" s="116">
        <v>509.75</v>
      </c>
      <c r="F2456" s="116">
        <v>493.45</v>
      </c>
      <c r="G2456">
        <v>184633</v>
      </c>
      <c r="H2456" s="116"/>
      <c r="I2456" s="116"/>
      <c r="L2456" s="170">
        <v>45622</v>
      </c>
      <c r="M2456" s="116">
        <v>493.7</v>
      </c>
      <c r="N2456" s="116">
        <v>508.3</v>
      </c>
      <c r="O2456" s="116">
        <v>491.7</v>
      </c>
      <c r="P2456" s="116">
        <v>507.3</v>
      </c>
      <c r="Q2456" s="116">
        <v>493.7</v>
      </c>
      <c r="R2456">
        <v>4602794</v>
      </c>
    </row>
    <row r="2457" spans="1:18" x14ac:dyDescent="0.25">
      <c r="A2457" s="170">
        <v>45623</v>
      </c>
      <c r="B2457" s="116">
        <v>523.54999999999995</v>
      </c>
      <c r="C2457" s="116">
        <v>515.15</v>
      </c>
      <c r="D2457" s="116">
        <v>490</v>
      </c>
      <c r="E2457" s="116">
        <v>495.6</v>
      </c>
      <c r="F2457" s="116">
        <v>515.15</v>
      </c>
      <c r="G2457">
        <v>350435</v>
      </c>
      <c r="H2457" s="116"/>
      <c r="I2457" s="116"/>
      <c r="L2457" s="170">
        <v>45623</v>
      </c>
      <c r="M2457" s="116">
        <v>515</v>
      </c>
      <c r="N2457" s="116">
        <v>523.5</v>
      </c>
      <c r="O2457" s="116">
        <v>489.05</v>
      </c>
      <c r="P2457" s="116">
        <v>497</v>
      </c>
      <c r="Q2457" s="116">
        <v>515</v>
      </c>
      <c r="R2457">
        <v>8458453</v>
      </c>
    </row>
    <row r="2458" spans="1:18" x14ac:dyDescent="0.25">
      <c r="A2458" s="170">
        <v>45624</v>
      </c>
      <c r="B2458" s="116">
        <v>522.75</v>
      </c>
      <c r="C2458" s="116">
        <v>512.70000000000005</v>
      </c>
      <c r="D2458" s="116">
        <v>510.8</v>
      </c>
      <c r="E2458" s="116">
        <v>515.45000000000005</v>
      </c>
      <c r="F2458" s="116">
        <v>512.70000000000005</v>
      </c>
      <c r="G2458">
        <v>253324</v>
      </c>
      <c r="H2458" s="116"/>
      <c r="I2458" s="116"/>
      <c r="L2458" s="170">
        <v>45624</v>
      </c>
      <c r="M2458" s="116">
        <v>513</v>
      </c>
      <c r="N2458" s="116">
        <v>522.54999999999995</v>
      </c>
      <c r="O2458" s="116">
        <v>510.65</v>
      </c>
      <c r="P2458" s="116">
        <v>518.5</v>
      </c>
      <c r="Q2458" s="116">
        <v>513</v>
      </c>
      <c r="R2458">
        <v>6194006</v>
      </c>
    </row>
    <row r="2459" spans="1:18" x14ac:dyDescent="0.25">
      <c r="A2459" s="170">
        <v>45625</v>
      </c>
      <c r="B2459" s="116">
        <v>536.04999999999995</v>
      </c>
      <c r="C2459" s="116">
        <v>531.79999999999995</v>
      </c>
      <c r="D2459" s="116">
        <v>513</v>
      </c>
      <c r="E2459" s="116">
        <v>515</v>
      </c>
      <c r="F2459" s="116">
        <v>531.79999999999995</v>
      </c>
      <c r="G2459">
        <v>201113</v>
      </c>
      <c r="H2459" s="116"/>
      <c r="I2459" s="116"/>
      <c r="L2459" s="170">
        <v>45625</v>
      </c>
      <c r="M2459" s="116">
        <v>531.5</v>
      </c>
      <c r="N2459" s="116">
        <v>535.70000000000005</v>
      </c>
      <c r="O2459" s="116">
        <v>513.5</v>
      </c>
      <c r="P2459" s="116">
        <v>515.5</v>
      </c>
      <c r="Q2459" s="116">
        <v>531.5</v>
      </c>
      <c r="R2459">
        <v>6608627</v>
      </c>
    </row>
    <row r="2460" spans="1:18" x14ac:dyDescent="0.25">
      <c r="A2460" s="170">
        <v>45628</v>
      </c>
      <c r="B2460" s="116">
        <v>541</v>
      </c>
      <c r="C2460" s="116">
        <v>538.95000000000005</v>
      </c>
      <c r="D2460" s="116">
        <v>529.95000000000005</v>
      </c>
      <c r="E2460" s="116">
        <v>534.54999999999995</v>
      </c>
      <c r="F2460" s="116">
        <v>538.95000000000005</v>
      </c>
      <c r="G2460">
        <v>163397</v>
      </c>
      <c r="H2460" s="116"/>
      <c r="I2460" s="116"/>
      <c r="L2460" s="170">
        <v>45628</v>
      </c>
      <c r="M2460" s="116">
        <v>538.79999999999995</v>
      </c>
      <c r="N2460" s="116">
        <v>541</v>
      </c>
      <c r="O2460" s="116">
        <v>530.04999999999995</v>
      </c>
      <c r="P2460" s="116">
        <v>532</v>
      </c>
      <c r="Q2460" s="116">
        <v>538.79999999999995</v>
      </c>
      <c r="R2460">
        <v>3153526</v>
      </c>
    </row>
    <row r="2461" spans="1:18" x14ac:dyDescent="0.25">
      <c r="A2461" s="170">
        <v>45629</v>
      </c>
      <c r="B2461" s="116">
        <v>571.75</v>
      </c>
      <c r="C2461" s="116">
        <v>566.70000000000005</v>
      </c>
      <c r="D2461" s="116">
        <v>539.6</v>
      </c>
      <c r="E2461" s="116">
        <v>541.29999999999995</v>
      </c>
      <c r="F2461" s="116">
        <v>566.70000000000005</v>
      </c>
      <c r="G2461">
        <v>299987</v>
      </c>
      <c r="H2461" s="116"/>
      <c r="I2461" s="116"/>
      <c r="L2461" s="170">
        <v>45629</v>
      </c>
      <c r="M2461" s="116">
        <v>566.54999999999995</v>
      </c>
      <c r="N2461" s="116">
        <v>571.95000000000005</v>
      </c>
      <c r="O2461" s="116">
        <v>539</v>
      </c>
      <c r="P2461" s="116">
        <v>541.1</v>
      </c>
      <c r="Q2461" s="116">
        <v>566.54999999999995</v>
      </c>
      <c r="R2461">
        <v>5596923</v>
      </c>
    </row>
    <row r="2462" spans="1:18" x14ac:dyDescent="0.25">
      <c r="A2462" s="170">
        <v>45630</v>
      </c>
      <c r="B2462" s="116">
        <v>573.95000000000005</v>
      </c>
      <c r="C2462" s="116">
        <v>564.4</v>
      </c>
      <c r="D2462" s="116">
        <v>560.54999999999995</v>
      </c>
      <c r="E2462" s="116">
        <v>573.95000000000005</v>
      </c>
      <c r="F2462" s="116">
        <v>564.4</v>
      </c>
      <c r="G2462">
        <v>147286</v>
      </c>
      <c r="H2462" s="116"/>
      <c r="I2462" s="116"/>
      <c r="L2462" s="170">
        <v>45630</v>
      </c>
      <c r="M2462" s="116">
        <v>564.70000000000005</v>
      </c>
      <c r="N2462" s="116">
        <v>572.70000000000005</v>
      </c>
      <c r="O2462" s="116">
        <v>560.4</v>
      </c>
      <c r="P2462" s="116">
        <v>572.70000000000005</v>
      </c>
      <c r="Q2462" s="116">
        <v>564.70000000000005</v>
      </c>
      <c r="R2462">
        <v>1530852</v>
      </c>
    </row>
    <row r="2463" spans="1:18" x14ac:dyDescent="0.25">
      <c r="A2463" s="170">
        <v>45631</v>
      </c>
      <c r="B2463" s="116">
        <v>573</v>
      </c>
      <c r="C2463" s="116">
        <v>571.1</v>
      </c>
      <c r="D2463" s="116">
        <v>563.75</v>
      </c>
      <c r="E2463" s="116">
        <v>569.65</v>
      </c>
      <c r="F2463" s="116">
        <v>571.1</v>
      </c>
      <c r="G2463">
        <v>67050</v>
      </c>
      <c r="H2463" s="116"/>
      <c r="I2463" s="116"/>
      <c r="L2463" s="170">
        <v>45631</v>
      </c>
      <c r="M2463" s="116">
        <v>571.1</v>
      </c>
      <c r="N2463" s="116">
        <v>573.35</v>
      </c>
      <c r="O2463" s="116">
        <v>563.4</v>
      </c>
      <c r="P2463" s="116">
        <v>569</v>
      </c>
      <c r="Q2463" s="116">
        <v>571.1</v>
      </c>
      <c r="R2463">
        <v>3051624</v>
      </c>
    </row>
    <row r="2464" spans="1:18" x14ac:dyDescent="0.25">
      <c r="A2464" s="170">
        <v>45632</v>
      </c>
      <c r="B2464" s="116">
        <v>573.35</v>
      </c>
      <c r="C2464" s="116">
        <v>565.45000000000005</v>
      </c>
      <c r="D2464" s="116">
        <v>564.65</v>
      </c>
      <c r="E2464" s="116">
        <v>571.1</v>
      </c>
      <c r="F2464" s="116">
        <v>565.45000000000005</v>
      </c>
      <c r="G2464">
        <v>77945</v>
      </c>
      <c r="H2464" s="116"/>
      <c r="I2464" s="116"/>
      <c r="L2464" s="170">
        <v>45632</v>
      </c>
      <c r="M2464" s="116">
        <v>565.29999999999995</v>
      </c>
      <c r="N2464" s="116">
        <v>573.54999999999995</v>
      </c>
      <c r="O2464" s="116">
        <v>564.5</v>
      </c>
      <c r="P2464" s="116">
        <v>571.70000000000005</v>
      </c>
      <c r="Q2464" s="116">
        <v>565.29999999999995</v>
      </c>
      <c r="R2464">
        <v>855417</v>
      </c>
    </row>
    <row r="2465" spans="1:18" x14ac:dyDescent="0.25">
      <c r="A2465" s="170">
        <v>45635</v>
      </c>
      <c r="B2465" s="116">
        <v>576.25</v>
      </c>
      <c r="C2465" s="116">
        <v>571.1</v>
      </c>
      <c r="D2465" s="116">
        <v>564.65</v>
      </c>
      <c r="E2465" s="116">
        <v>569.85</v>
      </c>
      <c r="F2465" s="116">
        <v>571.1</v>
      </c>
      <c r="G2465">
        <v>85546</v>
      </c>
      <c r="H2465" s="116"/>
      <c r="I2465" s="116"/>
      <c r="L2465" s="170">
        <v>45635</v>
      </c>
      <c r="M2465" s="116">
        <v>571.29999999999995</v>
      </c>
      <c r="N2465" s="116">
        <v>576.75</v>
      </c>
      <c r="O2465" s="116">
        <v>565</v>
      </c>
      <c r="P2465" s="116">
        <v>568</v>
      </c>
      <c r="Q2465" s="116">
        <v>571.29999999999995</v>
      </c>
      <c r="R2465">
        <v>1156965</v>
      </c>
    </row>
    <row r="2466" spans="1:18" x14ac:dyDescent="0.25">
      <c r="A2466" s="170">
        <v>45636</v>
      </c>
      <c r="B2466" s="116">
        <v>574.95000000000005</v>
      </c>
      <c r="C2466" s="116">
        <v>573.5</v>
      </c>
      <c r="D2466" s="116">
        <v>566.15</v>
      </c>
      <c r="E2466" s="116">
        <v>574.95000000000005</v>
      </c>
      <c r="F2466" s="116">
        <v>573.5</v>
      </c>
      <c r="G2466">
        <v>63155</v>
      </c>
      <c r="H2466" s="116"/>
      <c r="I2466" s="116"/>
      <c r="L2466" s="170">
        <v>45636</v>
      </c>
      <c r="M2466" s="116">
        <v>573.5</v>
      </c>
      <c r="N2466" s="116">
        <v>574.54999999999995</v>
      </c>
      <c r="O2466" s="116">
        <v>566.1</v>
      </c>
      <c r="P2466" s="116">
        <v>571.75</v>
      </c>
      <c r="Q2466" s="116">
        <v>573.5</v>
      </c>
      <c r="R2466">
        <v>1086918</v>
      </c>
    </row>
    <row r="2467" spans="1:18" x14ac:dyDescent="0.25">
      <c r="A2467" s="170">
        <v>45637</v>
      </c>
      <c r="B2467" s="116">
        <v>584</v>
      </c>
      <c r="C2467" s="116">
        <v>578.29999999999995</v>
      </c>
      <c r="D2467" s="116">
        <v>575.5</v>
      </c>
      <c r="E2467" s="116">
        <v>578</v>
      </c>
      <c r="F2467" s="116">
        <v>578.29999999999995</v>
      </c>
      <c r="G2467">
        <v>136143</v>
      </c>
      <c r="H2467" s="116"/>
      <c r="I2467" s="116"/>
      <c r="L2467" s="170">
        <v>45637</v>
      </c>
      <c r="M2467" s="116">
        <v>578.45000000000005</v>
      </c>
      <c r="N2467" s="116">
        <v>584.20000000000005</v>
      </c>
      <c r="O2467" s="116">
        <v>575.45000000000005</v>
      </c>
      <c r="P2467" s="116">
        <v>578</v>
      </c>
      <c r="Q2467" s="116">
        <v>578.45000000000005</v>
      </c>
      <c r="R2467">
        <v>2670785</v>
      </c>
    </row>
    <row r="2468" spans="1:18" x14ac:dyDescent="0.25">
      <c r="A2468" s="170">
        <v>45638</v>
      </c>
      <c r="B2468" s="116">
        <v>579.35</v>
      </c>
      <c r="C2468" s="116">
        <v>572</v>
      </c>
      <c r="D2468" s="116">
        <v>570.1</v>
      </c>
      <c r="E2468" s="116">
        <v>577.6</v>
      </c>
      <c r="F2468" s="116">
        <v>572</v>
      </c>
      <c r="G2468">
        <v>79004</v>
      </c>
      <c r="H2468" s="116"/>
      <c r="I2468" s="116"/>
      <c r="L2468" s="170">
        <v>45638</v>
      </c>
      <c r="M2468" s="116">
        <v>571.75</v>
      </c>
      <c r="N2468" s="116">
        <v>579.70000000000005</v>
      </c>
      <c r="O2468" s="116">
        <v>570.20000000000005</v>
      </c>
      <c r="P2468" s="116">
        <v>578</v>
      </c>
      <c r="Q2468" s="116">
        <v>571.75</v>
      </c>
      <c r="R2468">
        <v>2304456</v>
      </c>
    </row>
    <row r="2469" spans="1:18" x14ac:dyDescent="0.25">
      <c r="A2469" s="170">
        <v>45639</v>
      </c>
      <c r="B2469" s="116">
        <v>574.70000000000005</v>
      </c>
      <c r="C2469" s="116">
        <v>572.6</v>
      </c>
      <c r="D2469" s="116">
        <v>564.04999999999995</v>
      </c>
      <c r="E2469" s="116">
        <v>571</v>
      </c>
      <c r="F2469" s="116">
        <v>572.6</v>
      </c>
      <c r="G2469">
        <v>70577</v>
      </c>
      <c r="H2469" s="116"/>
      <c r="I2469" s="116"/>
      <c r="L2469" s="170">
        <v>45639</v>
      </c>
      <c r="M2469" s="116">
        <v>572.75</v>
      </c>
      <c r="N2469" s="116">
        <v>574.95000000000005</v>
      </c>
      <c r="O2469" s="116">
        <v>564.04999999999995</v>
      </c>
      <c r="P2469" s="116">
        <v>570</v>
      </c>
      <c r="Q2469" s="116">
        <v>572.75</v>
      </c>
      <c r="R2469">
        <v>2266790</v>
      </c>
    </row>
    <row r="2470" spans="1:18" x14ac:dyDescent="0.25">
      <c r="A2470" s="170">
        <v>45642</v>
      </c>
      <c r="B2470" s="116">
        <v>578.75</v>
      </c>
      <c r="C2470" s="116">
        <v>576.75</v>
      </c>
      <c r="D2470" s="116">
        <v>571.85</v>
      </c>
      <c r="E2470" s="116">
        <v>574.95000000000005</v>
      </c>
      <c r="F2470" s="116">
        <v>576.75</v>
      </c>
      <c r="G2470">
        <v>24197</v>
      </c>
      <c r="H2470" s="116"/>
      <c r="I2470" s="116"/>
      <c r="L2470" s="170">
        <v>45642</v>
      </c>
      <c r="M2470" s="116">
        <v>576.95000000000005</v>
      </c>
      <c r="N2470" s="116">
        <v>578.75</v>
      </c>
      <c r="O2470" s="116">
        <v>571.85</v>
      </c>
      <c r="P2470" s="116">
        <v>573.25</v>
      </c>
      <c r="Q2470" s="116">
        <v>576.95000000000005</v>
      </c>
      <c r="R2470">
        <v>1121729</v>
      </c>
    </row>
    <row r="2471" spans="1:18" x14ac:dyDescent="0.25">
      <c r="A2471" s="170">
        <v>45643</v>
      </c>
      <c r="B2471" s="116">
        <v>578</v>
      </c>
      <c r="C2471" s="116">
        <v>570.95000000000005</v>
      </c>
      <c r="D2471" s="116">
        <v>569.79999999999995</v>
      </c>
      <c r="E2471" s="116">
        <v>573.4</v>
      </c>
      <c r="F2471" s="116">
        <v>570.95000000000005</v>
      </c>
      <c r="G2471">
        <v>27489</v>
      </c>
      <c r="H2471" s="116"/>
      <c r="I2471" s="116"/>
      <c r="L2471" s="170">
        <v>45643</v>
      </c>
      <c r="M2471" s="116">
        <v>571.1</v>
      </c>
      <c r="N2471" s="116">
        <v>578.5</v>
      </c>
      <c r="O2471" s="116">
        <v>569.54999999999995</v>
      </c>
      <c r="P2471" s="116">
        <v>576</v>
      </c>
      <c r="Q2471" s="116">
        <v>571.1</v>
      </c>
      <c r="R2471">
        <v>1085240</v>
      </c>
    </row>
    <row r="2472" spans="1:18" x14ac:dyDescent="0.25">
      <c r="A2472" s="170">
        <v>45644</v>
      </c>
      <c r="B2472" s="116">
        <v>578.15</v>
      </c>
      <c r="C2472" s="116">
        <v>564.6</v>
      </c>
      <c r="D2472" s="116">
        <v>563.20000000000005</v>
      </c>
      <c r="E2472" s="116">
        <v>577</v>
      </c>
      <c r="F2472" s="116">
        <v>564.6</v>
      </c>
      <c r="G2472">
        <v>50095</v>
      </c>
      <c r="H2472" s="116"/>
      <c r="I2472" s="116"/>
      <c r="L2472" s="170">
        <v>45644</v>
      </c>
      <c r="M2472" s="116">
        <v>564.54999999999995</v>
      </c>
      <c r="N2472" s="116">
        <v>579</v>
      </c>
      <c r="O2472" s="116">
        <v>563.1</v>
      </c>
      <c r="P2472" s="116">
        <v>577</v>
      </c>
      <c r="Q2472" s="116">
        <v>564.54999999999995</v>
      </c>
      <c r="R2472">
        <v>1635003</v>
      </c>
    </row>
    <row r="2473" spans="1:18" x14ac:dyDescent="0.25">
      <c r="A2473" s="170">
        <v>45645</v>
      </c>
      <c r="B2473" s="116">
        <v>564.20000000000005</v>
      </c>
      <c r="C2473" s="116">
        <v>563.1</v>
      </c>
      <c r="D2473" s="116">
        <v>553.4</v>
      </c>
      <c r="E2473" s="116">
        <v>555.35</v>
      </c>
      <c r="F2473" s="116">
        <v>563.1</v>
      </c>
      <c r="G2473">
        <v>69791</v>
      </c>
      <c r="H2473" s="116"/>
      <c r="I2473" s="116"/>
      <c r="L2473" s="170">
        <v>45645</v>
      </c>
      <c r="M2473" s="116">
        <v>563.29999999999995</v>
      </c>
      <c r="N2473" s="116">
        <v>564.4</v>
      </c>
      <c r="O2473" s="116">
        <v>553.65</v>
      </c>
      <c r="P2473" s="116">
        <v>555.75</v>
      </c>
      <c r="Q2473" s="116">
        <v>563.29999999999995</v>
      </c>
      <c r="R2473">
        <v>1365560</v>
      </c>
    </row>
    <row r="2474" spans="1:18" x14ac:dyDescent="0.25">
      <c r="A2474" s="170">
        <v>45646</v>
      </c>
      <c r="B2474" s="116">
        <v>570</v>
      </c>
      <c r="C2474" s="116">
        <v>548.85</v>
      </c>
      <c r="D2474" s="116">
        <v>546.85</v>
      </c>
      <c r="E2474" s="116">
        <v>563.79999999999995</v>
      </c>
      <c r="F2474" s="116">
        <v>548.85</v>
      </c>
      <c r="G2474">
        <v>25965</v>
      </c>
      <c r="H2474" s="116"/>
      <c r="I2474" s="116"/>
      <c r="L2474" s="170">
        <v>45646</v>
      </c>
      <c r="M2474" s="116">
        <v>548.79999999999995</v>
      </c>
      <c r="N2474" s="116">
        <v>569.6</v>
      </c>
      <c r="O2474" s="116">
        <v>547</v>
      </c>
      <c r="P2474" s="116">
        <v>563.5</v>
      </c>
      <c r="Q2474" s="116">
        <v>548.79999999999995</v>
      </c>
      <c r="R2474">
        <v>2113009</v>
      </c>
    </row>
    <row r="2475" spans="1:18" x14ac:dyDescent="0.25">
      <c r="A2475" s="170">
        <v>45649</v>
      </c>
      <c r="B2475" s="116">
        <v>554.29999999999995</v>
      </c>
      <c r="C2475" s="116">
        <v>551.25</v>
      </c>
      <c r="D2475" s="116">
        <v>547.4</v>
      </c>
      <c r="E2475" s="116">
        <v>551</v>
      </c>
      <c r="F2475" s="116">
        <v>551.25</v>
      </c>
      <c r="G2475">
        <v>45326</v>
      </c>
      <c r="H2475" s="116"/>
      <c r="I2475" s="116"/>
      <c r="L2475" s="170">
        <v>45649</v>
      </c>
      <c r="M2475" s="116">
        <v>550.65</v>
      </c>
      <c r="N2475" s="116">
        <v>554.5</v>
      </c>
      <c r="O2475" s="116">
        <v>547.25</v>
      </c>
      <c r="P2475" s="116">
        <v>551</v>
      </c>
      <c r="Q2475" s="116">
        <v>550.65</v>
      </c>
      <c r="R2475">
        <v>832775</v>
      </c>
    </row>
    <row r="2476" spans="1:18" x14ac:dyDescent="0.25">
      <c r="A2476" s="170">
        <v>45650</v>
      </c>
      <c r="B2476" s="116">
        <v>555.65</v>
      </c>
      <c r="C2476" s="116">
        <v>542.85</v>
      </c>
      <c r="D2476" s="116">
        <v>542</v>
      </c>
      <c r="E2476" s="116">
        <v>555.65</v>
      </c>
      <c r="F2476" s="116">
        <v>542.85</v>
      </c>
      <c r="G2476">
        <v>45804</v>
      </c>
      <c r="H2476" s="116"/>
      <c r="I2476" s="116"/>
      <c r="L2476" s="170">
        <v>45650</v>
      </c>
      <c r="M2476" s="116">
        <v>543.1</v>
      </c>
      <c r="N2476" s="116">
        <v>557</v>
      </c>
      <c r="O2476" s="116">
        <v>542</v>
      </c>
      <c r="P2476" s="116">
        <v>552</v>
      </c>
      <c r="Q2476" s="116">
        <v>543.1</v>
      </c>
      <c r="R2476">
        <v>978111</v>
      </c>
    </row>
    <row r="2477" spans="1:18" x14ac:dyDescent="0.25">
      <c r="A2477" s="170">
        <v>45652</v>
      </c>
      <c r="B2477" s="116">
        <v>550.54999999999995</v>
      </c>
      <c r="C2477" s="116">
        <v>548.70000000000005</v>
      </c>
      <c r="D2477" s="116">
        <v>540.75</v>
      </c>
      <c r="E2477" s="116">
        <v>543.45000000000005</v>
      </c>
      <c r="F2477" s="116">
        <v>548.70000000000005</v>
      </c>
      <c r="G2477">
        <v>44895</v>
      </c>
      <c r="H2477" s="116"/>
      <c r="I2477" s="116"/>
      <c r="L2477" s="170">
        <v>45652</v>
      </c>
      <c r="M2477" s="116">
        <v>548.79999999999995</v>
      </c>
      <c r="N2477" s="116">
        <v>550.75</v>
      </c>
      <c r="O2477" s="116">
        <v>540.4</v>
      </c>
      <c r="P2477" s="116">
        <v>544</v>
      </c>
      <c r="Q2477" s="116">
        <v>548.79999999999995</v>
      </c>
      <c r="R2477">
        <v>1688865</v>
      </c>
    </row>
    <row r="2478" spans="1:18" x14ac:dyDescent="0.25">
      <c r="A2478" s="170">
        <v>45653</v>
      </c>
      <c r="B2478" s="116">
        <v>553.79999999999995</v>
      </c>
      <c r="C2478" s="116">
        <v>548.25</v>
      </c>
      <c r="D2478" s="116">
        <v>545.20000000000005</v>
      </c>
      <c r="E2478" s="116">
        <v>545.20000000000005</v>
      </c>
      <c r="F2478" s="116">
        <v>548.25</v>
      </c>
      <c r="G2478">
        <v>26045</v>
      </c>
      <c r="H2478" s="116"/>
      <c r="I2478" s="116"/>
      <c r="L2478" s="170">
        <v>45653</v>
      </c>
      <c r="M2478" s="116">
        <v>547.95000000000005</v>
      </c>
      <c r="N2478" s="116">
        <v>553.45000000000005</v>
      </c>
      <c r="O2478" s="116">
        <v>546.5</v>
      </c>
      <c r="P2478" s="116">
        <v>550</v>
      </c>
      <c r="Q2478" s="116">
        <v>547.95000000000005</v>
      </c>
      <c r="R2478">
        <v>1167271</v>
      </c>
    </row>
    <row r="2479" spans="1:18" x14ac:dyDescent="0.25">
      <c r="A2479" s="170">
        <v>45656</v>
      </c>
      <c r="B2479" s="116">
        <v>558.85</v>
      </c>
      <c r="C2479" s="116">
        <v>545.25</v>
      </c>
      <c r="D2479" s="116">
        <v>541.85</v>
      </c>
      <c r="E2479" s="116">
        <v>547.4</v>
      </c>
      <c r="F2479" s="116">
        <v>545.25</v>
      </c>
      <c r="G2479">
        <v>131465</v>
      </c>
      <c r="H2479" s="116"/>
      <c r="I2479" s="116"/>
      <c r="L2479" s="170">
        <v>45656</v>
      </c>
      <c r="M2479" s="116">
        <v>544.6</v>
      </c>
      <c r="N2479" s="116">
        <v>558.9</v>
      </c>
      <c r="O2479" s="116">
        <v>541.45000000000005</v>
      </c>
      <c r="P2479" s="116">
        <v>548</v>
      </c>
      <c r="Q2479" s="116">
        <v>544.6</v>
      </c>
      <c r="R2479">
        <v>3433945</v>
      </c>
    </row>
    <row r="2480" spans="1:18" x14ac:dyDescent="0.25">
      <c r="A2480" s="170">
        <v>45657</v>
      </c>
      <c r="B2480" s="116">
        <v>548.45000000000005</v>
      </c>
      <c r="C2480" s="116">
        <v>535.5</v>
      </c>
      <c r="D2480" s="116">
        <v>533.70000000000005</v>
      </c>
      <c r="E2480" s="116">
        <v>542.70000000000005</v>
      </c>
      <c r="F2480" s="116">
        <v>535.5</v>
      </c>
      <c r="G2480">
        <v>54369</v>
      </c>
      <c r="H2480" s="116"/>
      <c r="I2480" s="116"/>
      <c r="L2480" s="170">
        <v>45657</v>
      </c>
      <c r="M2480" s="116">
        <v>535.79999999999995</v>
      </c>
      <c r="N2480" s="116">
        <v>549.04999999999995</v>
      </c>
      <c r="O2480" s="116">
        <v>533.5</v>
      </c>
      <c r="P2480" s="116">
        <v>545.95000000000005</v>
      </c>
      <c r="Q2480" s="116">
        <v>535.79999999999995</v>
      </c>
      <c r="R2480">
        <v>1065733</v>
      </c>
    </row>
    <row r="2481" spans="1:18" x14ac:dyDescent="0.25">
      <c r="A2481" s="170">
        <v>45658</v>
      </c>
      <c r="B2481" s="116">
        <v>541.95000000000005</v>
      </c>
      <c r="C2481" s="116">
        <v>538.25</v>
      </c>
      <c r="D2481" s="116">
        <v>530.5</v>
      </c>
      <c r="E2481" s="116">
        <v>541.95000000000005</v>
      </c>
      <c r="F2481" s="116">
        <v>538.25</v>
      </c>
      <c r="G2481">
        <v>18320</v>
      </c>
      <c r="H2481" s="116"/>
      <c r="I2481" s="116"/>
      <c r="L2481" s="170">
        <v>45658</v>
      </c>
      <c r="M2481" s="116">
        <v>538.6</v>
      </c>
      <c r="N2481" s="116">
        <v>542</v>
      </c>
      <c r="O2481" s="116">
        <v>530.54999999999995</v>
      </c>
      <c r="P2481" s="116">
        <v>537</v>
      </c>
      <c r="Q2481" s="116">
        <v>538.6</v>
      </c>
      <c r="R2481">
        <v>844154</v>
      </c>
    </row>
    <row r="2482" spans="1:18" x14ac:dyDescent="0.25">
      <c r="A2482" s="170">
        <v>45659</v>
      </c>
      <c r="B2482" s="116">
        <v>550.75</v>
      </c>
      <c r="C2482" s="116">
        <v>549.85</v>
      </c>
      <c r="D2482" s="116">
        <v>538.45000000000005</v>
      </c>
      <c r="E2482" s="116">
        <v>546.95000000000005</v>
      </c>
      <c r="F2482" s="116">
        <v>549.85</v>
      </c>
      <c r="G2482">
        <v>33920</v>
      </c>
      <c r="H2482" s="116"/>
      <c r="I2482" s="116"/>
      <c r="L2482" s="170">
        <v>45659</v>
      </c>
      <c r="M2482" s="116">
        <v>549.85</v>
      </c>
      <c r="N2482" s="116">
        <v>550.70000000000005</v>
      </c>
      <c r="O2482" s="116">
        <v>538.5</v>
      </c>
      <c r="P2482" s="116">
        <v>544</v>
      </c>
      <c r="Q2482" s="116">
        <v>549.85</v>
      </c>
      <c r="R2482">
        <v>2762768</v>
      </c>
    </row>
    <row r="2483" spans="1:18" x14ac:dyDescent="0.25">
      <c r="A2483" s="170">
        <v>45660</v>
      </c>
      <c r="B2483" s="116">
        <v>554.70000000000005</v>
      </c>
      <c r="C2483" s="116">
        <v>548.4</v>
      </c>
      <c r="D2483" s="116">
        <v>546</v>
      </c>
      <c r="E2483" s="116">
        <v>554.70000000000005</v>
      </c>
      <c r="F2483" s="116">
        <v>548.4</v>
      </c>
      <c r="G2483">
        <v>52106</v>
      </c>
      <c r="H2483" s="116"/>
      <c r="I2483" s="116"/>
      <c r="L2483" s="170">
        <v>45660</v>
      </c>
      <c r="M2483" s="116">
        <v>548.70000000000005</v>
      </c>
      <c r="N2483" s="116">
        <v>553.70000000000005</v>
      </c>
      <c r="O2483" s="116">
        <v>546.04999999999995</v>
      </c>
      <c r="P2483" s="116">
        <v>551.79999999999995</v>
      </c>
      <c r="Q2483" s="116">
        <v>548.70000000000005</v>
      </c>
      <c r="R2483">
        <v>2142459</v>
      </c>
    </row>
    <row r="2484" spans="1:18" x14ac:dyDescent="0.25">
      <c r="A2484" s="170">
        <v>45663</v>
      </c>
      <c r="B2484" s="116">
        <v>548.35</v>
      </c>
      <c r="C2484" s="116">
        <v>530</v>
      </c>
      <c r="D2484" s="116">
        <v>526.4</v>
      </c>
      <c r="E2484" s="116">
        <v>548.35</v>
      </c>
      <c r="F2484" s="116">
        <v>530</v>
      </c>
      <c r="G2484">
        <v>51712</v>
      </c>
      <c r="H2484" s="116"/>
      <c r="I2484" s="116"/>
      <c r="L2484" s="170">
        <v>45663</v>
      </c>
      <c r="M2484" s="116">
        <v>529.9</v>
      </c>
      <c r="N2484" s="116">
        <v>548</v>
      </c>
      <c r="O2484" s="116">
        <v>526.1</v>
      </c>
      <c r="P2484" s="116">
        <v>547.65</v>
      </c>
      <c r="Q2484" s="116">
        <v>529.9</v>
      </c>
      <c r="R2484">
        <v>3644069</v>
      </c>
    </row>
    <row r="2485" spans="1:18" x14ac:dyDescent="0.25">
      <c r="A2485" s="170">
        <v>45664</v>
      </c>
      <c r="B2485" s="116">
        <v>539.45000000000005</v>
      </c>
      <c r="C2485" s="116">
        <v>535.75</v>
      </c>
      <c r="D2485" s="116">
        <v>524.70000000000005</v>
      </c>
      <c r="E2485" s="116">
        <v>530</v>
      </c>
      <c r="F2485" s="116">
        <v>535.75</v>
      </c>
      <c r="G2485">
        <v>64928</v>
      </c>
      <c r="H2485" s="116"/>
      <c r="I2485" s="116"/>
      <c r="L2485" s="170">
        <v>45664</v>
      </c>
      <c r="M2485" s="116">
        <v>535.75</v>
      </c>
      <c r="N2485" s="116">
        <v>539.70000000000005</v>
      </c>
      <c r="O2485" s="116">
        <v>525.29999999999995</v>
      </c>
      <c r="P2485" s="116">
        <v>532.65</v>
      </c>
      <c r="Q2485" s="116">
        <v>535.75</v>
      </c>
      <c r="R2485">
        <v>758941</v>
      </c>
    </row>
    <row r="2486" spans="1:18" x14ac:dyDescent="0.25">
      <c r="A2486" s="170">
        <v>45665</v>
      </c>
      <c r="B2486" s="116">
        <v>540.35</v>
      </c>
      <c r="C2486" s="116">
        <v>537.65</v>
      </c>
      <c r="D2486" s="116">
        <v>530.15</v>
      </c>
      <c r="E2486" s="116">
        <v>536.25</v>
      </c>
      <c r="F2486" s="116">
        <v>537.65</v>
      </c>
      <c r="G2486">
        <v>54829</v>
      </c>
      <c r="H2486" s="116"/>
      <c r="I2486" s="116"/>
      <c r="L2486" s="170">
        <v>45665</v>
      </c>
      <c r="M2486" s="116">
        <v>538.04999999999995</v>
      </c>
      <c r="N2486" s="116">
        <v>540.54999999999995</v>
      </c>
      <c r="O2486" s="116">
        <v>530.25</v>
      </c>
      <c r="P2486" s="116">
        <v>537</v>
      </c>
      <c r="Q2486" s="116">
        <v>538.04999999999995</v>
      </c>
      <c r="R2486">
        <v>1397363</v>
      </c>
    </row>
    <row r="2487" spans="1:18" x14ac:dyDescent="0.25">
      <c r="A2487" s="170">
        <v>45666</v>
      </c>
      <c r="B2487" s="116">
        <v>539.65</v>
      </c>
      <c r="C2487" s="116">
        <v>525.29999999999995</v>
      </c>
      <c r="D2487" s="116">
        <v>522.35</v>
      </c>
      <c r="E2487" s="116">
        <v>539.65</v>
      </c>
      <c r="F2487" s="116">
        <v>525.29999999999995</v>
      </c>
      <c r="G2487">
        <v>32467</v>
      </c>
      <c r="H2487" s="116"/>
      <c r="I2487" s="116"/>
      <c r="L2487" s="170">
        <v>45666</v>
      </c>
      <c r="M2487" s="116">
        <v>525.25</v>
      </c>
      <c r="N2487" s="116">
        <v>539.9</v>
      </c>
      <c r="O2487" s="116">
        <v>522.15</v>
      </c>
      <c r="P2487" s="116">
        <v>539</v>
      </c>
      <c r="Q2487" s="116">
        <v>525.25</v>
      </c>
      <c r="R2487">
        <v>1332797</v>
      </c>
    </row>
    <row r="2488" spans="1:18" x14ac:dyDescent="0.25">
      <c r="A2488" s="170">
        <v>45667</v>
      </c>
      <c r="B2488" s="116">
        <v>524.75</v>
      </c>
      <c r="C2488" s="116">
        <v>511.1</v>
      </c>
      <c r="D2488" s="116">
        <v>508.55</v>
      </c>
      <c r="E2488" s="116">
        <v>524.75</v>
      </c>
      <c r="F2488" s="116">
        <v>511.1</v>
      </c>
      <c r="G2488">
        <v>108221</v>
      </c>
      <c r="H2488" s="116"/>
      <c r="I2488" s="116"/>
      <c r="L2488" s="170">
        <v>45667</v>
      </c>
      <c r="M2488" s="116">
        <v>511.25</v>
      </c>
      <c r="N2488" s="116">
        <v>523.95000000000005</v>
      </c>
      <c r="O2488" s="116">
        <v>508.45</v>
      </c>
      <c r="P2488" s="116">
        <v>522.1</v>
      </c>
      <c r="Q2488" s="116">
        <v>511.25</v>
      </c>
      <c r="R2488">
        <v>1984355</v>
      </c>
    </row>
    <row r="2489" spans="1:18" x14ac:dyDescent="0.25">
      <c r="A2489" s="170">
        <v>45670</v>
      </c>
      <c r="B2489" s="116">
        <v>513.9</v>
      </c>
      <c r="C2489" s="116">
        <v>493.15</v>
      </c>
      <c r="D2489" s="116">
        <v>491</v>
      </c>
      <c r="E2489" s="116">
        <v>505.35</v>
      </c>
      <c r="F2489" s="116">
        <v>493.15</v>
      </c>
      <c r="G2489">
        <v>53002</v>
      </c>
      <c r="H2489" s="116"/>
      <c r="I2489" s="116"/>
      <c r="L2489" s="170">
        <v>45670</v>
      </c>
      <c r="M2489" s="116">
        <v>493.2</v>
      </c>
      <c r="N2489" s="116">
        <v>514</v>
      </c>
      <c r="O2489" s="116">
        <v>491.2</v>
      </c>
      <c r="P2489" s="116">
        <v>504</v>
      </c>
      <c r="Q2489" s="116">
        <v>493.2</v>
      </c>
      <c r="R2489">
        <v>2284738</v>
      </c>
    </row>
    <row r="2490" spans="1:18" x14ac:dyDescent="0.25">
      <c r="A2490" s="170">
        <v>45671</v>
      </c>
      <c r="B2490" s="116">
        <v>517.25</v>
      </c>
      <c r="C2490" s="116">
        <v>515.25</v>
      </c>
      <c r="D2490" s="116">
        <v>495.15</v>
      </c>
      <c r="E2490" s="116">
        <v>495.15</v>
      </c>
      <c r="F2490" s="116">
        <v>515.25</v>
      </c>
      <c r="G2490">
        <v>42571</v>
      </c>
      <c r="H2490" s="116"/>
      <c r="I2490" s="116"/>
      <c r="L2490" s="170">
        <v>45671</v>
      </c>
      <c r="M2490" s="116">
        <v>515.35</v>
      </c>
      <c r="N2490" s="116">
        <v>517.4</v>
      </c>
      <c r="O2490" s="116">
        <v>494.1</v>
      </c>
      <c r="P2490" s="116">
        <v>494.1</v>
      </c>
      <c r="Q2490" s="116">
        <v>515.35</v>
      </c>
      <c r="R2490">
        <v>1755495</v>
      </c>
    </row>
    <row r="2491" spans="1:18" x14ac:dyDescent="0.25">
      <c r="A2491" s="170">
        <v>45672</v>
      </c>
      <c r="B2491" s="116">
        <v>525</v>
      </c>
      <c r="C2491" s="116">
        <v>519.25</v>
      </c>
      <c r="D2491" s="116">
        <v>513</v>
      </c>
      <c r="E2491" s="116">
        <v>517</v>
      </c>
      <c r="F2491" s="116">
        <v>519.25</v>
      </c>
      <c r="G2491">
        <v>38040</v>
      </c>
      <c r="H2491" s="116"/>
      <c r="I2491" s="116"/>
      <c r="L2491" s="170">
        <v>45672</v>
      </c>
      <c r="M2491" s="116">
        <v>519.29999999999995</v>
      </c>
      <c r="N2491" s="116">
        <v>524.9</v>
      </c>
      <c r="O2491" s="116">
        <v>512.75</v>
      </c>
      <c r="P2491" s="116">
        <v>518</v>
      </c>
      <c r="Q2491" s="116">
        <v>519.29999999999995</v>
      </c>
      <c r="R2491">
        <v>1765700</v>
      </c>
    </row>
    <row r="2492" spans="1:18" x14ac:dyDescent="0.25">
      <c r="A2492" s="170">
        <v>45673</v>
      </c>
      <c r="B2492" s="116">
        <v>542.9</v>
      </c>
      <c r="C2492" s="116">
        <v>539.79999999999995</v>
      </c>
      <c r="D2492" s="116">
        <v>529</v>
      </c>
      <c r="E2492" s="116">
        <v>530</v>
      </c>
      <c r="F2492" s="116">
        <v>539.79999999999995</v>
      </c>
      <c r="G2492">
        <v>37244</v>
      </c>
      <c r="H2492" s="116"/>
      <c r="I2492" s="116"/>
      <c r="L2492" s="170">
        <v>45673</v>
      </c>
      <c r="M2492" s="116">
        <v>540.15</v>
      </c>
      <c r="N2492" s="116">
        <v>543.1</v>
      </c>
      <c r="O2492" s="116">
        <v>528.20000000000005</v>
      </c>
      <c r="P2492" s="116">
        <v>534</v>
      </c>
      <c r="Q2492" s="116">
        <v>540.15</v>
      </c>
      <c r="R2492">
        <v>4303187</v>
      </c>
    </row>
    <row r="2493" spans="1:18" x14ac:dyDescent="0.25">
      <c r="A2493" s="170">
        <v>45674</v>
      </c>
      <c r="B2493" s="116">
        <v>544.70000000000005</v>
      </c>
      <c r="C2493" s="116">
        <v>536.1</v>
      </c>
      <c r="D2493" s="116">
        <v>530.25</v>
      </c>
      <c r="E2493" s="116">
        <v>544.70000000000005</v>
      </c>
      <c r="F2493" s="116">
        <v>536.1</v>
      </c>
      <c r="G2493">
        <v>23100</v>
      </c>
      <c r="H2493" s="116"/>
      <c r="I2493" s="116"/>
      <c r="L2493" s="170">
        <v>45674</v>
      </c>
      <c r="M2493" s="116">
        <v>536.25</v>
      </c>
      <c r="N2493" s="116">
        <v>542.65</v>
      </c>
      <c r="O2493" s="116">
        <v>530.20000000000005</v>
      </c>
      <c r="P2493" s="116">
        <v>542</v>
      </c>
      <c r="Q2493" s="116">
        <v>536.25</v>
      </c>
      <c r="R2493">
        <v>964325</v>
      </c>
    </row>
    <row r="2494" spans="1:18" x14ac:dyDescent="0.25">
      <c r="A2494" s="170">
        <v>45677</v>
      </c>
      <c r="B2494" s="116">
        <v>539</v>
      </c>
      <c r="C2494" s="116">
        <v>534.45000000000005</v>
      </c>
      <c r="D2494" s="116">
        <v>530.1</v>
      </c>
      <c r="E2494" s="116">
        <v>537.4</v>
      </c>
      <c r="F2494" s="116">
        <v>534.45000000000005</v>
      </c>
      <c r="G2494">
        <v>18346</v>
      </c>
      <c r="H2494" s="116"/>
      <c r="I2494" s="116"/>
      <c r="L2494" s="170">
        <v>45677</v>
      </c>
      <c r="M2494" s="116">
        <v>535.35</v>
      </c>
      <c r="N2494" s="116">
        <v>539.1</v>
      </c>
      <c r="O2494" s="116">
        <v>530</v>
      </c>
      <c r="P2494" s="116">
        <v>538.75</v>
      </c>
      <c r="Q2494" s="116">
        <v>535.35</v>
      </c>
      <c r="R2494">
        <v>669442</v>
      </c>
    </row>
    <row r="2495" spans="1:18" x14ac:dyDescent="0.25">
      <c r="A2495" s="170">
        <v>45678</v>
      </c>
      <c r="B2495" s="116">
        <v>548.5</v>
      </c>
      <c r="C2495" s="116">
        <v>531.6</v>
      </c>
      <c r="D2495" s="116">
        <v>530.54999999999995</v>
      </c>
      <c r="E2495" s="116">
        <v>536.95000000000005</v>
      </c>
      <c r="F2495" s="116">
        <v>531.6</v>
      </c>
      <c r="G2495">
        <v>41152</v>
      </c>
      <c r="H2495" s="116"/>
      <c r="I2495" s="116"/>
      <c r="L2495" s="170">
        <v>45678</v>
      </c>
      <c r="M2495" s="116">
        <v>531.75</v>
      </c>
      <c r="N2495" s="116">
        <v>548.65</v>
      </c>
      <c r="O2495" s="116">
        <v>530.54999999999995</v>
      </c>
      <c r="P2495" s="116">
        <v>535.35</v>
      </c>
      <c r="Q2495" s="116">
        <v>531.75</v>
      </c>
      <c r="R2495">
        <v>2560552</v>
      </c>
    </row>
    <row r="2496" spans="1:18" x14ac:dyDescent="0.25">
      <c r="A2496" s="170">
        <v>45679</v>
      </c>
      <c r="B2496" s="116">
        <v>538.6</v>
      </c>
      <c r="C2496" s="116">
        <v>537.04999999999995</v>
      </c>
      <c r="D2496" s="116">
        <v>527</v>
      </c>
      <c r="E2496" s="116">
        <v>534.54999999999995</v>
      </c>
      <c r="F2496" s="116">
        <v>537.04999999999995</v>
      </c>
      <c r="G2496">
        <v>33196</v>
      </c>
      <c r="H2496" s="116"/>
      <c r="I2496" s="116"/>
      <c r="L2496" s="170">
        <v>45679</v>
      </c>
      <c r="M2496" s="116">
        <v>536.65</v>
      </c>
      <c r="N2496" s="116">
        <v>538.65</v>
      </c>
      <c r="O2496" s="116">
        <v>526.4</v>
      </c>
      <c r="P2496" s="116">
        <v>533.75</v>
      </c>
      <c r="Q2496" s="116">
        <v>536.65</v>
      </c>
      <c r="R2496">
        <v>1658312</v>
      </c>
    </row>
    <row r="2497" spans="1:18" x14ac:dyDescent="0.25">
      <c r="A2497" s="170">
        <v>45680</v>
      </c>
      <c r="B2497" s="116">
        <v>552.1</v>
      </c>
      <c r="C2497" s="116">
        <v>547.75</v>
      </c>
      <c r="D2497" s="116">
        <v>530.75</v>
      </c>
      <c r="E2497" s="116">
        <v>535.04999999999995</v>
      </c>
      <c r="F2497" s="116">
        <v>547.75</v>
      </c>
      <c r="G2497">
        <v>115606</v>
      </c>
      <c r="H2497" s="116"/>
      <c r="I2497" s="116"/>
      <c r="L2497" s="170">
        <v>45680</v>
      </c>
      <c r="M2497" s="116">
        <v>548.79999999999995</v>
      </c>
      <c r="N2497" s="116">
        <v>552</v>
      </c>
      <c r="O2497" s="116">
        <v>530.75</v>
      </c>
      <c r="P2497" s="116">
        <v>535.79999999999995</v>
      </c>
      <c r="Q2497" s="116">
        <v>548.79999999999995</v>
      </c>
      <c r="R2497">
        <v>1841473</v>
      </c>
    </row>
    <row r="2498" spans="1:18" x14ac:dyDescent="0.25">
      <c r="A2498" s="170">
        <v>45681</v>
      </c>
      <c r="B2498" s="116">
        <v>562</v>
      </c>
      <c r="C2498" s="116">
        <v>552.04999999999995</v>
      </c>
      <c r="D2498" s="116">
        <v>547.75</v>
      </c>
      <c r="E2498" s="116">
        <v>547.95000000000005</v>
      </c>
      <c r="F2498" s="116">
        <v>552.04999999999995</v>
      </c>
      <c r="G2498">
        <v>138842</v>
      </c>
      <c r="H2498" s="116"/>
      <c r="I2498" s="116"/>
      <c r="L2498" s="170">
        <v>45681</v>
      </c>
      <c r="M2498" s="116">
        <v>551.79999999999995</v>
      </c>
      <c r="N2498" s="116">
        <v>561.9</v>
      </c>
      <c r="O2498" s="116">
        <v>547</v>
      </c>
      <c r="P2498" s="116">
        <v>551.9</v>
      </c>
      <c r="Q2498" s="116">
        <v>551.79999999999995</v>
      </c>
      <c r="R2498">
        <v>3859868</v>
      </c>
    </row>
    <row r="2499" spans="1:18" x14ac:dyDescent="0.25">
      <c r="A2499" s="170">
        <v>45684</v>
      </c>
      <c r="B2499" s="116">
        <v>551.79999999999995</v>
      </c>
      <c r="C2499" s="116">
        <v>534.65</v>
      </c>
      <c r="D2499" s="116">
        <v>533</v>
      </c>
      <c r="E2499" s="116">
        <v>551.25</v>
      </c>
      <c r="F2499" s="116">
        <v>534.65</v>
      </c>
      <c r="G2499">
        <v>122349</v>
      </c>
      <c r="H2499" s="116"/>
      <c r="I2499" s="116"/>
      <c r="L2499" s="170">
        <v>45684</v>
      </c>
      <c r="M2499" s="116">
        <v>534.9</v>
      </c>
      <c r="N2499" s="116">
        <v>552.20000000000005</v>
      </c>
      <c r="O2499" s="116">
        <v>533.35</v>
      </c>
      <c r="P2499" s="116">
        <v>548.75</v>
      </c>
      <c r="Q2499" s="116">
        <v>534.9</v>
      </c>
      <c r="R2499">
        <v>1868811</v>
      </c>
    </row>
    <row r="2500" spans="1:18" x14ac:dyDescent="0.25">
      <c r="A2500" s="170">
        <v>45685</v>
      </c>
      <c r="B2500" s="116">
        <v>550.95000000000005</v>
      </c>
      <c r="C2500" s="116">
        <v>542.70000000000005</v>
      </c>
      <c r="D2500" s="116">
        <v>526.5</v>
      </c>
      <c r="E2500" s="116">
        <v>535.1</v>
      </c>
      <c r="F2500" s="116">
        <v>542.70000000000005</v>
      </c>
      <c r="G2500">
        <v>47218</v>
      </c>
      <c r="H2500" s="116"/>
      <c r="I2500" s="116"/>
      <c r="L2500" s="170">
        <v>45685</v>
      </c>
      <c r="M2500" s="116">
        <v>543.15</v>
      </c>
      <c r="N2500" s="116">
        <v>550.95000000000005</v>
      </c>
      <c r="O2500" s="116">
        <v>526.15</v>
      </c>
      <c r="P2500" s="116">
        <v>539.9</v>
      </c>
      <c r="Q2500" s="116">
        <v>543.15</v>
      </c>
      <c r="R2500">
        <v>1310287</v>
      </c>
    </row>
    <row r="2501" spans="1:18" x14ac:dyDescent="0.25">
      <c r="A2501" s="170">
        <v>45686</v>
      </c>
      <c r="B2501" s="116">
        <v>551.4</v>
      </c>
      <c r="C2501" s="116">
        <v>522.20000000000005</v>
      </c>
      <c r="D2501" s="116">
        <v>518</v>
      </c>
      <c r="E2501" s="116">
        <v>544</v>
      </c>
      <c r="F2501" s="116">
        <v>522.20000000000005</v>
      </c>
      <c r="G2501">
        <v>394248</v>
      </c>
      <c r="H2501" s="116"/>
      <c r="I2501" s="116"/>
      <c r="L2501" s="170">
        <v>45686</v>
      </c>
      <c r="M2501" s="116">
        <v>522.1</v>
      </c>
      <c r="N2501" s="116">
        <v>551.1</v>
      </c>
      <c r="O2501" s="116">
        <v>518</v>
      </c>
      <c r="P2501" s="116">
        <v>543</v>
      </c>
      <c r="Q2501" s="116">
        <v>522.1</v>
      </c>
      <c r="R2501">
        <v>11092558</v>
      </c>
    </row>
    <row r="2502" spans="1:18" x14ac:dyDescent="0.25">
      <c r="A2502" s="170">
        <v>45687</v>
      </c>
      <c r="B2502" s="116">
        <v>529</v>
      </c>
      <c r="C2502" s="116">
        <v>509.45</v>
      </c>
      <c r="D2502" s="116">
        <v>497</v>
      </c>
      <c r="E2502" s="116">
        <v>529</v>
      </c>
      <c r="F2502" s="116">
        <v>509.45</v>
      </c>
      <c r="G2502">
        <v>445182</v>
      </c>
      <c r="H2502" s="116"/>
      <c r="I2502" s="116"/>
      <c r="L2502" s="170">
        <v>45687</v>
      </c>
      <c r="M2502" s="116">
        <v>509.55</v>
      </c>
      <c r="N2502" s="116">
        <v>528.29999999999995</v>
      </c>
      <c r="O2502" s="116">
        <v>497.1</v>
      </c>
      <c r="P2502" s="116">
        <v>528.29999999999995</v>
      </c>
      <c r="Q2502" s="116">
        <v>509.55</v>
      </c>
      <c r="R2502">
        <v>10003680</v>
      </c>
    </row>
    <row r="2503" spans="1:18" x14ac:dyDescent="0.25">
      <c r="A2503" s="170">
        <v>45688</v>
      </c>
      <c r="B2503" s="116">
        <v>517.9</v>
      </c>
      <c r="C2503" s="116">
        <v>512.95000000000005</v>
      </c>
      <c r="D2503" s="116">
        <v>509.8</v>
      </c>
      <c r="E2503" s="116">
        <v>509.8</v>
      </c>
      <c r="F2503" s="116">
        <v>512.95000000000005</v>
      </c>
      <c r="G2503">
        <v>84371</v>
      </c>
      <c r="H2503" s="116"/>
      <c r="I2503" s="116"/>
      <c r="L2503" s="170">
        <v>45688</v>
      </c>
      <c r="M2503" s="116">
        <v>512.79999999999995</v>
      </c>
      <c r="N2503" s="116">
        <v>518.29999999999995</v>
      </c>
      <c r="O2503" s="116">
        <v>509.55</v>
      </c>
      <c r="P2503" s="116">
        <v>511</v>
      </c>
      <c r="Q2503" s="116">
        <v>512.79999999999995</v>
      </c>
      <c r="R2503">
        <v>2315232</v>
      </c>
    </row>
    <row r="2504" spans="1:18" x14ac:dyDescent="0.25">
      <c r="A2504" s="170">
        <v>45689</v>
      </c>
      <c r="B2504" s="116">
        <v>519.70000000000005</v>
      </c>
      <c r="C2504" s="116">
        <v>501.85</v>
      </c>
      <c r="D2504" s="116">
        <v>487.2</v>
      </c>
      <c r="E2504" s="116">
        <v>519.70000000000005</v>
      </c>
      <c r="F2504" s="116">
        <v>501.85</v>
      </c>
      <c r="G2504">
        <v>275982</v>
      </c>
      <c r="H2504" s="116"/>
      <c r="I2504" s="116"/>
      <c r="L2504" s="170">
        <v>45689</v>
      </c>
      <c r="M2504" s="116">
        <v>501.5</v>
      </c>
      <c r="N2504" s="116">
        <v>517.70000000000005</v>
      </c>
      <c r="O2504" s="116">
        <v>487</v>
      </c>
      <c r="P2504" s="116">
        <v>516</v>
      </c>
      <c r="Q2504" s="116">
        <v>501.5</v>
      </c>
      <c r="R2504">
        <v>5527354</v>
      </c>
    </row>
    <row r="2505" spans="1:18" x14ac:dyDescent="0.25">
      <c r="A2505" s="170">
        <v>45691</v>
      </c>
      <c r="B2505" s="116">
        <v>501.55</v>
      </c>
      <c r="C2505" s="116">
        <v>494.85</v>
      </c>
      <c r="D2505" s="116">
        <v>486.7</v>
      </c>
      <c r="E2505" s="116">
        <v>501.55</v>
      </c>
      <c r="F2505" s="116">
        <v>494.85</v>
      </c>
      <c r="G2505">
        <v>249119</v>
      </c>
      <c r="H2505" s="116"/>
      <c r="I2505" s="116"/>
      <c r="L2505" s="170">
        <v>45691</v>
      </c>
      <c r="M2505" s="116">
        <v>495.15</v>
      </c>
      <c r="N2505" s="116">
        <v>500</v>
      </c>
      <c r="O2505" s="116">
        <v>486.55</v>
      </c>
      <c r="P2505" s="116">
        <v>500</v>
      </c>
      <c r="Q2505" s="116">
        <v>495.15</v>
      </c>
      <c r="R2505">
        <v>4400205</v>
      </c>
    </row>
    <row r="2506" spans="1:18" x14ac:dyDescent="0.25">
      <c r="A2506" s="170">
        <v>45692</v>
      </c>
      <c r="B2506" s="116">
        <v>514.75</v>
      </c>
      <c r="C2506" s="116">
        <v>513.45000000000005</v>
      </c>
      <c r="D2506" s="116">
        <v>498.95</v>
      </c>
      <c r="E2506" s="116">
        <v>498.95</v>
      </c>
      <c r="F2506" s="116">
        <v>513.45000000000005</v>
      </c>
      <c r="G2506">
        <v>74402</v>
      </c>
      <c r="H2506" s="116"/>
      <c r="I2506" s="116"/>
      <c r="L2506" s="170">
        <v>45692</v>
      </c>
      <c r="M2506" s="116">
        <v>513.70000000000005</v>
      </c>
      <c r="N2506" s="116">
        <v>514.75</v>
      </c>
      <c r="O2506" s="116">
        <v>497.5</v>
      </c>
      <c r="P2506" s="116">
        <v>498.2</v>
      </c>
      <c r="Q2506" s="116">
        <v>513.70000000000005</v>
      </c>
      <c r="R2506">
        <v>3229502</v>
      </c>
    </row>
    <row r="2507" spans="1:18" x14ac:dyDescent="0.25">
      <c r="A2507" s="170">
        <v>45693</v>
      </c>
      <c r="B2507" s="116">
        <v>526.1</v>
      </c>
      <c r="C2507" s="116">
        <v>521.5</v>
      </c>
      <c r="D2507" s="116">
        <v>513</v>
      </c>
      <c r="E2507" s="116">
        <v>515.15</v>
      </c>
      <c r="F2507" s="116">
        <v>521.5</v>
      </c>
      <c r="G2507">
        <v>51695</v>
      </c>
      <c r="H2507" s="116"/>
      <c r="I2507" s="116"/>
      <c r="L2507" s="170">
        <v>45693</v>
      </c>
      <c r="M2507" s="116">
        <v>521.79999999999995</v>
      </c>
      <c r="N2507" s="116">
        <v>526.35</v>
      </c>
      <c r="O2507" s="116">
        <v>512.25</v>
      </c>
      <c r="P2507" s="116">
        <v>516.9</v>
      </c>
      <c r="Q2507" s="116">
        <v>521.79999999999995</v>
      </c>
      <c r="R2507">
        <v>1748997</v>
      </c>
    </row>
    <row r="2508" spans="1:18" x14ac:dyDescent="0.25">
      <c r="A2508" s="170">
        <v>45694</v>
      </c>
      <c r="B2508" s="116">
        <v>524.29999999999995</v>
      </c>
      <c r="C2508" s="116">
        <v>513.79999999999995</v>
      </c>
      <c r="D2508" s="116">
        <v>511.4</v>
      </c>
      <c r="E2508" s="116">
        <v>520.54999999999995</v>
      </c>
      <c r="F2508" s="116">
        <v>513.79999999999995</v>
      </c>
      <c r="G2508">
        <v>35192</v>
      </c>
      <c r="H2508" s="116"/>
      <c r="I2508" s="116"/>
      <c r="L2508" s="170">
        <v>45694</v>
      </c>
      <c r="M2508" s="116">
        <v>514.15</v>
      </c>
      <c r="N2508" s="116">
        <v>524.45000000000005</v>
      </c>
      <c r="O2508" s="116">
        <v>512</v>
      </c>
      <c r="P2508" s="116">
        <v>521.5</v>
      </c>
      <c r="Q2508" s="116">
        <v>514.15</v>
      </c>
      <c r="R2508">
        <v>745901</v>
      </c>
    </row>
    <row r="2509" spans="1:18" x14ac:dyDescent="0.25">
      <c r="A2509" s="170">
        <v>45695</v>
      </c>
      <c r="B2509" s="116">
        <v>522.65</v>
      </c>
      <c r="C2509" s="116">
        <v>512.79999999999995</v>
      </c>
      <c r="D2509" s="116">
        <v>507.5</v>
      </c>
      <c r="E2509" s="116">
        <v>512.70000000000005</v>
      </c>
      <c r="F2509" s="116">
        <v>512.79999999999995</v>
      </c>
      <c r="G2509">
        <v>36110</v>
      </c>
      <c r="H2509" s="116"/>
      <c r="I2509" s="116"/>
      <c r="L2509" s="170">
        <v>45695</v>
      </c>
      <c r="M2509" s="116">
        <v>512.75</v>
      </c>
      <c r="N2509" s="116">
        <v>522.45000000000005</v>
      </c>
      <c r="O2509" s="116">
        <v>507.3</v>
      </c>
      <c r="P2509" s="116">
        <v>514.15</v>
      </c>
      <c r="Q2509" s="116">
        <v>512.75</v>
      </c>
      <c r="R2509">
        <v>2084329</v>
      </c>
    </row>
    <row r="2510" spans="1:18" x14ac:dyDescent="0.25">
      <c r="A2510" s="170">
        <v>45698</v>
      </c>
      <c r="B2510" s="116">
        <v>519.25</v>
      </c>
      <c r="C2510" s="116">
        <v>506.55</v>
      </c>
      <c r="D2510" s="116">
        <v>504.4</v>
      </c>
      <c r="E2510" s="116">
        <v>518.85</v>
      </c>
      <c r="F2510" s="116">
        <v>506.55</v>
      </c>
      <c r="G2510">
        <v>43781</v>
      </c>
      <c r="H2510" s="116"/>
      <c r="I2510" s="116"/>
      <c r="L2510" s="170">
        <v>45698</v>
      </c>
      <c r="M2510" s="116">
        <v>506.75</v>
      </c>
      <c r="N2510" s="116">
        <v>519.95000000000005</v>
      </c>
      <c r="O2510" s="116">
        <v>504.05</v>
      </c>
      <c r="P2510" s="116">
        <v>517</v>
      </c>
      <c r="Q2510" s="116">
        <v>506.75</v>
      </c>
      <c r="R2510">
        <v>2018861</v>
      </c>
    </row>
    <row r="2511" spans="1:18" x14ac:dyDescent="0.25">
      <c r="A2511" s="170">
        <v>45699</v>
      </c>
      <c r="B2511" s="116">
        <v>512.20000000000005</v>
      </c>
      <c r="C2511" s="116">
        <v>499.7</v>
      </c>
      <c r="D2511" s="116">
        <v>493.6</v>
      </c>
      <c r="E2511" s="116">
        <v>506.8</v>
      </c>
      <c r="F2511" s="116">
        <v>499.7</v>
      </c>
      <c r="G2511">
        <v>49417</v>
      </c>
      <c r="H2511" s="116"/>
      <c r="I2511" s="116"/>
      <c r="L2511" s="170">
        <v>45699</v>
      </c>
      <c r="M2511" s="116">
        <v>499.9</v>
      </c>
      <c r="N2511" s="116">
        <v>512.1</v>
      </c>
      <c r="O2511" s="116">
        <v>493.35</v>
      </c>
      <c r="P2511" s="116">
        <v>508</v>
      </c>
      <c r="Q2511" s="116">
        <v>499.9</v>
      </c>
      <c r="R2511">
        <v>2784189</v>
      </c>
    </row>
    <row r="2512" spans="1:18" x14ac:dyDescent="0.25">
      <c r="A2512" s="170">
        <v>45700</v>
      </c>
      <c r="B2512" s="116">
        <v>505.85</v>
      </c>
      <c r="C2512" s="116">
        <v>501</v>
      </c>
      <c r="D2512" s="116">
        <v>481.15</v>
      </c>
      <c r="E2512" s="116">
        <v>500.05</v>
      </c>
      <c r="F2512" s="116">
        <v>501</v>
      </c>
      <c r="G2512">
        <v>49391</v>
      </c>
      <c r="H2512" s="116"/>
      <c r="I2512" s="116"/>
      <c r="L2512" s="170">
        <v>45700</v>
      </c>
      <c r="M2512" s="116">
        <v>501.1</v>
      </c>
      <c r="N2512" s="116">
        <v>505.6</v>
      </c>
      <c r="O2512" s="116">
        <v>481.3</v>
      </c>
      <c r="P2512" s="116">
        <v>502</v>
      </c>
      <c r="Q2512" s="116">
        <v>501.1</v>
      </c>
      <c r="R2512">
        <v>1909072</v>
      </c>
    </row>
    <row r="2513" spans="1:18" x14ac:dyDescent="0.25">
      <c r="A2513" s="170">
        <v>45701</v>
      </c>
      <c r="B2513" s="116">
        <v>510.25</v>
      </c>
      <c r="C2513" s="116">
        <v>502.6</v>
      </c>
      <c r="D2513" s="116">
        <v>499.6</v>
      </c>
      <c r="E2513" s="116">
        <v>509.95</v>
      </c>
      <c r="F2513" s="116">
        <v>502.6</v>
      </c>
      <c r="G2513">
        <v>27322</v>
      </c>
      <c r="H2513" s="116"/>
      <c r="I2513" s="116"/>
      <c r="L2513" s="170">
        <v>45701</v>
      </c>
      <c r="M2513" s="116">
        <v>502.5</v>
      </c>
      <c r="N2513" s="116">
        <v>510.55</v>
      </c>
      <c r="O2513" s="116">
        <v>500.05</v>
      </c>
      <c r="P2513" s="116">
        <v>505</v>
      </c>
      <c r="Q2513" s="116">
        <v>502.5</v>
      </c>
      <c r="R2513">
        <v>1036155</v>
      </c>
    </row>
    <row r="2514" spans="1:18" x14ac:dyDescent="0.25">
      <c r="A2514" s="170">
        <v>45702</v>
      </c>
      <c r="B2514" s="116">
        <v>506.65</v>
      </c>
      <c r="C2514" s="116">
        <v>489.45</v>
      </c>
      <c r="D2514" s="116">
        <v>483.65</v>
      </c>
      <c r="E2514" s="116">
        <v>502.85</v>
      </c>
      <c r="F2514" s="116">
        <v>489.45</v>
      </c>
      <c r="G2514">
        <v>40393</v>
      </c>
      <c r="H2514" s="116"/>
      <c r="I2514" s="116"/>
      <c r="L2514" s="170">
        <v>45702</v>
      </c>
      <c r="M2514" s="116">
        <v>489.5</v>
      </c>
      <c r="N2514" s="116">
        <v>508.15</v>
      </c>
      <c r="O2514" s="116">
        <v>483.8</v>
      </c>
      <c r="P2514" s="116">
        <v>502.75</v>
      </c>
      <c r="Q2514" s="116">
        <v>489.5</v>
      </c>
      <c r="R2514">
        <v>2619355</v>
      </c>
    </row>
    <row r="2515" spans="1:18" x14ac:dyDescent="0.25">
      <c r="A2515" s="170">
        <v>45705</v>
      </c>
      <c r="B2515" s="116">
        <v>490.9</v>
      </c>
      <c r="C2515" s="116">
        <v>488.8</v>
      </c>
      <c r="D2515" s="116">
        <v>479.5</v>
      </c>
      <c r="E2515" s="116">
        <v>485.05</v>
      </c>
      <c r="F2515" s="116">
        <v>488.8</v>
      </c>
      <c r="G2515">
        <v>29928</v>
      </c>
      <c r="H2515" s="116"/>
      <c r="I2515" s="116"/>
      <c r="L2515" s="170">
        <v>45705</v>
      </c>
      <c r="M2515" s="116">
        <v>488.3</v>
      </c>
      <c r="N2515" s="116">
        <v>490.65</v>
      </c>
      <c r="O2515" s="116">
        <v>479.2</v>
      </c>
      <c r="P2515" s="116">
        <v>488</v>
      </c>
      <c r="Q2515" s="116">
        <v>488.3</v>
      </c>
      <c r="R2515">
        <v>2529934</v>
      </c>
    </row>
    <row r="2516" spans="1:18" x14ac:dyDescent="0.25">
      <c r="A2516" s="170">
        <v>45706</v>
      </c>
      <c r="B2516" s="116">
        <v>493.8</v>
      </c>
      <c r="C2516" s="116">
        <v>486.45</v>
      </c>
      <c r="D2516" s="116">
        <v>474.35</v>
      </c>
      <c r="E2516" s="116">
        <v>491.45</v>
      </c>
      <c r="F2516" s="116">
        <v>486.45</v>
      </c>
      <c r="G2516">
        <v>168818</v>
      </c>
      <c r="H2516" s="116"/>
      <c r="I2516" s="116"/>
      <c r="L2516" s="170">
        <v>45706</v>
      </c>
      <c r="M2516" s="116">
        <v>486.75</v>
      </c>
      <c r="N2516" s="116">
        <v>493.45</v>
      </c>
      <c r="O2516" s="116">
        <v>474.1</v>
      </c>
      <c r="P2516" s="116">
        <v>491.9</v>
      </c>
      <c r="Q2516" s="116">
        <v>486.75</v>
      </c>
      <c r="R2516">
        <v>2265621</v>
      </c>
    </row>
    <row r="2517" spans="1:18" x14ac:dyDescent="0.25">
      <c r="A2517" s="170">
        <v>45707</v>
      </c>
      <c r="B2517" s="116">
        <v>490.05</v>
      </c>
      <c r="C2517" s="116">
        <v>479.85</v>
      </c>
      <c r="D2517" s="116">
        <v>474.55</v>
      </c>
      <c r="E2517" s="116">
        <v>479.95</v>
      </c>
      <c r="F2517" s="116">
        <v>479.85</v>
      </c>
      <c r="G2517">
        <v>62491</v>
      </c>
      <c r="H2517" s="116"/>
      <c r="I2517" s="116"/>
      <c r="L2517" s="170">
        <v>45707</v>
      </c>
      <c r="M2517" s="116">
        <v>479.9</v>
      </c>
      <c r="N2517" s="116">
        <v>490.4</v>
      </c>
      <c r="O2517" s="116">
        <v>474.05</v>
      </c>
      <c r="P2517" s="116">
        <v>478.05</v>
      </c>
      <c r="Q2517" s="116">
        <v>479.9</v>
      </c>
      <c r="R2517">
        <v>1721933</v>
      </c>
    </row>
    <row r="2518" spans="1:18" x14ac:dyDescent="0.25">
      <c r="A2518" s="170">
        <v>45708</v>
      </c>
      <c r="B2518" s="116">
        <v>484.7</v>
      </c>
      <c r="C2518" s="116">
        <v>482.8</v>
      </c>
      <c r="D2518" s="116">
        <v>477.85</v>
      </c>
      <c r="E2518" s="116">
        <v>481.5</v>
      </c>
      <c r="F2518" s="116">
        <v>482.8</v>
      </c>
      <c r="G2518">
        <v>165560</v>
      </c>
      <c r="H2518" s="116"/>
      <c r="I2518" s="116"/>
      <c r="L2518" s="170">
        <v>45708</v>
      </c>
      <c r="M2518" s="116">
        <v>482.85</v>
      </c>
      <c r="N2518" s="116">
        <v>484.3</v>
      </c>
      <c r="O2518" s="116">
        <v>477.6</v>
      </c>
      <c r="P2518" s="116">
        <v>480.05</v>
      </c>
      <c r="Q2518" s="116">
        <v>482.85</v>
      </c>
      <c r="R2518">
        <v>1676642</v>
      </c>
    </row>
    <row r="2519" spans="1:18" x14ac:dyDescent="0.25">
      <c r="A2519" s="170">
        <v>45709</v>
      </c>
      <c r="B2519" s="116">
        <v>487.1</v>
      </c>
      <c r="C2519" s="116">
        <v>481.7</v>
      </c>
      <c r="D2519" s="116">
        <v>476</v>
      </c>
      <c r="E2519" s="116">
        <v>487.1</v>
      </c>
      <c r="F2519" s="116">
        <v>481.7</v>
      </c>
      <c r="G2519">
        <v>886295</v>
      </c>
      <c r="H2519" s="116"/>
      <c r="I2519" s="116"/>
      <c r="L2519" s="170">
        <v>45709</v>
      </c>
      <c r="M2519" s="116">
        <v>481.95</v>
      </c>
      <c r="N2519" s="116">
        <v>486.5</v>
      </c>
      <c r="O2519" s="116">
        <v>476</v>
      </c>
      <c r="P2519" s="116">
        <v>483.1</v>
      </c>
      <c r="Q2519" s="116">
        <v>481.95</v>
      </c>
      <c r="R2519">
        <v>3329038</v>
      </c>
    </row>
    <row r="2520" spans="1:18" x14ac:dyDescent="0.25">
      <c r="A2520" s="170">
        <v>45712</v>
      </c>
      <c r="B2520" s="116">
        <v>479.1</v>
      </c>
      <c r="C2520" s="116">
        <v>470.25</v>
      </c>
      <c r="D2520" s="116">
        <v>469</v>
      </c>
      <c r="E2520" s="116">
        <v>479.1</v>
      </c>
      <c r="F2520" s="116">
        <v>470.25</v>
      </c>
      <c r="G2520">
        <v>41086</v>
      </c>
      <c r="H2520" s="116"/>
      <c r="I2520" s="116"/>
      <c r="L2520" s="170">
        <v>45712</v>
      </c>
      <c r="M2520" s="116">
        <v>470.4</v>
      </c>
      <c r="N2520" s="116">
        <v>478.9</v>
      </c>
      <c r="O2520" s="116">
        <v>469</v>
      </c>
      <c r="P2520" s="116">
        <v>477</v>
      </c>
      <c r="Q2520" s="116">
        <v>470.4</v>
      </c>
      <c r="R2520">
        <v>2118694</v>
      </c>
    </row>
    <row r="2521" spans="1:18" x14ac:dyDescent="0.25">
      <c r="A2521" s="170">
        <v>45713</v>
      </c>
      <c r="B2521" s="116">
        <v>476</v>
      </c>
      <c r="C2521" s="116">
        <v>469.05</v>
      </c>
      <c r="D2521" s="116">
        <v>467</v>
      </c>
      <c r="E2521" s="116">
        <v>476</v>
      </c>
      <c r="F2521" s="116">
        <v>469.05</v>
      </c>
      <c r="G2521">
        <v>534618</v>
      </c>
      <c r="H2521" s="116"/>
      <c r="I2521" s="116"/>
      <c r="L2521" s="170">
        <v>45713</v>
      </c>
      <c r="M2521" s="116">
        <v>469.25</v>
      </c>
      <c r="N2521" s="116">
        <v>473.85</v>
      </c>
      <c r="O2521" s="116">
        <v>466.7</v>
      </c>
      <c r="P2521" s="116">
        <v>472</v>
      </c>
      <c r="Q2521" s="116">
        <v>469.25</v>
      </c>
      <c r="R2521">
        <v>3465850</v>
      </c>
    </row>
    <row r="2522" spans="1:18" x14ac:dyDescent="0.25">
      <c r="A2522" s="170">
        <v>45715</v>
      </c>
      <c r="B2522" s="116">
        <v>470.65</v>
      </c>
      <c r="C2522" s="116">
        <v>469.65</v>
      </c>
      <c r="D2522" s="116">
        <v>459</v>
      </c>
      <c r="E2522" s="116">
        <v>468.75</v>
      </c>
      <c r="F2522" s="116">
        <v>469.65</v>
      </c>
      <c r="G2522">
        <v>277108</v>
      </c>
      <c r="H2522" s="116"/>
      <c r="I2522" s="116"/>
      <c r="L2522" s="170">
        <v>45715</v>
      </c>
      <c r="M2522" s="116">
        <v>469.8</v>
      </c>
      <c r="N2522" s="116">
        <v>472.85</v>
      </c>
      <c r="O2522" s="116">
        <v>459.15</v>
      </c>
      <c r="P2522" s="116">
        <v>470</v>
      </c>
      <c r="Q2522" s="116">
        <v>469.8</v>
      </c>
      <c r="R2522">
        <v>4261863</v>
      </c>
    </row>
    <row r="2523" spans="1:18" x14ac:dyDescent="0.25">
      <c r="A2523" s="170">
        <v>45716</v>
      </c>
      <c r="B2523" s="116">
        <v>468.55</v>
      </c>
      <c r="C2523" s="116">
        <v>465</v>
      </c>
      <c r="D2523" s="116">
        <v>458.7</v>
      </c>
      <c r="E2523" s="116">
        <v>468.4</v>
      </c>
      <c r="F2523" s="116">
        <v>465</v>
      </c>
      <c r="G2523">
        <v>67805</v>
      </c>
      <c r="H2523" s="116"/>
      <c r="I2523" s="116"/>
      <c r="L2523" s="170">
        <v>45716</v>
      </c>
      <c r="M2523" s="116">
        <v>464.95</v>
      </c>
      <c r="N2523" s="116">
        <v>468.65</v>
      </c>
      <c r="O2523" s="116">
        <v>458</v>
      </c>
      <c r="P2523" s="116">
        <v>467.9</v>
      </c>
      <c r="Q2523" s="116">
        <v>464.95</v>
      </c>
      <c r="R2523">
        <v>3502159</v>
      </c>
    </row>
    <row r="2524" spans="1:18" x14ac:dyDescent="0.25">
      <c r="A2524" s="170">
        <v>45719</v>
      </c>
      <c r="B2524" s="116">
        <v>474</v>
      </c>
      <c r="C2524" s="116">
        <v>472.15</v>
      </c>
      <c r="D2524" s="116">
        <v>455</v>
      </c>
      <c r="E2524" s="116">
        <v>464.65</v>
      </c>
      <c r="F2524" s="116">
        <v>472.15</v>
      </c>
      <c r="G2524">
        <v>125926</v>
      </c>
      <c r="H2524" s="116"/>
      <c r="I2524" s="116"/>
      <c r="L2524" s="170">
        <v>45719</v>
      </c>
      <c r="M2524" s="116">
        <v>471.8</v>
      </c>
      <c r="N2524" s="116">
        <v>474.1</v>
      </c>
      <c r="O2524" s="116">
        <v>455</v>
      </c>
      <c r="P2524" s="116">
        <v>465</v>
      </c>
      <c r="Q2524" s="116">
        <v>471.8</v>
      </c>
      <c r="R2524">
        <v>2019207</v>
      </c>
    </row>
    <row r="2525" spans="1:18" x14ac:dyDescent="0.25">
      <c r="A2525" s="170">
        <v>45720</v>
      </c>
      <c r="B2525" s="116">
        <v>481</v>
      </c>
      <c r="C2525" s="116">
        <v>474.85</v>
      </c>
      <c r="D2525" s="116">
        <v>464.8</v>
      </c>
      <c r="E2525" s="116">
        <v>469</v>
      </c>
      <c r="F2525" s="116">
        <v>474.85</v>
      </c>
      <c r="G2525">
        <v>91147</v>
      </c>
      <c r="H2525" s="116"/>
      <c r="I2525" s="116"/>
      <c r="L2525" s="170">
        <v>45720</v>
      </c>
      <c r="M2525" s="116">
        <v>475</v>
      </c>
      <c r="N2525" s="116">
        <v>480.85</v>
      </c>
      <c r="O2525" s="116">
        <v>465.65</v>
      </c>
      <c r="P2525" s="116">
        <v>469.9</v>
      </c>
      <c r="Q2525" s="116">
        <v>475</v>
      </c>
      <c r="R2525">
        <v>1247846</v>
      </c>
    </row>
    <row r="2526" spans="1:18" x14ac:dyDescent="0.25">
      <c r="A2526" s="170">
        <v>45721</v>
      </c>
      <c r="B2526" s="116">
        <v>492.7</v>
      </c>
      <c r="C2526" s="116">
        <v>489.95</v>
      </c>
      <c r="D2526" s="116">
        <v>474</v>
      </c>
      <c r="E2526" s="116">
        <v>475.2</v>
      </c>
      <c r="F2526" s="116">
        <v>489.95</v>
      </c>
      <c r="G2526">
        <v>126677</v>
      </c>
      <c r="H2526" s="116"/>
      <c r="I2526" s="116"/>
      <c r="L2526" s="170">
        <v>45721</v>
      </c>
      <c r="M2526" s="116">
        <v>491.1</v>
      </c>
      <c r="N2526" s="116">
        <v>493</v>
      </c>
      <c r="O2526" s="116">
        <v>474</v>
      </c>
      <c r="P2526" s="116">
        <v>474.05</v>
      </c>
      <c r="Q2526" s="116">
        <v>491.1</v>
      </c>
      <c r="R2526">
        <v>2223913</v>
      </c>
    </row>
    <row r="2527" spans="1:18" x14ac:dyDescent="0.25">
      <c r="A2527" s="170">
        <v>45722</v>
      </c>
      <c r="B2527" s="116">
        <v>500.6</v>
      </c>
      <c r="C2527" s="116">
        <v>498.9</v>
      </c>
      <c r="D2527" s="116">
        <v>487.3</v>
      </c>
      <c r="E2527" s="116">
        <v>492.45</v>
      </c>
      <c r="F2527" s="116">
        <v>498.9</v>
      </c>
      <c r="G2527">
        <v>84893</v>
      </c>
      <c r="H2527" s="116"/>
      <c r="I2527" s="116"/>
      <c r="L2527" s="170">
        <v>45722</v>
      </c>
      <c r="M2527" s="116">
        <v>498.5</v>
      </c>
      <c r="N2527" s="116">
        <v>500.65</v>
      </c>
      <c r="O2527" s="116">
        <v>487</v>
      </c>
      <c r="P2527" s="116">
        <v>491.15</v>
      </c>
      <c r="Q2527" s="116">
        <v>498.5</v>
      </c>
      <c r="R2527">
        <v>3280246</v>
      </c>
    </row>
    <row r="2528" spans="1:18" x14ac:dyDescent="0.25">
      <c r="A2528" s="170">
        <v>45723</v>
      </c>
      <c r="B2528" s="116">
        <v>505.2</v>
      </c>
      <c r="C2528" s="116">
        <v>498.95</v>
      </c>
      <c r="D2528" s="116">
        <v>491.3</v>
      </c>
      <c r="E2528" s="116">
        <v>499.9</v>
      </c>
      <c r="F2528" s="116">
        <v>498.95</v>
      </c>
      <c r="G2528">
        <v>130082</v>
      </c>
      <c r="H2528" s="116"/>
      <c r="I2528" s="116"/>
      <c r="L2528" s="170">
        <v>45723</v>
      </c>
      <c r="M2528" s="116">
        <v>499.8</v>
      </c>
      <c r="N2528" s="116">
        <v>505.4</v>
      </c>
      <c r="O2528" s="116">
        <v>491.95</v>
      </c>
      <c r="P2528" s="116">
        <v>497.5</v>
      </c>
      <c r="Q2528" s="116">
        <v>499.8</v>
      </c>
      <c r="R2528">
        <v>1851476</v>
      </c>
    </row>
    <row r="2529" spans="1:18" x14ac:dyDescent="0.25">
      <c r="A2529" s="170">
        <v>45726</v>
      </c>
      <c r="B2529" s="116">
        <v>507.9</v>
      </c>
      <c r="C2529" s="116">
        <v>489</v>
      </c>
      <c r="D2529" s="116">
        <v>487.4</v>
      </c>
      <c r="E2529" s="116">
        <v>499.95</v>
      </c>
      <c r="F2529" s="116">
        <v>489</v>
      </c>
      <c r="G2529">
        <v>73047</v>
      </c>
      <c r="H2529" s="116"/>
      <c r="I2529" s="116"/>
      <c r="L2529" s="170">
        <v>45726</v>
      </c>
      <c r="M2529" s="116">
        <v>489.6</v>
      </c>
      <c r="N2529" s="116">
        <v>508</v>
      </c>
      <c r="O2529" s="116">
        <v>486.9</v>
      </c>
      <c r="P2529" s="116">
        <v>498</v>
      </c>
      <c r="Q2529" s="116">
        <v>489.6</v>
      </c>
      <c r="R2529">
        <v>1626327</v>
      </c>
    </row>
    <row r="2530" spans="1:18" x14ac:dyDescent="0.25">
      <c r="A2530" s="170">
        <v>45727</v>
      </c>
      <c r="B2530" s="116">
        <v>497</v>
      </c>
      <c r="C2530" s="116">
        <v>495.55</v>
      </c>
      <c r="D2530" s="116">
        <v>480.4</v>
      </c>
      <c r="E2530" s="116">
        <v>485</v>
      </c>
      <c r="F2530" s="116">
        <v>495.55</v>
      </c>
      <c r="G2530">
        <v>153932</v>
      </c>
      <c r="H2530" s="116"/>
      <c r="I2530" s="116"/>
      <c r="L2530" s="170">
        <v>45727</v>
      </c>
      <c r="M2530" s="116">
        <v>495.55</v>
      </c>
      <c r="N2530" s="116">
        <v>497.05</v>
      </c>
      <c r="O2530" s="116">
        <v>480.1</v>
      </c>
      <c r="P2530" s="116">
        <v>485</v>
      </c>
      <c r="Q2530" s="116">
        <v>495.55</v>
      </c>
      <c r="R2530">
        <v>1903052</v>
      </c>
    </row>
    <row r="2531" spans="1:18" x14ac:dyDescent="0.25">
      <c r="A2531" s="170">
        <v>45728</v>
      </c>
      <c r="B2531" s="116">
        <v>501.65</v>
      </c>
      <c r="C2531" s="116">
        <v>488.85</v>
      </c>
      <c r="D2531" s="116">
        <v>485.35</v>
      </c>
      <c r="E2531" s="116">
        <v>495.05</v>
      </c>
      <c r="F2531" s="116">
        <v>488.85</v>
      </c>
      <c r="G2531">
        <v>98259</v>
      </c>
      <c r="H2531" s="116"/>
      <c r="I2531" s="116"/>
      <c r="L2531" s="170">
        <v>45728</v>
      </c>
      <c r="M2531" s="116">
        <v>489.2</v>
      </c>
      <c r="N2531" s="116">
        <v>501.95</v>
      </c>
      <c r="O2531" s="116">
        <v>485.4</v>
      </c>
      <c r="P2531" s="116">
        <v>495.55</v>
      </c>
      <c r="Q2531" s="116">
        <v>489.2</v>
      </c>
      <c r="R2531">
        <v>2004582</v>
      </c>
    </row>
    <row r="2532" spans="1:18" x14ac:dyDescent="0.25">
      <c r="A2532" s="170">
        <v>45729</v>
      </c>
      <c r="B2532" s="116">
        <v>494.7</v>
      </c>
      <c r="C2532" s="116">
        <v>486.2</v>
      </c>
      <c r="D2532" s="116">
        <v>485</v>
      </c>
      <c r="E2532" s="116">
        <v>494.7</v>
      </c>
      <c r="F2532" s="116">
        <v>486.2</v>
      </c>
      <c r="G2532">
        <v>26600</v>
      </c>
      <c r="H2532" s="116"/>
      <c r="I2532" s="116"/>
      <c r="L2532" s="170">
        <v>45729</v>
      </c>
      <c r="M2532" s="116">
        <v>485.8</v>
      </c>
      <c r="N2532" s="116">
        <v>493.6</v>
      </c>
      <c r="O2532" s="116">
        <v>484.4</v>
      </c>
      <c r="P2532" s="116">
        <v>491.9</v>
      </c>
      <c r="Q2532" s="116">
        <v>485.8</v>
      </c>
      <c r="R2532">
        <v>1626551</v>
      </c>
    </row>
    <row r="2533" spans="1:18" x14ac:dyDescent="0.25">
      <c r="A2533" s="170">
        <v>45733</v>
      </c>
      <c r="B2533" s="116">
        <v>494.35</v>
      </c>
      <c r="C2533" s="116">
        <v>490.75</v>
      </c>
      <c r="D2533" s="116">
        <v>485.75</v>
      </c>
      <c r="E2533" s="116">
        <v>486.6</v>
      </c>
      <c r="F2533" s="116">
        <v>490.75</v>
      </c>
      <c r="G2533">
        <v>69885</v>
      </c>
      <c r="H2533" s="116"/>
      <c r="I2533" s="116"/>
      <c r="L2533" s="170">
        <v>45733</v>
      </c>
      <c r="M2533" s="116">
        <v>490.55</v>
      </c>
      <c r="N2533" s="116">
        <v>494.75</v>
      </c>
      <c r="O2533" s="116">
        <v>486.1</v>
      </c>
      <c r="P2533" s="116">
        <v>488</v>
      </c>
      <c r="Q2533" s="116">
        <v>490.55</v>
      </c>
      <c r="R2533">
        <v>2759538</v>
      </c>
    </row>
    <row r="2534" spans="1:18" x14ac:dyDescent="0.25">
      <c r="A2534" s="170">
        <v>45734</v>
      </c>
      <c r="B2534" s="116">
        <v>499.15</v>
      </c>
      <c r="C2534" s="116">
        <v>497.8</v>
      </c>
      <c r="D2534" s="116">
        <v>491.65</v>
      </c>
      <c r="E2534" s="116">
        <v>491.65</v>
      </c>
      <c r="F2534" s="116">
        <v>497.8</v>
      </c>
      <c r="G2534">
        <v>150020</v>
      </c>
      <c r="H2534" s="116"/>
      <c r="I2534" s="116"/>
      <c r="L2534" s="170">
        <v>45734</v>
      </c>
      <c r="M2534" s="116">
        <v>498.15</v>
      </c>
      <c r="N2534" s="116">
        <v>499.8</v>
      </c>
      <c r="O2534" s="116">
        <v>492.15</v>
      </c>
      <c r="P2534" s="116">
        <v>493</v>
      </c>
      <c r="Q2534" s="116">
        <v>498.15</v>
      </c>
      <c r="R2534">
        <v>2255773</v>
      </c>
    </row>
    <row r="2535" spans="1:18" x14ac:dyDescent="0.25">
      <c r="A2535" s="170">
        <v>45735</v>
      </c>
      <c r="B2535" s="116">
        <v>508.55</v>
      </c>
      <c r="C2535" s="116">
        <v>506.9</v>
      </c>
      <c r="D2535" s="116">
        <v>497.8</v>
      </c>
      <c r="E2535" s="116">
        <v>497.8</v>
      </c>
      <c r="F2535" s="116">
        <v>506.9</v>
      </c>
      <c r="G2535">
        <v>44544</v>
      </c>
      <c r="H2535" s="116"/>
      <c r="I2535" s="116"/>
      <c r="L2535" s="170">
        <v>45735</v>
      </c>
      <c r="M2535" s="116">
        <v>507.05</v>
      </c>
      <c r="N2535" s="116">
        <v>508.75</v>
      </c>
      <c r="O2535" s="116">
        <v>498</v>
      </c>
      <c r="P2535" s="116">
        <v>498</v>
      </c>
      <c r="Q2535" s="116">
        <v>507.05</v>
      </c>
      <c r="R2535">
        <v>1284144</v>
      </c>
    </row>
    <row r="2536" spans="1:18" x14ac:dyDescent="0.25">
      <c r="A2536" s="170">
        <v>45736</v>
      </c>
      <c r="B2536" s="116">
        <v>512</v>
      </c>
      <c r="C2536" s="116">
        <v>504.55</v>
      </c>
      <c r="D2536" s="116">
        <v>503.55</v>
      </c>
      <c r="E2536" s="116">
        <v>508.85</v>
      </c>
      <c r="F2536" s="116">
        <v>504.55</v>
      </c>
      <c r="G2536">
        <v>32415</v>
      </c>
      <c r="H2536" s="116"/>
      <c r="I2536" s="116"/>
      <c r="L2536" s="170">
        <v>45736</v>
      </c>
      <c r="M2536" s="116">
        <v>504.7</v>
      </c>
      <c r="N2536" s="116">
        <v>512.45000000000005</v>
      </c>
      <c r="O2536" s="116">
        <v>503.4</v>
      </c>
      <c r="P2536" s="116">
        <v>508</v>
      </c>
      <c r="Q2536" s="116">
        <v>504.7</v>
      </c>
      <c r="R2536">
        <v>1239801</v>
      </c>
    </row>
    <row r="2537" spans="1:18" x14ac:dyDescent="0.25">
      <c r="A2537" s="170">
        <v>45737</v>
      </c>
      <c r="B2537" s="116">
        <v>517</v>
      </c>
      <c r="C2537" s="116">
        <v>514.79999999999995</v>
      </c>
      <c r="D2537" s="116">
        <v>506</v>
      </c>
      <c r="E2537" s="116">
        <v>508.1</v>
      </c>
      <c r="F2537" s="116">
        <v>514.79999999999995</v>
      </c>
      <c r="G2537">
        <v>57574</v>
      </c>
      <c r="H2537" s="116"/>
      <c r="I2537" s="116"/>
      <c r="L2537" s="170">
        <v>45737</v>
      </c>
      <c r="M2537" s="116">
        <v>514.5</v>
      </c>
      <c r="N2537" s="116">
        <v>517</v>
      </c>
      <c r="O2537" s="116">
        <v>505</v>
      </c>
      <c r="P2537" s="116">
        <v>505</v>
      </c>
      <c r="Q2537" s="116">
        <v>514.5</v>
      </c>
      <c r="R2537">
        <v>4271244</v>
      </c>
    </row>
    <row r="2538" spans="1:18" x14ac:dyDescent="0.25">
      <c r="A2538" s="170">
        <v>45740</v>
      </c>
      <c r="B2538" s="116">
        <v>520.45000000000005</v>
      </c>
      <c r="C2538" s="116">
        <v>518.95000000000005</v>
      </c>
      <c r="D2538" s="116">
        <v>510.4</v>
      </c>
      <c r="E2538" s="116">
        <v>517</v>
      </c>
      <c r="F2538" s="116">
        <v>518.95000000000005</v>
      </c>
      <c r="G2538">
        <v>227903</v>
      </c>
      <c r="H2538" s="116"/>
      <c r="I2538" s="116"/>
      <c r="L2538" s="170">
        <v>45740</v>
      </c>
      <c r="M2538" s="116">
        <v>519.29999999999995</v>
      </c>
      <c r="N2538" s="116">
        <v>522</v>
      </c>
      <c r="O2538" s="116">
        <v>510.55</v>
      </c>
      <c r="P2538" s="116">
        <v>516.9</v>
      </c>
      <c r="Q2538" s="116">
        <v>519.29999999999995</v>
      </c>
      <c r="R2538">
        <v>2892707</v>
      </c>
    </row>
    <row r="2539" spans="1:18" x14ac:dyDescent="0.25">
      <c r="A2539" s="170">
        <v>45741</v>
      </c>
      <c r="B2539" s="116">
        <v>538.5</v>
      </c>
      <c r="C2539" s="116">
        <v>520.4</v>
      </c>
      <c r="D2539" s="116">
        <v>518.29999999999995</v>
      </c>
      <c r="E2539" s="116">
        <v>524.04999999999995</v>
      </c>
      <c r="F2539" s="116">
        <v>520.4</v>
      </c>
      <c r="G2539">
        <v>243213</v>
      </c>
      <c r="H2539" s="116"/>
      <c r="I2539" s="116"/>
      <c r="L2539" s="170">
        <v>45741</v>
      </c>
      <c r="M2539" s="116">
        <v>520.54999999999995</v>
      </c>
      <c r="N2539" s="116">
        <v>538.65</v>
      </c>
      <c r="O2539" s="116">
        <v>518.15</v>
      </c>
      <c r="P2539" s="116">
        <v>530</v>
      </c>
      <c r="Q2539" s="116">
        <v>520.54999999999995</v>
      </c>
      <c r="R2539">
        <v>6690237</v>
      </c>
    </row>
    <row r="2540" spans="1:18" x14ac:dyDescent="0.25">
      <c r="A2540" s="170">
        <v>45742</v>
      </c>
      <c r="B2540" s="116">
        <v>537.75</v>
      </c>
      <c r="C2540" s="116">
        <v>531.79999999999995</v>
      </c>
      <c r="D2540" s="116">
        <v>520</v>
      </c>
      <c r="E2540" s="116">
        <v>520.65</v>
      </c>
      <c r="F2540" s="116">
        <v>531.79999999999995</v>
      </c>
      <c r="G2540">
        <v>115731</v>
      </c>
      <c r="H2540" s="116"/>
      <c r="I2540" s="116"/>
      <c r="L2540" s="170">
        <v>45742</v>
      </c>
      <c r="M2540" s="116">
        <v>532.45000000000005</v>
      </c>
      <c r="N2540" s="116">
        <v>537.70000000000005</v>
      </c>
      <c r="O2540" s="116">
        <v>519.54999999999995</v>
      </c>
      <c r="P2540" s="116">
        <v>522</v>
      </c>
      <c r="Q2540" s="116">
        <v>532.45000000000005</v>
      </c>
      <c r="R2540">
        <v>4409206</v>
      </c>
    </row>
    <row r="2541" spans="1:18" x14ac:dyDescent="0.25">
      <c r="A2541" s="170">
        <v>45743</v>
      </c>
      <c r="B2541" s="116">
        <v>545.6</v>
      </c>
      <c r="C2541" s="116">
        <v>543.04999999999995</v>
      </c>
      <c r="D2541" s="116">
        <v>527.04999999999995</v>
      </c>
      <c r="E2541" s="116">
        <v>531.25</v>
      </c>
      <c r="F2541" s="116">
        <v>543.04999999999995</v>
      </c>
      <c r="G2541">
        <v>67658</v>
      </c>
      <c r="H2541" s="116"/>
      <c r="I2541" s="116"/>
      <c r="L2541" s="170">
        <v>45743</v>
      </c>
      <c r="M2541" s="116">
        <v>542.79999999999995</v>
      </c>
      <c r="N2541" s="116">
        <v>545.29999999999995</v>
      </c>
      <c r="O2541" s="116">
        <v>526.20000000000005</v>
      </c>
      <c r="P2541" s="116">
        <v>530.04999999999995</v>
      </c>
      <c r="Q2541" s="116">
        <v>542.79999999999995</v>
      </c>
      <c r="R2541">
        <v>3250121</v>
      </c>
    </row>
    <row r="2542" spans="1:18" x14ac:dyDescent="0.25">
      <c r="A2542" s="170">
        <v>45744</v>
      </c>
      <c r="B2542" s="116">
        <v>551.79999999999995</v>
      </c>
      <c r="C2542" s="116">
        <v>537.95000000000005</v>
      </c>
      <c r="D2542" s="116">
        <v>536.65</v>
      </c>
      <c r="E2542" s="116">
        <v>543.5</v>
      </c>
      <c r="F2542" s="116">
        <v>537.95000000000005</v>
      </c>
      <c r="G2542">
        <v>123925</v>
      </c>
      <c r="H2542" s="116"/>
      <c r="I2542" s="116"/>
      <c r="L2542" s="170">
        <v>45744</v>
      </c>
      <c r="M2542" s="116">
        <v>538.35</v>
      </c>
      <c r="N2542" s="116">
        <v>552</v>
      </c>
      <c r="O2542" s="116">
        <v>536.29999999999995</v>
      </c>
      <c r="P2542" s="116">
        <v>544.9</v>
      </c>
      <c r="Q2542" s="116">
        <v>538.35</v>
      </c>
      <c r="R2542">
        <v>1557007</v>
      </c>
    </row>
    <row r="2543" spans="1:18" x14ac:dyDescent="0.25">
      <c r="A2543" s="170">
        <v>45748</v>
      </c>
      <c r="B2543" s="116">
        <v>542.9</v>
      </c>
      <c r="C2543" s="116">
        <v>529.4</v>
      </c>
      <c r="D2543" s="116">
        <v>528.75</v>
      </c>
      <c r="E2543" s="116">
        <v>538.35</v>
      </c>
      <c r="F2543" s="116">
        <v>529.4</v>
      </c>
      <c r="G2543">
        <v>33421</v>
      </c>
      <c r="H2543" s="116"/>
      <c r="I2543" s="116"/>
      <c r="L2543" s="170">
        <v>45748</v>
      </c>
      <c r="M2543" s="116">
        <v>529.9</v>
      </c>
      <c r="N2543" s="116">
        <v>542.85</v>
      </c>
      <c r="O2543" s="116">
        <v>529.20000000000005</v>
      </c>
      <c r="P2543" s="116">
        <v>538</v>
      </c>
      <c r="Q2543" s="116">
        <v>529.9</v>
      </c>
      <c r="R2543">
        <v>953159</v>
      </c>
    </row>
    <row r="2544" spans="1:18" x14ac:dyDescent="0.25">
      <c r="A2544" s="170">
        <v>45749</v>
      </c>
      <c r="B2544" s="116">
        <v>536.4</v>
      </c>
      <c r="C2544" s="116">
        <v>534.45000000000005</v>
      </c>
      <c r="D2544" s="116">
        <v>524.70000000000005</v>
      </c>
      <c r="E2544" s="116">
        <v>526.9</v>
      </c>
      <c r="F2544" s="116">
        <v>534.45000000000005</v>
      </c>
      <c r="G2544">
        <v>21252</v>
      </c>
      <c r="H2544" s="116"/>
      <c r="I2544" s="116"/>
      <c r="L2544" s="170">
        <v>45749</v>
      </c>
      <c r="M2544" s="116">
        <v>534.04999999999995</v>
      </c>
      <c r="N2544" s="116">
        <v>536.54999999999995</v>
      </c>
      <c r="O2544" s="116">
        <v>524.35</v>
      </c>
      <c r="P2544" s="116">
        <v>527.6</v>
      </c>
      <c r="Q2544" s="116">
        <v>534.04999999999995</v>
      </c>
      <c r="R2544">
        <v>1395080</v>
      </c>
    </row>
    <row r="2545" spans="1:18" x14ac:dyDescent="0.25">
      <c r="A2545" s="170">
        <v>45750</v>
      </c>
      <c r="B2545" s="116">
        <v>544.35</v>
      </c>
      <c r="C2545" s="116">
        <v>540.65</v>
      </c>
      <c r="D2545" s="116">
        <v>529.9</v>
      </c>
      <c r="E2545" s="116">
        <v>530.35</v>
      </c>
      <c r="F2545" s="116">
        <v>540.65</v>
      </c>
      <c r="G2545">
        <v>60676</v>
      </c>
      <c r="H2545" s="116"/>
      <c r="I2545" s="116"/>
      <c r="L2545" s="170">
        <v>45750</v>
      </c>
      <c r="M2545" s="116">
        <v>540.70000000000005</v>
      </c>
      <c r="N2545" s="116">
        <v>544.20000000000005</v>
      </c>
      <c r="O2545" s="116">
        <v>530.5</v>
      </c>
      <c r="P2545" s="116">
        <v>530.65</v>
      </c>
      <c r="Q2545" s="116">
        <v>540.70000000000005</v>
      </c>
      <c r="R2545">
        <v>857218</v>
      </c>
    </row>
    <row r="2546" spans="1:18" x14ac:dyDescent="0.25">
      <c r="A2546" s="170">
        <v>45751</v>
      </c>
      <c r="B2546" s="116">
        <v>543</v>
      </c>
      <c r="C2546" s="116">
        <v>528.20000000000005</v>
      </c>
      <c r="D2546" s="116">
        <v>525.20000000000005</v>
      </c>
      <c r="E2546" s="116">
        <v>540.04999999999995</v>
      </c>
      <c r="F2546" s="116">
        <v>528.20000000000005</v>
      </c>
      <c r="G2546">
        <v>37772</v>
      </c>
      <c r="H2546" s="116"/>
      <c r="I2546" s="116"/>
      <c r="L2546" s="170">
        <v>45751</v>
      </c>
      <c r="M2546" s="116">
        <v>528.20000000000005</v>
      </c>
      <c r="N2546" s="116">
        <v>543.95000000000005</v>
      </c>
      <c r="O2546" s="116">
        <v>525.6</v>
      </c>
      <c r="P2546" s="116">
        <v>540.6</v>
      </c>
      <c r="Q2546" s="116">
        <v>528.20000000000005</v>
      </c>
      <c r="R2546">
        <v>1254580</v>
      </c>
    </row>
    <row r="2547" spans="1:18" x14ac:dyDescent="0.25">
      <c r="A2547" s="170">
        <v>45754</v>
      </c>
      <c r="B2547" s="116">
        <v>531.95000000000005</v>
      </c>
      <c r="C2547" s="116">
        <v>525</v>
      </c>
      <c r="D2547" s="116">
        <v>475.4</v>
      </c>
      <c r="E2547" s="116">
        <v>475.4</v>
      </c>
      <c r="F2547" s="116">
        <v>525</v>
      </c>
      <c r="G2547">
        <v>215798</v>
      </c>
      <c r="H2547" s="116"/>
      <c r="I2547" s="116"/>
      <c r="L2547" s="170">
        <v>45754</v>
      </c>
      <c r="M2547" s="116">
        <v>525.20000000000005</v>
      </c>
      <c r="N2547" s="116">
        <v>532</v>
      </c>
      <c r="O2547" s="116">
        <v>480.35</v>
      </c>
      <c r="P2547" s="116">
        <v>495</v>
      </c>
      <c r="Q2547" s="116">
        <v>525.20000000000005</v>
      </c>
      <c r="R2547">
        <v>3055609</v>
      </c>
    </row>
    <row r="2548" spans="1:18" x14ac:dyDescent="0.25">
      <c r="A2548" s="170">
        <v>45755</v>
      </c>
      <c r="B2548" s="116">
        <v>538.79999999999995</v>
      </c>
      <c r="C2548" s="116">
        <v>537</v>
      </c>
      <c r="D2548" s="116">
        <v>527.70000000000005</v>
      </c>
      <c r="E2548" s="116">
        <v>528.45000000000005</v>
      </c>
      <c r="F2548" s="116">
        <v>537</v>
      </c>
      <c r="G2548">
        <v>276614</v>
      </c>
      <c r="H2548" s="116"/>
      <c r="I2548" s="116"/>
      <c r="L2548" s="170">
        <v>45755</v>
      </c>
      <c r="M2548" s="116">
        <v>536.79999999999995</v>
      </c>
      <c r="N2548" s="116">
        <v>539.1</v>
      </c>
      <c r="O2548" s="116">
        <v>527.45000000000005</v>
      </c>
      <c r="P2548" s="116">
        <v>535</v>
      </c>
      <c r="Q2548" s="116">
        <v>536.79999999999995</v>
      </c>
      <c r="R2548">
        <v>1899103</v>
      </c>
    </row>
    <row r="2549" spans="1:18" x14ac:dyDescent="0.25">
      <c r="A2549" s="170">
        <v>45756</v>
      </c>
      <c r="B2549" s="116">
        <v>552</v>
      </c>
      <c r="C2549" s="116">
        <v>546.54999999999995</v>
      </c>
      <c r="D2549" s="116">
        <v>532</v>
      </c>
      <c r="E2549" s="116">
        <v>532.45000000000005</v>
      </c>
      <c r="F2549" s="116">
        <v>546.54999999999995</v>
      </c>
      <c r="G2549">
        <v>237655</v>
      </c>
      <c r="H2549" s="116"/>
      <c r="I2549" s="116"/>
      <c r="L2549" s="170">
        <v>45756</v>
      </c>
      <c r="M2549" s="116">
        <v>547.79999999999995</v>
      </c>
      <c r="N2549" s="116">
        <v>552.29999999999995</v>
      </c>
      <c r="O2549" s="116">
        <v>531.15</v>
      </c>
      <c r="P2549" s="116">
        <v>536.79999999999995</v>
      </c>
      <c r="Q2549" s="116">
        <v>547.79999999999995</v>
      </c>
      <c r="R2549">
        <v>4262360</v>
      </c>
    </row>
    <row r="2550" spans="1:18" x14ac:dyDescent="0.25">
      <c r="A2550" s="170">
        <v>45758</v>
      </c>
      <c r="B2550" s="116">
        <v>558.45000000000005</v>
      </c>
      <c r="C2550" s="116">
        <v>548.54999999999995</v>
      </c>
      <c r="D2550" s="116">
        <v>544.04999999999995</v>
      </c>
      <c r="E2550" s="116">
        <v>558.45000000000005</v>
      </c>
      <c r="F2550" s="116">
        <v>548.54999999999995</v>
      </c>
      <c r="G2550">
        <v>460359</v>
      </c>
      <c r="H2550" s="116"/>
      <c r="I2550" s="116"/>
      <c r="L2550" s="170">
        <v>45758</v>
      </c>
      <c r="M2550" s="116">
        <v>548.65</v>
      </c>
      <c r="N2550" s="116">
        <v>556.79999999999995</v>
      </c>
      <c r="O2550" s="116">
        <v>544</v>
      </c>
      <c r="P2550" s="116">
        <v>553.75</v>
      </c>
      <c r="Q2550" s="116">
        <v>548.65</v>
      </c>
      <c r="R2550">
        <v>3541770</v>
      </c>
    </row>
    <row r="2551" spans="1:18" x14ac:dyDescent="0.25">
      <c r="A2551" s="170">
        <v>45762</v>
      </c>
      <c r="B2551" s="116">
        <v>559.5</v>
      </c>
      <c r="C2551" s="116">
        <v>558.85</v>
      </c>
      <c r="D2551" s="116">
        <v>550.65</v>
      </c>
      <c r="E2551" s="116">
        <v>557.5</v>
      </c>
      <c r="F2551" s="116">
        <v>558.85</v>
      </c>
      <c r="G2551">
        <v>155196</v>
      </c>
      <c r="H2551" s="116"/>
      <c r="I2551" s="116"/>
      <c r="L2551" s="170">
        <v>45762</v>
      </c>
      <c r="M2551" s="116">
        <v>558.04999999999995</v>
      </c>
      <c r="N2551" s="116">
        <v>559.20000000000005</v>
      </c>
      <c r="O2551" s="116">
        <v>550.25</v>
      </c>
      <c r="P2551" s="116">
        <v>555</v>
      </c>
      <c r="Q2551" s="116">
        <v>558.04999999999995</v>
      </c>
      <c r="R2551">
        <v>2937116</v>
      </c>
    </row>
    <row r="2552" spans="1:18" x14ac:dyDescent="0.25">
      <c r="A2552" s="170">
        <v>45763</v>
      </c>
      <c r="B2552" s="116">
        <v>566.5</v>
      </c>
      <c r="C2552" s="116">
        <v>565.85</v>
      </c>
      <c r="D2552" s="116">
        <v>554.95000000000005</v>
      </c>
      <c r="E2552" s="116">
        <v>558.29999999999995</v>
      </c>
      <c r="F2552" s="116">
        <v>565.85</v>
      </c>
      <c r="G2552">
        <v>241413</v>
      </c>
      <c r="H2552" s="116"/>
      <c r="I2552" s="116"/>
      <c r="L2552" s="170">
        <v>45763</v>
      </c>
      <c r="M2552" s="116">
        <v>565.75</v>
      </c>
      <c r="N2552" s="116">
        <v>566.5</v>
      </c>
      <c r="O2552" s="116">
        <v>552.4</v>
      </c>
      <c r="P2552" s="116">
        <v>559.95000000000005</v>
      </c>
      <c r="Q2552" s="116">
        <v>565.75</v>
      </c>
      <c r="R2552">
        <v>3073455</v>
      </c>
    </row>
    <row r="2553" spans="1:18" x14ac:dyDescent="0.25">
      <c r="A2553" s="170">
        <v>45764</v>
      </c>
      <c r="B2553" s="116">
        <v>570.85</v>
      </c>
      <c r="C2553" s="116">
        <v>569.6</v>
      </c>
      <c r="D2553" s="116">
        <v>562.20000000000005</v>
      </c>
      <c r="E2553" s="116">
        <v>567</v>
      </c>
      <c r="F2553" s="116">
        <v>569.6</v>
      </c>
      <c r="G2553">
        <v>103923</v>
      </c>
      <c r="H2553" s="116"/>
      <c r="I2553" s="116"/>
      <c r="L2553" s="170">
        <v>45764</v>
      </c>
      <c r="M2553" s="116">
        <v>569.79999999999995</v>
      </c>
      <c r="N2553" s="116">
        <v>571.1</v>
      </c>
      <c r="O2553" s="116">
        <v>562.15</v>
      </c>
      <c r="P2553" s="116">
        <v>565.75</v>
      </c>
      <c r="Q2553" s="116">
        <v>569.79999999999995</v>
      </c>
      <c r="R2553">
        <v>2468279</v>
      </c>
    </row>
    <row r="2554" spans="1:18" x14ac:dyDescent="0.25">
      <c r="A2554" s="170">
        <v>45768</v>
      </c>
      <c r="B2554" s="116">
        <v>582.4</v>
      </c>
      <c r="C2554" s="116">
        <v>578.85</v>
      </c>
      <c r="D2554" s="116">
        <v>568</v>
      </c>
      <c r="E2554" s="116">
        <v>573.45000000000005</v>
      </c>
      <c r="F2554" s="116">
        <v>578.85</v>
      </c>
      <c r="G2554">
        <v>102882</v>
      </c>
      <c r="H2554" s="116"/>
      <c r="I2554" s="116"/>
      <c r="L2554" s="170">
        <v>45768</v>
      </c>
      <c r="M2554" s="116">
        <v>578.9</v>
      </c>
      <c r="N2554" s="116">
        <v>582.29999999999995</v>
      </c>
      <c r="O2554" s="116">
        <v>567.85</v>
      </c>
      <c r="P2554" s="116">
        <v>572.29999999999995</v>
      </c>
      <c r="Q2554" s="116">
        <v>578.9</v>
      </c>
      <c r="R2554">
        <v>3429480</v>
      </c>
    </row>
    <row r="2555" spans="1:18" x14ac:dyDescent="0.25">
      <c r="A2555" s="170">
        <v>45769</v>
      </c>
      <c r="B2555" s="116">
        <v>584.6</v>
      </c>
      <c r="C2555" s="116">
        <v>578.65</v>
      </c>
      <c r="D2555" s="116">
        <v>575.54999999999995</v>
      </c>
      <c r="E2555" s="116">
        <v>580.79999999999995</v>
      </c>
      <c r="F2555" s="116">
        <v>578.65</v>
      </c>
      <c r="G2555">
        <v>61154</v>
      </c>
      <c r="H2555" s="116"/>
      <c r="I2555" s="116"/>
      <c r="L2555" s="170">
        <v>45769</v>
      </c>
      <c r="M2555" s="116">
        <v>577.9</v>
      </c>
      <c r="N2555" s="116">
        <v>584.79999999999995</v>
      </c>
      <c r="O2555" s="116">
        <v>575.1</v>
      </c>
      <c r="P2555" s="116">
        <v>580</v>
      </c>
      <c r="Q2555" s="116">
        <v>577.9</v>
      </c>
      <c r="R2555">
        <v>4202944</v>
      </c>
    </row>
    <row r="2556" spans="1:18" x14ac:dyDescent="0.25">
      <c r="A2556" s="170">
        <v>45770</v>
      </c>
      <c r="B2556" s="116">
        <v>582.45000000000005</v>
      </c>
      <c r="C2556" s="116">
        <v>574.15</v>
      </c>
      <c r="D2556" s="116">
        <v>569.95000000000005</v>
      </c>
      <c r="E2556" s="116">
        <v>582.1</v>
      </c>
      <c r="F2556" s="116">
        <v>574.15</v>
      </c>
      <c r="G2556">
        <v>212912</v>
      </c>
      <c r="H2556" s="116"/>
      <c r="I2556" s="116"/>
      <c r="L2556" s="170">
        <v>45770</v>
      </c>
      <c r="M2556" s="116">
        <v>574.35</v>
      </c>
      <c r="N2556" s="116">
        <v>582.9</v>
      </c>
      <c r="O2556" s="116">
        <v>569.29999999999995</v>
      </c>
      <c r="P2556" s="116">
        <v>582.65</v>
      </c>
      <c r="Q2556" s="116">
        <v>574.35</v>
      </c>
      <c r="R2556">
        <v>2666133</v>
      </c>
    </row>
    <row r="2557" spans="1:18" x14ac:dyDescent="0.25">
      <c r="A2557" s="170">
        <v>45771</v>
      </c>
      <c r="B2557" s="116">
        <v>579.65</v>
      </c>
      <c r="C2557" s="116">
        <v>571.70000000000005</v>
      </c>
      <c r="D2557" s="116">
        <v>569</v>
      </c>
      <c r="E2557" s="116">
        <v>571.75</v>
      </c>
      <c r="F2557" s="116">
        <v>571.70000000000005</v>
      </c>
      <c r="G2557">
        <v>53820</v>
      </c>
      <c r="H2557" s="116"/>
      <c r="I2557" s="116"/>
      <c r="L2557" s="170">
        <v>45771</v>
      </c>
      <c r="M2557" s="116">
        <v>572</v>
      </c>
      <c r="N2557" s="116">
        <v>580</v>
      </c>
      <c r="O2557" s="116">
        <v>568.4</v>
      </c>
      <c r="P2557" s="116">
        <v>574.35</v>
      </c>
      <c r="Q2557" s="116">
        <v>572</v>
      </c>
      <c r="R2557">
        <v>4092552</v>
      </c>
    </row>
    <row r="2558" spans="1:18" x14ac:dyDescent="0.25">
      <c r="A2558" s="170">
        <v>45772</v>
      </c>
      <c r="B2558" s="116">
        <v>573.70000000000005</v>
      </c>
      <c r="C2558" s="116">
        <v>548.45000000000005</v>
      </c>
      <c r="D2558" s="116">
        <v>544.5</v>
      </c>
      <c r="E2558" s="116">
        <v>570.04999999999995</v>
      </c>
      <c r="F2558" s="116">
        <v>548.45000000000005</v>
      </c>
      <c r="G2558">
        <v>344791</v>
      </c>
      <c r="H2558" s="116"/>
      <c r="I2558" s="116"/>
      <c r="L2558" s="170">
        <v>45772</v>
      </c>
      <c r="M2558" s="116">
        <v>548.70000000000005</v>
      </c>
      <c r="N2558" s="116">
        <v>574.20000000000005</v>
      </c>
      <c r="O2558" s="116">
        <v>544</v>
      </c>
      <c r="P2558" s="116">
        <v>572</v>
      </c>
      <c r="Q2558" s="116">
        <v>548.70000000000005</v>
      </c>
      <c r="R2558">
        <v>3491061</v>
      </c>
    </row>
    <row r="2559" spans="1:18" x14ac:dyDescent="0.25">
      <c r="A2559" s="170">
        <v>45775</v>
      </c>
      <c r="B2559" s="116">
        <v>552.65</v>
      </c>
      <c r="C2559" s="116">
        <v>545.04999999999995</v>
      </c>
      <c r="D2559" s="116">
        <v>541.29999999999995</v>
      </c>
      <c r="E2559" s="116">
        <v>547.5</v>
      </c>
      <c r="F2559" s="116">
        <v>545.04999999999995</v>
      </c>
      <c r="G2559">
        <v>326599</v>
      </c>
      <c r="H2559" s="116"/>
      <c r="I2559" s="116"/>
      <c r="L2559" s="170">
        <v>45775</v>
      </c>
      <c r="M2559" s="116">
        <v>544.95000000000005</v>
      </c>
      <c r="N2559" s="116">
        <v>552.85</v>
      </c>
      <c r="O2559" s="116">
        <v>541</v>
      </c>
      <c r="P2559" s="116">
        <v>548.85</v>
      </c>
      <c r="Q2559" s="116">
        <v>544.95000000000005</v>
      </c>
      <c r="R2559">
        <v>2686846</v>
      </c>
    </row>
    <row r="2560" spans="1:18" x14ac:dyDescent="0.25">
      <c r="A2560" s="170">
        <v>45776</v>
      </c>
      <c r="B2560" s="116">
        <v>552.4</v>
      </c>
      <c r="C2560" s="116">
        <v>534.1</v>
      </c>
      <c r="D2560" s="116">
        <v>530.15</v>
      </c>
      <c r="E2560" s="116">
        <v>550</v>
      </c>
      <c r="F2560" s="116">
        <v>534.1</v>
      </c>
      <c r="G2560">
        <v>551578</v>
      </c>
      <c r="H2560" s="116"/>
      <c r="I2560" s="116"/>
      <c r="L2560" s="170">
        <v>45776</v>
      </c>
      <c r="M2560" s="116">
        <v>533.95000000000005</v>
      </c>
      <c r="N2560" s="116">
        <v>552.1</v>
      </c>
      <c r="O2560" s="116">
        <v>530.1</v>
      </c>
      <c r="P2560" s="116">
        <v>549</v>
      </c>
      <c r="Q2560" s="116">
        <v>533.95000000000005</v>
      </c>
      <c r="R2560">
        <v>7512372</v>
      </c>
    </row>
    <row r="2561" spans="1:18" x14ac:dyDescent="0.25">
      <c r="A2561" s="170">
        <v>45777</v>
      </c>
      <c r="B2561" s="116">
        <v>546</v>
      </c>
      <c r="C2561" s="116">
        <v>539.4</v>
      </c>
      <c r="D2561" s="116">
        <v>533.1</v>
      </c>
      <c r="E2561" s="116">
        <v>537</v>
      </c>
      <c r="F2561" s="116">
        <v>539.4</v>
      </c>
      <c r="G2561">
        <v>239940</v>
      </c>
      <c r="H2561" s="116"/>
      <c r="I2561" s="116"/>
      <c r="L2561" s="170">
        <v>45777</v>
      </c>
      <c r="M2561" s="116">
        <v>539.70000000000005</v>
      </c>
      <c r="N2561" s="116">
        <v>546.20000000000005</v>
      </c>
      <c r="O2561" s="116">
        <v>533.04999999999995</v>
      </c>
      <c r="P2561" s="116">
        <v>540</v>
      </c>
      <c r="Q2561" s="116">
        <v>539.70000000000005</v>
      </c>
      <c r="R2561">
        <v>5851731</v>
      </c>
    </row>
    <row r="2562" spans="1:18" x14ac:dyDescent="0.25">
      <c r="A2562" s="170">
        <v>45779</v>
      </c>
      <c r="B2562" s="116">
        <v>542.85</v>
      </c>
      <c r="C2562" s="116">
        <v>531.75</v>
      </c>
      <c r="D2562" s="116">
        <v>527.29999999999995</v>
      </c>
      <c r="E2562" s="116">
        <v>539.35</v>
      </c>
      <c r="F2562" s="116">
        <v>531.75</v>
      </c>
      <c r="G2562">
        <v>308809</v>
      </c>
      <c r="H2562" s="116"/>
      <c r="I2562" s="116"/>
      <c r="L2562" s="170">
        <v>45779</v>
      </c>
      <c r="M2562" s="116">
        <v>531.70000000000005</v>
      </c>
      <c r="N2562" s="116">
        <v>542.6</v>
      </c>
      <c r="O2562" s="116">
        <v>527.25</v>
      </c>
      <c r="P2562" s="116">
        <v>537.54999999999995</v>
      </c>
      <c r="Q2562" s="116">
        <v>531.70000000000005</v>
      </c>
      <c r="R2562">
        <v>3225310</v>
      </c>
    </row>
    <row r="2563" spans="1:18" x14ac:dyDescent="0.25">
      <c r="A2563" s="170">
        <v>45782</v>
      </c>
      <c r="B2563" s="116">
        <v>549.6</v>
      </c>
      <c r="C2563" s="116">
        <v>541.1</v>
      </c>
      <c r="D2563" s="116">
        <v>529.25</v>
      </c>
      <c r="E2563" s="116">
        <v>533.75</v>
      </c>
      <c r="F2563" s="116">
        <v>541.1</v>
      </c>
      <c r="G2563">
        <v>151733</v>
      </c>
      <c r="H2563" s="116"/>
      <c r="I2563" s="116"/>
      <c r="L2563" s="170">
        <v>45782</v>
      </c>
      <c r="M2563" s="116">
        <v>541.4</v>
      </c>
      <c r="N2563" s="116">
        <v>549.65</v>
      </c>
      <c r="O2563" s="116">
        <v>529.6</v>
      </c>
      <c r="P2563" s="116">
        <v>535.79999999999995</v>
      </c>
      <c r="Q2563" s="116">
        <v>541.4</v>
      </c>
      <c r="R2563">
        <v>8102588</v>
      </c>
    </row>
    <row r="2564" spans="1:18" x14ac:dyDescent="0.25">
      <c r="A2564" s="170">
        <v>45783</v>
      </c>
      <c r="B2564" s="116">
        <v>543.29999999999995</v>
      </c>
      <c r="C2564" s="116">
        <v>535.04999999999995</v>
      </c>
      <c r="D2564" s="116">
        <v>532</v>
      </c>
      <c r="E2564" s="116">
        <v>541.15</v>
      </c>
      <c r="F2564" s="116">
        <v>535.04999999999995</v>
      </c>
      <c r="G2564">
        <v>290002</v>
      </c>
      <c r="H2564" s="116"/>
      <c r="I2564" s="116"/>
      <c r="L2564" s="170">
        <v>45783</v>
      </c>
      <c r="M2564" s="116">
        <v>535.15</v>
      </c>
      <c r="N2564" s="116">
        <v>543.70000000000005</v>
      </c>
      <c r="O2564" s="116">
        <v>532.15</v>
      </c>
      <c r="P2564" s="116">
        <v>542</v>
      </c>
      <c r="Q2564" s="116">
        <v>535.15</v>
      </c>
      <c r="R2564">
        <v>3127458</v>
      </c>
    </row>
    <row r="2565" spans="1:18" x14ac:dyDescent="0.25">
      <c r="A2565" s="170">
        <v>45784</v>
      </c>
      <c r="B2565" s="116">
        <v>538.45000000000005</v>
      </c>
      <c r="C2565" s="116">
        <v>535.04999999999995</v>
      </c>
      <c r="D2565" s="116">
        <v>524.75</v>
      </c>
      <c r="E2565" s="116">
        <v>524.75</v>
      </c>
      <c r="F2565" s="116">
        <v>535.04999999999995</v>
      </c>
      <c r="G2565">
        <v>419408</v>
      </c>
      <c r="H2565" s="116"/>
      <c r="I2565" s="116"/>
      <c r="L2565" s="170">
        <v>45784</v>
      </c>
      <c r="M2565" s="116">
        <v>535.20000000000005</v>
      </c>
      <c r="N2565" s="116">
        <v>538.35</v>
      </c>
      <c r="O2565" s="116">
        <v>526.29999999999995</v>
      </c>
      <c r="P2565" s="116">
        <v>532.79999999999995</v>
      </c>
      <c r="Q2565" s="116">
        <v>535.20000000000005</v>
      </c>
      <c r="R2565">
        <v>4047670</v>
      </c>
    </row>
    <row r="2566" spans="1:18" x14ac:dyDescent="0.25">
      <c r="A2566" s="170">
        <v>45785</v>
      </c>
      <c r="B2566" s="116">
        <v>538.95000000000005</v>
      </c>
      <c r="C2566" s="116">
        <v>524.65</v>
      </c>
      <c r="D2566" s="116">
        <v>519.75</v>
      </c>
      <c r="E2566" s="116">
        <v>538.95000000000005</v>
      </c>
      <c r="F2566" s="116">
        <v>524.65</v>
      </c>
      <c r="G2566">
        <v>358282</v>
      </c>
      <c r="H2566" s="116"/>
      <c r="I2566" s="116"/>
      <c r="L2566" s="170">
        <v>45785</v>
      </c>
      <c r="M2566" s="116">
        <v>524.4</v>
      </c>
      <c r="N2566" s="116">
        <v>538.95000000000005</v>
      </c>
      <c r="O2566" s="116">
        <v>520.04999999999995</v>
      </c>
      <c r="P2566" s="116">
        <v>536</v>
      </c>
      <c r="Q2566" s="116">
        <v>524.4</v>
      </c>
      <c r="R2566">
        <v>3213287</v>
      </c>
    </row>
    <row r="2567" spans="1:18" x14ac:dyDescent="0.25">
      <c r="A2567" s="170">
        <v>45786</v>
      </c>
      <c r="B2567" s="116">
        <v>529.35</v>
      </c>
      <c r="C2567" s="116">
        <v>527.9</v>
      </c>
      <c r="D2567" s="116">
        <v>512.54999999999995</v>
      </c>
      <c r="E2567" s="116">
        <v>512.54999999999995</v>
      </c>
      <c r="F2567" s="116">
        <v>527.9</v>
      </c>
      <c r="G2567">
        <v>180942</v>
      </c>
      <c r="H2567" s="116"/>
      <c r="I2567" s="116"/>
      <c r="L2567" s="170">
        <v>45786</v>
      </c>
      <c r="M2567" s="116">
        <v>527.45000000000005</v>
      </c>
      <c r="N2567" s="116">
        <v>529.29999999999995</v>
      </c>
      <c r="O2567" s="116">
        <v>512.25</v>
      </c>
      <c r="P2567" s="116">
        <v>516</v>
      </c>
      <c r="Q2567" s="116">
        <v>527.45000000000005</v>
      </c>
      <c r="R2567">
        <v>1880094</v>
      </c>
    </row>
    <row r="2568" spans="1:18" x14ac:dyDescent="0.25">
      <c r="A2568" s="170">
        <v>45789</v>
      </c>
      <c r="B2568" s="116">
        <v>544</v>
      </c>
      <c r="C2568" s="116">
        <v>541.45000000000005</v>
      </c>
      <c r="D2568" s="116">
        <v>535.5</v>
      </c>
      <c r="E2568" s="116">
        <v>540</v>
      </c>
      <c r="F2568" s="116">
        <v>541.45000000000005</v>
      </c>
      <c r="G2568">
        <v>119526</v>
      </c>
      <c r="H2568" s="116"/>
      <c r="I2568" s="116"/>
      <c r="L2568" s="170">
        <v>45789</v>
      </c>
      <c r="M2568" s="116">
        <v>541.65</v>
      </c>
      <c r="N2568" s="116">
        <v>544.1</v>
      </c>
      <c r="O2568" s="116">
        <v>536</v>
      </c>
      <c r="P2568" s="116">
        <v>540</v>
      </c>
      <c r="Q2568" s="116">
        <v>541.65</v>
      </c>
      <c r="R2568">
        <v>1225957</v>
      </c>
    </row>
    <row r="2569" spans="1:18" x14ac:dyDescent="0.25">
      <c r="A2569" s="170">
        <v>45790</v>
      </c>
      <c r="B2569" s="116">
        <v>542.04999999999995</v>
      </c>
      <c r="C2569" s="116">
        <v>537.1</v>
      </c>
      <c r="D2569" s="116">
        <v>534.54999999999995</v>
      </c>
      <c r="E2569" s="116">
        <v>542</v>
      </c>
      <c r="F2569" s="116">
        <v>537.1</v>
      </c>
      <c r="G2569">
        <v>225619</v>
      </c>
      <c r="H2569" s="116"/>
      <c r="I2569" s="116"/>
      <c r="L2569" s="170">
        <v>45790</v>
      </c>
      <c r="M2569" s="116">
        <v>536.9</v>
      </c>
      <c r="N2569" s="116">
        <v>542.9</v>
      </c>
      <c r="O2569" s="116">
        <v>534.29999999999995</v>
      </c>
      <c r="P2569" s="116">
        <v>542.20000000000005</v>
      </c>
      <c r="Q2569" s="116">
        <v>536.9</v>
      </c>
      <c r="R2569">
        <v>3438632</v>
      </c>
    </row>
    <row r="2570" spans="1:18" x14ac:dyDescent="0.25">
      <c r="A2570" s="170">
        <v>45791</v>
      </c>
      <c r="B2570" s="116">
        <v>544.85</v>
      </c>
      <c r="C2570" s="116">
        <v>543.9</v>
      </c>
      <c r="D2570" s="116">
        <v>536.1</v>
      </c>
      <c r="E2570" s="116">
        <v>541.79999999999995</v>
      </c>
      <c r="F2570" s="116">
        <v>543.9</v>
      </c>
      <c r="G2570">
        <v>56000</v>
      </c>
      <c r="H2570" s="116"/>
      <c r="I2570" s="116"/>
      <c r="L2570" s="170">
        <v>45791</v>
      </c>
      <c r="M2570" s="116">
        <v>543.6</v>
      </c>
      <c r="N2570" s="116">
        <v>545</v>
      </c>
      <c r="O2570" s="116">
        <v>536.04999999999995</v>
      </c>
      <c r="P2570" s="116">
        <v>540</v>
      </c>
      <c r="Q2570" s="116">
        <v>543.6</v>
      </c>
      <c r="R2570">
        <v>2627027</v>
      </c>
    </row>
    <row r="2571" spans="1:18" x14ac:dyDescent="0.25">
      <c r="A2571" s="170">
        <v>45792</v>
      </c>
      <c r="B2571" s="116">
        <v>548.25</v>
      </c>
      <c r="C2571" s="116">
        <v>547.1</v>
      </c>
      <c r="D2571" s="116">
        <v>539.5</v>
      </c>
      <c r="E2571" s="116">
        <v>543.85</v>
      </c>
      <c r="F2571" s="116">
        <v>547.1</v>
      </c>
      <c r="G2571">
        <v>88528</v>
      </c>
      <c r="H2571" s="116"/>
      <c r="I2571" s="116"/>
      <c r="L2571" s="170">
        <v>45792</v>
      </c>
      <c r="M2571" s="116">
        <v>547.54999999999995</v>
      </c>
      <c r="N2571" s="116">
        <v>549</v>
      </c>
      <c r="O2571" s="116">
        <v>539.20000000000005</v>
      </c>
      <c r="P2571" s="116">
        <v>543.9</v>
      </c>
      <c r="Q2571" s="116">
        <v>547.54999999999995</v>
      </c>
      <c r="R2571">
        <v>3683833</v>
      </c>
    </row>
    <row r="2572" spans="1:18" x14ac:dyDescent="0.25">
      <c r="A2572" s="170">
        <v>45793</v>
      </c>
      <c r="B2572" s="116">
        <v>565.95000000000005</v>
      </c>
      <c r="C2572" s="116">
        <v>563.29999999999995</v>
      </c>
      <c r="D2572" s="116">
        <v>548.25</v>
      </c>
      <c r="E2572" s="116">
        <v>548.95000000000005</v>
      </c>
      <c r="F2572" s="116">
        <v>563.29999999999995</v>
      </c>
      <c r="G2572">
        <v>67740</v>
      </c>
      <c r="H2572" s="116"/>
      <c r="I2572" s="116"/>
      <c r="L2572" s="170">
        <v>45793</v>
      </c>
      <c r="M2572" s="116">
        <v>563.5</v>
      </c>
      <c r="N2572" s="116">
        <v>565.9</v>
      </c>
      <c r="O2572" s="116">
        <v>547.15</v>
      </c>
      <c r="P2572" s="116">
        <v>548.20000000000005</v>
      </c>
      <c r="Q2572" s="116">
        <v>563.5</v>
      </c>
      <c r="R2572">
        <v>3560785</v>
      </c>
    </row>
    <row r="2573" spans="1:18" x14ac:dyDescent="0.25">
      <c r="A2573" s="170">
        <v>45796</v>
      </c>
      <c r="B2573" s="116">
        <v>569.29999999999995</v>
      </c>
      <c r="C2573" s="116">
        <v>565.9</v>
      </c>
      <c r="D2573" s="116">
        <v>559.4</v>
      </c>
      <c r="E2573" s="116">
        <v>569.29999999999995</v>
      </c>
      <c r="F2573" s="116">
        <v>565.9</v>
      </c>
      <c r="G2573">
        <v>48759</v>
      </c>
      <c r="H2573" s="116"/>
      <c r="I2573" s="116"/>
      <c r="L2573" s="170">
        <v>45796</v>
      </c>
      <c r="M2573" s="116">
        <v>565.54999999999995</v>
      </c>
      <c r="N2573" s="116">
        <v>569.54999999999995</v>
      </c>
      <c r="O2573" s="116">
        <v>559.35</v>
      </c>
      <c r="P2573" s="116">
        <v>566</v>
      </c>
      <c r="Q2573" s="116">
        <v>565.54999999999995</v>
      </c>
      <c r="R2573">
        <v>2203178</v>
      </c>
    </row>
    <row r="2574" spans="1:18" x14ac:dyDescent="0.25">
      <c r="A2574" s="170">
        <v>45797</v>
      </c>
      <c r="B2574" s="116">
        <v>571.25</v>
      </c>
      <c r="C2574" s="116">
        <v>561.9</v>
      </c>
      <c r="D2574" s="116">
        <v>561</v>
      </c>
      <c r="E2574" s="116">
        <v>567.95000000000005</v>
      </c>
      <c r="F2574" s="116">
        <v>561.9</v>
      </c>
      <c r="G2574">
        <v>307660</v>
      </c>
      <c r="H2574" s="116"/>
      <c r="I2574" s="116"/>
      <c r="L2574" s="170">
        <v>45797</v>
      </c>
      <c r="M2574" s="116">
        <v>562.04999999999995</v>
      </c>
      <c r="N2574" s="116">
        <v>571.65</v>
      </c>
      <c r="O2574" s="116">
        <v>560.4</v>
      </c>
      <c r="P2574" s="116">
        <v>565.6</v>
      </c>
      <c r="Q2574" s="116">
        <v>562.04999999999995</v>
      </c>
      <c r="R2574">
        <v>1767473</v>
      </c>
    </row>
    <row r="2575" spans="1:18" x14ac:dyDescent="0.25">
      <c r="A2575" s="170">
        <v>45798</v>
      </c>
      <c r="B2575" s="116">
        <v>570.5</v>
      </c>
      <c r="C2575" s="116">
        <v>567.95000000000005</v>
      </c>
      <c r="D2575" s="116">
        <v>560.95000000000005</v>
      </c>
      <c r="E2575" s="116">
        <v>560.95000000000005</v>
      </c>
      <c r="F2575" s="116">
        <v>567.95000000000005</v>
      </c>
      <c r="G2575">
        <v>34692</v>
      </c>
      <c r="H2575" s="116"/>
      <c r="I2575" s="116"/>
      <c r="L2575" s="170">
        <v>45798</v>
      </c>
      <c r="M2575" s="116">
        <v>567.79999999999995</v>
      </c>
      <c r="N2575" s="116">
        <v>570.4</v>
      </c>
      <c r="O2575" s="116">
        <v>561</v>
      </c>
      <c r="P2575" s="116">
        <v>562.1</v>
      </c>
      <c r="Q2575" s="116">
        <v>567.79999999999995</v>
      </c>
      <c r="R2575">
        <v>1295557</v>
      </c>
    </row>
    <row r="2576" spans="1:18" x14ac:dyDescent="0.25">
      <c r="A2576" s="170">
        <v>45799</v>
      </c>
      <c r="B2576" s="116">
        <v>569.35</v>
      </c>
      <c r="C2576" s="116">
        <v>567.70000000000005</v>
      </c>
      <c r="D2576" s="116">
        <v>561.4</v>
      </c>
      <c r="E2576" s="116">
        <v>565.35</v>
      </c>
      <c r="F2576" s="116">
        <v>567.70000000000005</v>
      </c>
      <c r="G2576">
        <v>479108</v>
      </c>
      <c r="H2576" s="116"/>
      <c r="I2576" s="116"/>
      <c r="L2576" s="170">
        <v>45799</v>
      </c>
      <c r="M2576" s="116">
        <v>567.75</v>
      </c>
      <c r="N2576" s="116">
        <v>569.25</v>
      </c>
      <c r="O2576" s="116">
        <v>561.6</v>
      </c>
      <c r="P2576" s="116">
        <v>567.45000000000005</v>
      </c>
      <c r="Q2576" s="116">
        <v>567.75</v>
      </c>
      <c r="R2576">
        <v>1559623</v>
      </c>
    </row>
    <row r="2577" spans="1:18" x14ac:dyDescent="0.25">
      <c r="A2577" s="170">
        <v>45800</v>
      </c>
      <c r="B2577" s="116">
        <v>576.04999999999995</v>
      </c>
      <c r="C2577" s="116">
        <v>571.45000000000005</v>
      </c>
      <c r="D2577" s="116">
        <v>565.1</v>
      </c>
      <c r="E2577" s="116">
        <v>565.1</v>
      </c>
      <c r="F2577" s="116">
        <v>571.45000000000005</v>
      </c>
      <c r="G2577">
        <v>82849</v>
      </c>
      <c r="H2577" s="116"/>
      <c r="I2577" s="116"/>
      <c r="L2577" s="170">
        <v>45800</v>
      </c>
      <c r="M2577" s="116">
        <v>570.9</v>
      </c>
      <c r="N2577" s="116">
        <v>576</v>
      </c>
      <c r="O2577" s="116">
        <v>566.25</v>
      </c>
      <c r="P2577" s="116">
        <v>567.75</v>
      </c>
      <c r="Q2577" s="116">
        <v>570.9</v>
      </c>
      <c r="R2577">
        <v>1332383</v>
      </c>
    </row>
    <row r="2578" spans="1:18" x14ac:dyDescent="0.25">
      <c r="A2578" s="170">
        <v>45803</v>
      </c>
      <c r="B2578" s="116">
        <v>576</v>
      </c>
      <c r="C2578" s="116">
        <v>566.9</v>
      </c>
      <c r="D2578" s="116">
        <v>564.54999999999995</v>
      </c>
      <c r="E2578" s="116">
        <v>570.54999999999995</v>
      </c>
      <c r="F2578" s="116">
        <v>566.9</v>
      </c>
      <c r="G2578">
        <v>73533</v>
      </c>
      <c r="H2578" s="116"/>
      <c r="I2578" s="116"/>
      <c r="L2578" s="170">
        <v>45803</v>
      </c>
      <c r="M2578" s="116">
        <v>567.15</v>
      </c>
      <c r="N2578" s="116">
        <v>576.35</v>
      </c>
      <c r="O2578" s="116">
        <v>564.4</v>
      </c>
      <c r="P2578" s="116">
        <v>571.35</v>
      </c>
      <c r="Q2578" s="116">
        <v>567.15</v>
      </c>
      <c r="R2578">
        <v>1001361</v>
      </c>
    </row>
    <row r="2579" spans="1:18" x14ac:dyDescent="0.25">
      <c r="A2579" s="170">
        <v>45804</v>
      </c>
      <c r="B2579" s="116">
        <v>570</v>
      </c>
      <c r="C2579" s="116">
        <v>562.54999999999995</v>
      </c>
      <c r="D2579" s="116">
        <v>558.75</v>
      </c>
      <c r="E2579" s="116">
        <v>570</v>
      </c>
      <c r="F2579" s="116">
        <v>562.54999999999995</v>
      </c>
      <c r="G2579">
        <v>155726</v>
      </c>
      <c r="H2579" s="116"/>
      <c r="I2579" s="116"/>
      <c r="L2579" s="170">
        <v>45804</v>
      </c>
      <c r="M2579" s="116">
        <v>562.70000000000005</v>
      </c>
      <c r="N2579" s="116">
        <v>568.9</v>
      </c>
      <c r="O2579" s="116">
        <v>558.79999999999995</v>
      </c>
      <c r="P2579" s="116">
        <v>567.15</v>
      </c>
      <c r="Q2579" s="116">
        <v>562.70000000000005</v>
      </c>
      <c r="R2579">
        <v>1515100</v>
      </c>
    </row>
    <row r="2580" spans="1:18" x14ac:dyDescent="0.25">
      <c r="A2580" s="170">
        <v>45805</v>
      </c>
      <c r="B2580" s="116">
        <v>567</v>
      </c>
      <c r="C2580" s="116">
        <v>561.54999999999995</v>
      </c>
      <c r="D2580" s="116">
        <v>559</v>
      </c>
      <c r="E2580" s="116">
        <v>560.65</v>
      </c>
      <c r="F2580" s="116">
        <v>561.54999999999995</v>
      </c>
      <c r="G2580">
        <v>30420</v>
      </c>
      <c r="H2580" s="116"/>
      <c r="I2580" s="116"/>
      <c r="L2580" s="170">
        <v>45805</v>
      </c>
      <c r="M2580" s="116">
        <v>561.65</v>
      </c>
      <c r="N2580" s="116">
        <v>567</v>
      </c>
      <c r="O2580" s="116">
        <v>558.65</v>
      </c>
      <c r="P2580" s="116">
        <v>562.70000000000005</v>
      </c>
      <c r="Q2580" s="116">
        <v>561.65</v>
      </c>
      <c r="R2580">
        <v>1014166</v>
      </c>
    </row>
    <row r="2581" spans="1:18" x14ac:dyDescent="0.25">
      <c r="A2581" s="170">
        <v>45806</v>
      </c>
      <c r="B2581" s="116">
        <v>563.75</v>
      </c>
      <c r="C2581" s="116">
        <v>561.5</v>
      </c>
      <c r="D2581" s="116">
        <v>556</v>
      </c>
      <c r="E2581" s="116">
        <v>558.6</v>
      </c>
      <c r="F2581" s="116">
        <v>561.5</v>
      </c>
      <c r="G2581">
        <v>30711</v>
      </c>
      <c r="H2581" s="116"/>
      <c r="I2581" s="116"/>
      <c r="L2581" s="170">
        <v>45806</v>
      </c>
      <c r="M2581" s="116">
        <v>561.45000000000005</v>
      </c>
      <c r="N2581" s="116">
        <v>563.79999999999995</v>
      </c>
      <c r="O2581" s="116">
        <v>555.70000000000005</v>
      </c>
      <c r="P2581" s="116">
        <v>561.95000000000005</v>
      </c>
      <c r="Q2581" s="116">
        <v>561.45000000000005</v>
      </c>
      <c r="R2581">
        <v>1409636</v>
      </c>
    </row>
    <row r="2582" spans="1:18" x14ac:dyDescent="0.25">
      <c r="A2582" s="170">
        <v>45807</v>
      </c>
      <c r="B2582" s="116">
        <v>562.85</v>
      </c>
      <c r="C2582" s="116">
        <v>552.79999999999995</v>
      </c>
      <c r="D2582" s="116">
        <v>550</v>
      </c>
      <c r="E2582" s="116">
        <v>550</v>
      </c>
      <c r="F2582" s="116">
        <v>552.79999999999995</v>
      </c>
      <c r="G2582">
        <v>317292</v>
      </c>
      <c r="H2582" s="116"/>
      <c r="I2582" s="116"/>
      <c r="L2582" s="170">
        <v>45807</v>
      </c>
      <c r="M2582" s="116">
        <v>553.5</v>
      </c>
      <c r="N2582" s="116">
        <v>563.25</v>
      </c>
      <c r="O2582" s="116">
        <v>551.29999999999995</v>
      </c>
      <c r="P2582" s="116">
        <v>561.45000000000005</v>
      </c>
      <c r="Q2582" s="116">
        <v>553.5</v>
      </c>
      <c r="R2582">
        <v>2313117</v>
      </c>
    </row>
    <row r="2583" spans="1:18" x14ac:dyDescent="0.25">
      <c r="A2583" s="170">
        <v>45810</v>
      </c>
      <c r="B2583" s="116">
        <v>559.79999999999995</v>
      </c>
      <c r="C2583" s="116">
        <v>555.04999999999995</v>
      </c>
      <c r="D2583" s="116">
        <v>549.70000000000005</v>
      </c>
      <c r="E2583" s="116">
        <v>558.70000000000005</v>
      </c>
      <c r="F2583" s="116">
        <v>555.04999999999995</v>
      </c>
      <c r="G2583">
        <v>145969</v>
      </c>
      <c r="H2583" s="116"/>
      <c r="I2583" s="116"/>
      <c r="L2583" s="170">
        <v>45810</v>
      </c>
      <c r="M2583" s="116">
        <v>555.54999999999995</v>
      </c>
      <c r="N2583" s="116">
        <v>559.54999999999995</v>
      </c>
      <c r="O2583" s="116">
        <v>549.15</v>
      </c>
      <c r="P2583" s="116">
        <v>553.54999999999995</v>
      </c>
      <c r="Q2583" s="116">
        <v>555.54999999999995</v>
      </c>
      <c r="R2583">
        <v>1040982</v>
      </c>
    </row>
    <row r="2584" spans="1:18" x14ac:dyDescent="0.25">
      <c r="A2584" s="170">
        <v>45811</v>
      </c>
      <c r="B2584" s="116">
        <v>557.15</v>
      </c>
      <c r="C2584" s="116">
        <v>552</v>
      </c>
      <c r="D2584" s="116">
        <v>548.29999999999995</v>
      </c>
      <c r="E2584" s="116">
        <v>554.45000000000005</v>
      </c>
      <c r="F2584" s="116">
        <v>552</v>
      </c>
      <c r="G2584">
        <v>29190</v>
      </c>
      <c r="H2584" s="116"/>
      <c r="I2584" s="116"/>
      <c r="L2584" s="170">
        <v>45811</v>
      </c>
      <c r="M2584" s="116">
        <v>552.4</v>
      </c>
      <c r="N2584" s="116">
        <v>557.5</v>
      </c>
      <c r="O2584" s="116">
        <v>548.1</v>
      </c>
      <c r="P2584" s="116">
        <v>553.79999999999995</v>
      </c>
      <c r="Q2584" s="116">
        <v>552.4</v>
      </c>
      <c r="R2584">
        <v>1762430</v>
      </c>
    </row>
    <row r="2585" spans="1:18" x14ac:dyDescent="0.25">
      <c r="A2585" s="170">
        <v>45812</v>
      </c>
      <c r="B2585" s="116">
        <v>554.35</v>
      </c>
      <c r="C2585" s="116">
        <v>552.35</v>
      </c>
      <c r="D2585" s="116">
        <v>548.04999999999995</v>
      </c>
      <c r="E2585" s="116">
        <v>552</v>
      </c>
      <c r="F2585" s="116">
        <v>552.35</v>
      </c>
      <c r="G2585">
        <v>151097</v>
      </c>
      <c r="H2585" s="116"/>
      <c r="I2585" s="116"/>
      <c r="L2585" s="170">
        <v>45812</v>
      </c>
      <c r="M2585" s="116">
        <v>552.45000000000005</v>
      </c>
      <c r="N2585" s="116">
        <v>554.79999999999995</v>
      </c>
      <c r="O2585" s="116">
        <v>547.5</v>
      </c>
      <c r="P2585" s="116">
        <v>550.6</v>
      </c>
      <c r="Q2585" s="116">
        <v>552.45000000000005</v>
      </c>
      <c r="R2585">
        <v>3448423</v>
      </c>
    </row>
    <row r="2586" spans="1:18" x14ac:dyDescent="0.25">
      <c r="A2586" s="170">
        <v>45813</v>
      </c>
      <c r="B2586" s="116">
        <v>558</v>
      </c>
      <c r="C2586" s="116">
        <v>550.1</v>
      </c>
      <c r="D2586" s="116">
        <v>549.04999999999995</v>
      </c>
      <c r="E2586" s="116">
        <v>558</v>
      </c>
      <c r="F2586" s="116">
        <v>550.1</v>
      </c>
      <c r="G2586">
        <v>24271</v>
      </c>
      <c r="H2586" s="116"/>
      <c r="I2586" s="116"/>
      <c r="L2586" s="170">
        <v>45813</v>
      </c>
      <c r="M2586" s="116">
        <v>550.15</v>
      </c>
      <c r="N2586" s="116">
        <v>556.5</v>
      </c>
      <c r="O2586" s="116">
        <v>549</v>
      </c>
      <c r="P2586" s="116">
        <v>552.5</v>
      </c>
      <c r="Q2586" s="116">
        <v>550.15</v>
      </c>
      <c r="R2586">
        <v>1079232</v>
      </c>
    </row>
    <row r="2587" spans="1:18" x14ac:dyDescent="0.25">
      <c r="A2587" s="170">
        <v>45814</v>
      </c>
      <c r="B2587" s="116">
        <v>557.4</v>
      </c>
      <c r="C2587" s="116">
        <v>555.95000000000005</v>
      </c>
      <c r="D2587" s="116">
        <v>550</v>
      </c>
      <c r="E2587" s="116">
        <v>552.04999999999995</v>
      </c>
      <c r="F2587" s="116">
        <v>555.95000000000005</v>
      </c>
      <c r="G2587">
        <v>30294</v>
      </c>
      <c r="H2587" s="116"/>
      <c r="I2587" s="116"/>
      <c r="L2587" s="170">
        <v>45814</v>
      </c>
      <c r="M2587" s="116">
        <v>555.15</v>
      </c>
      <c r="N2587" s="116">
        <v>557.20000000000005</v>
      </c>
      <c r="O2587" s="116">
        <v>549.29999999999995</v>
      </c>
      <c r="P2587" s="116">
        <v>551.25</v>
      </c>
      <c r="Q2587" s="116">
        <v>555.15</v>
      </c>
      <c r="R2587">
        <v>2821698</v>
      </c>
    </row>
    <row r="2588" spans="1:18" x14ac:dyDescent="0.25">
      <c r="A2588" s="170">
        <v>45817</v>
      </c>
      <c r="B2588" s="116">
        <v>564.25</v>
      </c>
      <c r="C2588" s="116">
        <v>559.75</v>
      </c>
      <c r="D2588" s="116">
        <v>554.5</v>
      </c>
      <c r="E2588" s="116">
        <v>564.25</v>
      </c>
      <c r="F2588" s="116">
        <v>559.75</v>
      </c>
      <c r="G2588">
        <v>311274</v>
      </c>
      <c r="H2588" s="116"/>
      <c r="I2588" s="116"/>
      <c r="L2588" s="170">
        <v>45817</v>
      </c>
      <c r="M2588" s="116">
        <v>560</v>
      </c>
      <c r="N2588" s="116">
        <v>563</v>
      </c>
      <c r="O2588" s="116">
        <v>554.15</v>
      </c>
      <c r="P2588" s="116">
        <v>563</v>
      </c>
      <c r="Q2588" s="116">
        <v>560</v>
      </c>
      <c r="R2588">
        <v>3268930</v>
      </c>
    </row>
    <row r="2589" spans="1:18" x14ac:dyDescent="0.25">
      <c r="A2589" s="170">
        <v>45818</v>
      </c>
      <c r="B2589" s="116">
        <v>566.6</v>
      </c>
      <c r="C2589" s="116">
        <v>561.75</v>
      </c>
      <c r="D2589" s="116">
        <v>559.6</v>
      </c>
      <c r="E2589" s="116">
        <v>562.1</v>
      </c>
      <c r="F2589" s="116">
        <v>561.75</v>
      </c>
      <c r="G2589">
        <v>269308</v>
      </c>
      <c r="H2589" s="116"/>
      <c r="I2589" s="116"/>
      <c r="L2589" s="170">
        <v>45818</v>
      </c>
      <c r="M2589" s="116">
        <v>561.1</v>
      </c>
      <c r="N2589" s="116">
        <v>566.5</v>
      </c>
      <c r="O2589" s="116">
        <v>558.5</v>
      </c>
      <c r="P2589" s="116">
        <v>564</v>
      </c>
      <c r="Q2589" s="116">
        <v>561.1</v>
      </c>
      <c r="R2589">
        <v>3239799</v>
      </c>
    </row>
    <row r="2590" spans="1:18" x14ac:dyDescent="0.25">
      <c r="A2590" s="170">
        <v>45819</v>
      </c>
      <c r="B2590" s="116">
        <v>567.20000000000005</v>
      </c>
      <c r="C2590" s="116">
        <v>561.1</v>
      </c>
      <c r="D2590" s="116">
        <v>556.65</v>
      </c>
      <c r="E2590" s="116">
        <v>564.45000000000005</v>
      </c>
      <c r="F2590" s="116">
        <v>561.1</v>
      </c>
      <c r="G2590">
        <v>143321</v>
      </c>
      <c r="H2590" s="116"/>
      <c r="I2590" s="116"/>
      <c r="L2590" s="170">
        <v>45819</v>
      </c>
      <c r="M2590" s="116">
        <v>561.25</v>
      </c>
      <c r="N2590" s="116">
        <v>567</v>
      </c>
      <c r="O2590" s="116">
        <v>556.5</v>
      </c>
      <c r="P2590" s="116">
        <v>562.54999999999995</v>
      </c>
      <c r="Q2590" s="116">
        <v>561.25</v>
      </c>
      <c r="R2590">
        <v>2553077</v>
      </c>
    </row>
    <row r="2591" spans="1:18" x14ac:dyDescent="0.25">
      <c r="A2591" s="170">
        <v>45820</v>
      </c>
      <c r="B2591" s="116">
        <v>564.20000000000005</v>
      </c>
      <c r="C2591" s="116">
        <v>548.29999999999995</v>
      </c>
      <c r="D2591" s="116">
        <v>544.70000000000005</v>
      </c>
      <c r="E2591" s="116">
        <v>564.20000000000005</v>
      </c>
      <c r="F2591" s="116">
        <v>548.29999999999995</v>
      </c>
      <c r="G2591">
        <v>64973</v>
      </c>
      <c r="H2591" s="116"/>
      <c r="I2591" s="116"/>
      <c r="L2591" s="170">
        <v>45820</v>
      </c>
      <c r="M2591" s="116">
        <v>548.35</v>
      </c>
      <c r="N2591" s="116">
        <v>563.6</v>
      </c>
      <c r="O2591" s="116">
        <v>545.1</v>
      </c>
      <c r="P2591" s="116">
        <v>563</v>
      </c>
      <c r="Q2591" s="116">
        <v>548.35</v>
      </c>
      <c r="R2591">
        <v>1837409</v>
      </c>
    </row>
    <row r="2592" spans="1:18" x14ac:dyDescent="0.25">
      <c r="A2592" s="170">
        <v>45821</v>
      </c>
      <c r="B2592" s="116">
        <v>546.6</v>
      </c>
      <c r="C2592" s="116">
        <v>543.25</v>
      </c>
      <c r="D2592" s="116">
        <v>537.5</v>
      </c>
      <c r="E2592" s="116">
        <v>540.20000000000005</v>
      </c>
      <c r="F2592" s="116">
        <v>543.25</v>
      </c>
      <c r="G2592">
        <v>161753</v>
      </c>
      <c r="H2592" s="116"/>
      <c r="I2592" s="116"/>
      <c r="L2592" s="170">
        <v>45821</v>
      </c>
      <c r="M2592" s="116">
        <v>542.5</v>
      </c>
      <c r="N2592" s="116">
        <v>546.70000000000005</v>
      </c>
      <c r="O2592" s="116">
        <v>536.04999999999995</v>
      </c>
      <c r="P2592" s="116">
        <v>541</v>
      </c>
      <c r="Q2592" s="116">
        <v>542.5</v>
      </c>
      <c r="R2592">
        <v>1348657</v>
      </c>
    </row>
    <row r="2593" spans="1:18" x14ac:dyDescent="0.25">
      <c r="A2593" s="170">
        <v>45824</v>
      </c>
      <c r="B2593" s="116">
        <v>552.9</v>
      </c>
      <c r="C2593" s="116">
        <v>550.04999999999995</v>
      </c>
      <c r="D2593" s="116">
        <v>537.04999999999995</v>
      </c>
      <c r="E2593" s="116">
        <v>542.6</v>
      </c>
      <c r="F2593" s="116">
        <v>550.04999999999995</v>
      </c>
      <c r="G2593">
        <v>58350</v>
      </c>
      <c r="H2593" s="116"/>
      <c r="I2593" s="116"/>
      <c r="L2593" s="170">
        <v>45824</v>
      </c>
      <c r="M2593" s="116">
        <v>550.15</v>
      </c>
      <c r="N2593" s="116">
        <v>552.9</v>
      </c>
      <c r="O2593" s="116">
        <v>537.29999999999995</v>
      </c>
      <c r="P2593" s="116">
        <v>543.95000000000005</v>
      </c>
      <c r="Q2593" s="116">
        <v>550.15</v>
      </c>
      <c r="R2593">
        <v>1253497</v>
      </c>
    </row>
    <row r="2594" spans="1:18" x14ac:dyDescent="0.25">
      <c r="A2594" s="170">
        <v>45825</v>
      </c>
      <c r="B2594" s="116">
        <v>556.75</v>
      </c>
      <c r="C2594" s="116">
        <v>550.54999999999995</v>
      </c>
      <c r="D2594" s="116">
        <v>547.35</v>
      </c>
      <c r="E2594" s="116">
        <v>550.35</v>
      </c>
      <c r="F2594" s="116">
        <v>550.54999999999995</v>
      </c>
      <c r="G2594">
        <v>38852</v>
      </c>
      <c r="H2594" s="116"/>
      <c r="I2594" s="116"/>
      <c r="L2594" s="170">
        <v>45825</v>
      </c>
      <c r="M2594" s="116">
        <v>550.9</v>
      </c>
      <c r="N2594" s="116">
        <v>556.6</v>
      </c>
      <c r="O2594" s="116">
        <v>546.79999999999995</v>
      </c>
      <c r="P2594" s="116">
        <v>551</v>
      </c>
      <c r="Q2594" s="116">
        <v>550.9</v>
      </c>
      <c r="R2594">
        <v>1406479</v>
      </c>
    </row>
    <row r="2595" spans="1:18" x14ac:dyDescent="0.25">
      <c r="A2595" s="170">
        <v>45826</v>
      </c>
      <c r="B2595" s="116">
        <v>553.15</v>
      </c>
      <c r="C2595" s="116">
        <v>544.85</v>
      </c>
      <c r="D2595" s="116">
        <v>544.1</v>
      </c>
      <c r="E2595" s="116">
        <v>550.15</v>
      </c>
      <c r="F2595" s="116">
        <v>544.85</v>
      </c>
      <c r="G2595">
        <v>19873</v>
      </c>
      <c r="H2595" s="116"/>
      <c r="I2595" s="116"/>
      <c r="L2595" s="170">
        <v>45826</v>
      </c>
      <c r="M2595" s="116">
        <v>545.04999999999995</v>
      </c>
      <c r="N2595" s="116">
        <v>553.15</v>
      </c>
      <c r="O2595" s="116">
        <v>543.70000000000005</v>
      </c>
      <c r="P2595" s="116">
        <v>552.65</v>
      </c>
      <c r="Q2595" s="116">
        <v>545.04999999999995</v>
      </c>
      <c r="R2595">
        <v>568472</v>
      </c>
    </row>
    <row r="2596" spans="1:18" x14ac:dyDescent="0.25">
      <c r="A2596" s="170">
        <v>45827</v>
      </c>
      <c r="B2596" s="116">
        <v>545.15</v>
      </c>
      <c r="C2596" s="116">
        <v>533</v>
      </c>
      <c r="D2596" s="116">
        <v>530.65</v>
      </c>
      <c r="E2596" s="116">
        <v>542.04999999999995</v>
      </c>
      <c r="F2596" s="116">
        <v>533</v>
      </c>
      <c r="G2596">
        <v>229712</v>
      </c>
      <c r="H2596" s="116"/>
      <c r="I2596" s="116"/>
      <c r="L2596" s="170">
        <v>45827</v>
      </c>
      <c r="M2596" s="116">
        <v>532.79999999999995</v>
      </c>
      <c r="N2596" s="116">
        <v>546.45000000000005</v>
      </c>
      <c r="O2596" s="116">
        <v>531</v>
      </c>
      <c r="P2596" s="116">
        <v>545.04999999999995</v>
      </c>
      <c r="Q2596" s="116">
        <v>532.79999999999995</v>
      </c>
      <c r="R2596">
        <v>1961693</v>
      </c>
    </row>
    <row r="2597" spans="1:18" x14ac:dyDescent="0.25">
      <c r="A2597" s="170">
        <v>45828</v>
      </c>
      <c r="B2597" s="116">
        <v>535.5</v>
      </c>
      <c r="C2597" s="116">
        <v>533.5</v>
      </c>
      <c r="D2597" s="116">
        <v>528.45000000000005</v>
      </c>
      <c r="E2597" s="116">
        <v>532.75</v>
      </c>
      <c r="F2597" s="116">
        <v>533.5</v>
      </c>
      <c r="G2597">
        <v>97798</v>
      </c>
      <c r="H2597" s="116"/>
      <c r="I2597" s="116"/>
      <c r="L2597" s="170">
        <v>45828</v>
      </c>
      <c r="M2597" s="116">
        <v>533.45000000000005</v>
      </c>
      <c r="N2597" s="116">
        <v>535.65</v>
      </c>
      <c r="O2597" s="116">
        <v>528.45000000000005</v>
      </c>
      <c r="P2597" s="116">
        <v>532.75</v>
      </c>
      <c r="Q2597" s="116">
        <v>533.45000000000005</v>
      </c>
      <c r="R2597">
        <v>2656096</v>
      </c>
    </row>
    <row r="2598" spans="1:18" x14ac:dyDescent="0.25">
      <c r="A2598" s="170">
        <v>45831</v>
      </c>
      <c r="B2598" s="116">
        <v>539.25</v>
      </c>
      <c r="C2598" s="116">
        <v>535.65</v>
      </c>
      <c r="D2598" s="116">
        <v>526.15</v>
      </c>
      <c r="E2598" s="116">
        <v>526.15</v>
      </c>
      <c r="F2598" s="116">
        <v>535.65</v>
      </c>
      <c r="G2598">
        <v>47760</v>
      </c>
      <c r="H2598" s="116"/>
      <c r="I2598" s="116"/>
      <c r="L2598" s="170">
        <v>45831</v>
      </c>
      <c r="M2598" s="116">
        <v>535.54999999999995</v>
      </c>
      <c r="N2598" s="116">
        <v>539.5</v>
      </c>
      <c r="O2598" s="116">
        <v>528.45000000000005</v>
      </c>
      <c r="P2598" s="116">
        <v>530</v>
      </c>
      <c r="Q2598" s="116">
        <v>535.54999999999995</v>
      </c>
      <c r="R2598">
        <v>1012046</v>
      </c>
    </row>
    <row r="2599" spans="1:18" x14ac:dyDescent="0.25">
      <c r="A2599" s="170">
        <v>45832</v>
      </c>
      <c r="B2599" s="116">
        <v>562.5</v>
      </c>
      <c r="C2599" s="116">
        <v>554.5</v>
      </c>
      <c r="D2599" s="116">
        <v>539.25</v>
      </c>
      <c r="E2599" s="116">
        <v>540.20000000000005</v>
      </c>
      <c r="F2599" s="116">
        <v>554.5</v>
      </c>
      <c r="G2599">
        <v>303856</v>
      </c>
      <c r="H2599" s="116"/>
      <c r="I2599" s="116"/>
      <c r="L2599" s="170">
        <v>45832</v>
      </c>
      <c r="M2599" s="116">
        <v>554.20000000000005</v>
      </c>
      <c r="N2599" s="116">
        <v>562.79999999999995</v>
      </c>
      <c r="O2599" s="116">
        <v>539</v>
      </c>
      <c r="P2599" s="116">
        <v>539</v>
      </c>
      <c r="Q2599" s="116">
        <v>554.20000000000005</v>
      </c>
      <c r="R2599">
        <v>5719088</v>
      </c>
    </row>
    <row r="2600" spans="1:18" x14ac:dyDescent="0.25">
      <c r="A2600" s="170">
        <v>45833</v>
      </c>
      <c r="B2600" s="116">
        <v>560.85</v>
      </c>
      <c r="C2600" s="116">
        <v>559.45000000000005</v>
      </c>
      <c r="D2600" s="116">
        <v>551.4</v>
      </c>
      <c r="E2600" s="116">
        <v>556.25</v>
      </c>
      <c r="F2600" s="116">
        <v>559.45000000000005</v>
      </c>
      <c r="G2600">
        <v>167421</v>
      </c>
      <c r="H2600" s="116"/>
      <c r="I2600" s="116"/>
      <c r="L2600" s="170">
        <v>45833</v>
      </c>
      <c r="M2600" s="116">
        <v>559.4</v>
      </c>
      <c r="N2600" s="116">
        <v>560.70000000000005</v>
      </c>
      <c r="O2600" s="116">
        <v>551.29999999999995</v>
      </c>
      <c r="P2600" s="116">
        <v>556.9</v>
      </c>
      <c r="Q2600" s="116">
        <v>559.4</v>
      </c>
      <c r="R2600">
        <v>2448107</v>
      </c>
    </row>
    <row r="2601" spans="1:18" x14ac:dyDescent="0.25">
      <c r="A2601" s="170">
        <v>45834</v>
      </c>
      <c r="B2601" s="116">
        <v>569.25</v>
      </c>
      <c r="C2601" s="116">
        <v>566.65</v>
      </c>
      <c r="D2601" s="116">
        <v>559.35</v>
      </c>
      <c r="E2601" s="116">
        <v>559.35</v>
      </c>
      <c r="F2601" s="116">
        <v>566.65</v>
      </c>
      <c r="G2601">
        <v>130446</v>
      </c>
      <c r="H2601" s="116"/>
      <c r="I2601" s="116"/>
      <c r="L2601" s="170">
        <v>45834</v>
      </c>
      <c r="M2601" s="116">
        <v>566.75</v>
      </c>
      <c r="N2601" s="116">
        <v>569.4</v>
      </c>
      <c r="O2601" s="116">
        <v>558.95000000000005</v>
      </c>
      <c r="P2601" s="116">
        <v>562</v>
      </c>
      <c r="Q2601" s="116">
        <v>566.75</v>
      </c>
      <c r="R2601">
        <v>3048051</v>
      </c>
    </row>
    <row r="2602" spans="1:18" x14ac:dyDescent="0.25">
      <c r="A2602" s="170">
        <v>45835</v>
      </c>
      <c r="B2602" s="116">
        <v>579.6</v>
      </c>
      <c r="C2602" s="116">
        <v>575.20000000000005</v>
      </c>
      <c r="D2602" s="116">
        <v>565.45000000000005</v>
      </c>
      <c r="E2602" s="116">
        <v>566.65</v>
      </c>
      <c r="F2602" s="116">
        <v>575.20000000000005</v>
      </c>
      <c r="G2602">
        <v>129046</v>
      </c>
      <c r="H2602" s="116"/>
      <c r="I2602" s="116"/>
      <c r="L2602" s="170">
        <v>45835</v>
      </c>
      <c r="M2602" s="116">
        <v>574.95000000000005</v>
      </c>
      <c r="N2602" s="116">
        <v>579.75</v>
      </c>
      <c r="O2602" s="116">
        <v>565.1</v>
      </c>
      <c r="P2602" s="116">
        <v>569.5</v>
      </c>
      <c r="Q2602" s="116">
        <v>574.95000000000005</v>
      </c>
      <c r="R2602">
        <v>3563465</v>
      </c>
    </row>
    <row r="2603" spans="1:18" x14ac:dyDescent="0.25">
      <c r="A2603" s="170">
        <v>45838</v>
      </c>
      <c r="B2603" s="116">
        <v>579.1</v>
      </c>
      <c r="C2603" s="116">
        <v>577.95000000000005</v>
      </c>
      <c r="D2603" s="116">
        <v>572.6</v>
      </c>
      <c r="E2603" s="116">
        <v>574.45000000000005</v>
      </c>
      <c r="F2603" s="116">
        <v>577.95000000000005</v>
      </c>
      <c r="G2603">
        <v>239281</v>
      </c>
      <c r="H2603" s="116"/>
      <c r="I2603" s="116"/>
      <c r="L2603" s="170">
        <v>45838</v>
      </c>
      <c r="M2603" s="116">
        <v>577.45000000000005</v>
      </c>
      <c r="N2603" s="116">
        <v>579.04999999999995</v>
      </c>
      <c r="O2603" s="116">
        <v>572.20000000000005</v>
      </c>
      <c r="P2603" s="116">
        <v>575.04999999999995</v>
      </c>
      <c r="Q2603" s="116">
        <v>577.45000000000005</v>
      </c>
      <c r="R2603">
        <v>2003633</v>
      </c>
    </row>
    <row r="2604" spans="1:18" x14ac:dyDescent="0.25">
      <c r="A2604" s="170">
        <v>45839</v>
      </c>
      <c r="B2604" s="116">
        <v>587.70000000000005</v>
      </c>
      <c r="C2604" s="116">
        <v>580</v>
      </c>
      <c r="D2604" s="116">
        <v>578.45000000000005</v>
      </c>
      <c r="E2604" s="116">
        <v>583.65</v>
      </c>
      <c r="F2604" s="116">
        <v>580</v>
      </c>
      <c r="G2604">
        <v>220516</v>
      </c>
      <c r="H2604" s="116"/>
      <c r="I2604" s="116"/>
      <c r="L2604" s="170">
        <v>45839</v>
      </c>
      <c r="M2604" s="116">
        <v>580.25</v>
      </c>
      <c r="N2604" s="116">
        <v>587.79999999999995</v>
      </c>
      <c r="O2604" s="116">
        <v>578.6</v>
      </c>
      <c r="P2604" s="116">
        <v>582</v>
      </c>
      <c r="Q2604" s="116">
        <v>580.25</v>
      </c>
      <c r="R2604">
        <v>2877528</v>
      </c>
    </row>
    <row r="2605" spans="1:18" x14ac:dyDescent="0.25">
      <c r="A2605" s="170">
        <v>45840</v>
      </c>
      <c r="B2605" s="116">
        <v>597.70000000000005</v>
      </c>
      <c r="C2605" s="116">
        <v>594.5</v>
      </c>
      <c r="D2605" s="116">
        <v>580.15</v>
      </c>
      <c r="E2605" s="116">
        <v>580.15</v>
      </c>
      <c r="F2605" s="116">
        <v>594.5</v>
      </c>
      <c r="G2605">
        <v>257219</v>
      </c>
      <c r="H2605" s="116"/>
      <c r="I2605" s="116"/>
      <c r="L2605" s="170">
        <v>45840</v>
      </c>
      <c r="M2605" s="116">
        <v>594.20000000000005</v>
      </c>
      <c r="N2605" s="116">
        <v>597.6</v>
      </c>
      <c r="O2605" s="116">
        <v>581.54999999999995</v>
      </c>
      <c r="P2605" s="116">
        <v>582</v>
      </c>
      <c r="Q2605" s="116">
        <v>594.20000000000005</v>
      </c>
      <c r="R2605">
        <v>3821770</v>
      </c>
    </row>
    <row r="2606" spans="1:18" x14ac:dyDescent="0.25">
      <c r="A2606" s="170">
        <v>45841</v>
      </c>
      <c r="B2606" s="116">
        <v>597</v>
      </c>
      <c r="C2606" s="116">
        <v>588.5</v>
      </c>
      <c r="D2606" s="116">
        <v>585.5</v>
      </c>
      <c r="E2606" s="116">
        <v>595.45000000000005</v>
      </c>
      <c r="F2606" s="116">
        <v>588.5</v>
      </c>
      <c r="G2606">
        <v>138905</v>
      </c>
      <c r="H2606" s="116"/>
      <c r="I2606" s="116"/>
      <c r="L2606" s="170">
        <v>45841</v>
      </c>
      <c r="M2606" s="116">
        <v>588.75</v>
      </c>
      <c r="N2606" s="116">
        <v>597.20000000000005</v>
      </c>
      <c r="O2606" s="116">
        <v>585.35</v>
      </c>
      <c r="P2606" s="116">
        <v>596.45000000000005</v>
      </c>
      <c r="Q2606" s="116">
        <v>588.75</v>
      </c>
      <c r="R2606">
        <v>1598094</v>
      </c>
    </row>
    <row r="2607" spans="1:18" x14ac:dyDescent="0.25">
      <c r="A2607" s="170">
        <v>45842</v>
      </c>
      <c r="B2607" s="116">
        <v>601.70000000000005</v>
      </c>
      <c r="C2607" s="116">
        <v>594.70000000000005</v>
      </c>
      <c r="D2607" s="116">
        <v>588.9</v>
      </c>
      <c r="E2607" s="116">
        <v>591.85</v>
      </c>
      <c r="F2607" s="116">
        <v>594.70000000000005</v>
      </c>
      <c r="G2607">
        <v>129098</v>
      </c>
      <c r="H2607" s="116"/>
      <c r="I2607" s="116"/>
      <c r="L2607" s="170">
        <v>45842</v>
      </c>
      <c r="M2607" s="116">
        <v>595.75</v>
      </c>
      <c r="N2607" s="116">
        <v>601.75</v>
      </c>
      <c r="O2607" s="116">
        <v>588.75</v>
      </c>
      <c r="P2607" s="116">
        <v>588.75</v>
      </c>
      <c r="Q2607" s="116">
        <v>595.75</v>
      </c>
      <c r="R2607">
        <v>2859715</v>
      </c>
    </row>
    <row r="2608" spans="1:18" x14ac:dyDescent="0.25">
      <c r="A2608" s="170">
        <v>45845</v>
      </c>
      <c r="B2608" s="116">
        <v>596.95000000000005</v>
      </c>
      <c r="C2608" s="116">
        <v>592.04999999999995</v>
      </c>
      <c r="D2608" s="116">
        <v>585.20000000000005</v>
      </c>
      <c r="E2608" s="116">
        <v>596.95000000000005</v>
      </c>
      <c r="F2608" s="116">
        <v>592.04999999999995</v>
      </c>
      <c r="G2608">
        <v>61339</v>
      </c>
      <c r="H2608" s="116"/>
      <c r="I2608" s="116"/>
      <c r="L2608" s="170">
        <v>45845</v>
      </c>
      <c r="M2608" s="116">
        <v>592</v>
      </c>
      <c r="N2608" s="116">
        <v>596.85</v>
      </c>
      <c r="O2608" s="116">
        <v>585.29999999999995</v>
      </c>
      <c r="P2608" s="116">
        <v>596</v>
      </c>
      <c r="Q2608" s="116">
        <v>592</v>
      </c>
      <c r="R2608">
        <v>2012247</v>
      </c>
    </row>
    <row r="2609" spans="1:18" x14ac:dyDescent="0.25">
      <c r="A2609" s="170">
        <v>45846</v>
      </c>
      <c r="B2609" s="116">
        <v>592.1</v>
      </c>
      <c r="C2609" s="116">
        <v>591.4</v>
      </c>
      <c r="D2609" s="116">
        <v>580.1</v>
      </c>
      <c r="E2609" s="116">
        <v>591.04999999999995</v>
      </c>
      <c r="F2609" s="116">
        <v>591.4</v>
      </c>
      <c r="G2609">
        <v>478471</v>
      </c>
      <c r="H2609" s="116"/>
      <c r="I2609" s="116"/>
      <c r="L2609" s="170">
        <v>45846</v>
      </c>
      <c r="M2609" s="116">
        <v>591.54999999999995</v>
      </c>
      <c r="N2609" s="116">
        <v>592.95000000000005</v>
      </c>
      <c r="O2609" s="116">
        <v>580</v>
      </c>
      <c r="P2609" s="116">
        <v>591.79999999999995</v>
      </c>
      <c r="Q2609" s="116">
        <v>591.54999999999995</v>
      </c>
      <c r="R2609">
        <v>2642997</v>
      </c>
    </row>
    <row r="2610" spans="1:18" x14ac:dyDescent="0.25">
      <c r="A2610" s="170">
        <v>45847</v>
      </c>
      <c r="B2610" s="116">
        <v>595.9</v>
      </c>
      <c r="C2610" s="116">
        <v>590.75</v>
      </c>
      <c r="D2610" s="116">
        <v>588.9</v>
      </c>
      <c r="E2610" s="116">
        <v>591.4</v>
      </c>
      <c r="F2610" s="116">
        <v>590.75</v>
      </c>
      <c r="G2610">
        <v>149500</v>
      </c>
      <c r="H2610" s="116"/>
      <c r="I2610" s="116"/>
      <c r="L2610" s="170">
        <v>45847</v>
      </c>
      <c r="M2610" s="116">
        <v>590.35</v>
      </c>
      <c r="N2610" s="116">
        <v>595.95000000000005</v>
      </c>
      <c r="O2610" s="116">
        <v>589</v>
      </c>
      <c r="P2610" s="116">
        <v>591</v>
      </c>
      <c r="Q2610" s="116">
        <v>590.35</v>
      </c>
      <c r="R2610">
        <v>1963293</v>
      </c>
    </row>
    <row r="2611" spans="1:18" x14ac:dyDescent="0.25">
      <c r="A2611" s="170">
        <v>45848</v>
      </c>
      <c r="B2611" s="116">
        <v>595.15</v>
      </c>
      <c r="C2611" s="116">
        <v>585.15</v>
      </c>
      <c r="D2611" s="116">
        <v>580.5</v>
      </c>
      <c r="E2611" s="116">
        <v>592.54999999999995</v>
      </c>
      <c r="F2611" s="116">
        <v>585.15</v>
      </c>
      <c r="G2611">
        <v>218528</v>
      </c>
      <c r="H2611" s="116"/>
      <c r="I2611" s="116"/>
      <c r="L2611" s="170">
        <v>45848</v>
      </c>
      <c r="M2611" s="116">
        <v>585.4</v>
      </c>
      <c r="N2611" s="116">
        <v>594.85</v>
      </c>
      <c r="O2611" s="116">
        <v>580.1</v>
      </c>
      <c r="P2611" s="116">
        <v>594</v>
      </c>
      <c r="Q2611" s="116">
        <v>585.4</v>
      </c>
      <c r="R2611">
        <v>3219282</v>
      </c>
    </row>
    <row r="2612" spans="1:18" x14ac:dyDescent="0.25">
      <c r="A2612" s="170">
        <v>45849</v>
      </c>
      <c r="B2612" s="116">
        <v>591.75</v>
      </c>
      <c r="C2612" s="116">
        <v>585.6</v>
      </c>
      <c r="D2612" s="116">
        <v>583.85</v>
      </c>
      <c r="E2612" s="116">
        <v>584.6</v>
      </c>
      <c r="F2612" s="116">
        <v>585.6</v>
      </c>
      <c r="G2612">
        <v>37714</v>
      </c>
      <c r="H2612" s="116"/>
      <c r="I2612" s="116"/>
      <c r="L2612" s="170">
        <v>45849</v>
      </c>
      <c r="M2612" s="116">
        <v>587.15</v>
      </c>
      <c r="N2612" s="116">
        <v>591.9</v>
      </c>
      <c r="O2612" s="116">
        <v>583.25</v>
      </c>
      <c r="P2612" s="116">
        <v>585.1</v>
      </c>
      <c r="Q2612" s="116">
        <v>587.15</v>
      </c>
      <c r="R2612">
        <v>1938933</v>
      </c>
    </row>
    <row r="2613" spans="1:18" x14ac:dyDescent="0.25">
      <c r="A2613" s="170">
        <v>45852</v>
      </c>
      <c r="B2613" s="116">
        <v>591.4</v>
      </c>
      <c r="C2613" s="116">
        <v>590.4</v>
      </c>
      <c r="D2613" s="116">
        <v>584.5</v>
      </c>
      <c r="E2613" s="116">
        <v>587.35</v>
      </c>
      <c r="F2613" s="116">
        <v>590.4</v>
      </c>
      <c r="G2613">
        <v>88518</v>
      </c>
      <c r="H2613" s="116"/>
      <c r="I2613" s="116"/>
      <c r="L2613" s="170">
        <v>45852</v>
      </c>
      <c r="M2613" s="116">
        <v>590.15</v>
      </c>
      <c r="N2613" s="116">
        <v>591.4</v>
      </c>
      <c r="O2613" s="116">
        <v>584.5</v>
      </c>
      <c r="P2613" s="116">
        <v>586.75</v>
      </c>
      <c r="Q2613" s="116">
        <v>590.15</v>
      </c>
      <c r="R2613">
        <v>1926899</v>
      </c>
    </row>
    <row r="2614" spans="1:18" x14ac:dyDescent="0.25">
      <c r="A2614" s="170">
        <v>45853</v>
      </c>
      <c r="B2614" s="116">
        <v>594.5</v>
      </c>
      <c r="C2614" s="116">
        <v>593.4</v>
      </c>
      <c r="D2614" s="116">
        <v>588.6</v>
      </c>
      <c r="E2614" s="116">
        <v>590.75</v>
      </c>
      <c r="F2614" s="116">
        <v>593.4</v>
      </c>
      <c r="G2614">
        <v>146789</v>
      </c>
      <c r="H2614" s="116"/>
      <c r="I2614" s="116"/>
      <c r="L2614" s="170">
        <v>45853</v>
      </c>
      <c r="M2614" s="116">
        <v>593.1</v>
      </c>
      <c r="N2614" s="116">
        <v>594.79999999999995</v>
      </c>
      <c r="O2614" s="116">
        <v>588.35</v>
      </c>
      <c r="P2614" s="116">
        <v>591.65</v>
      </c>
      <c r="Q2614" s="116">
        <v>593.1</v>
      </c>
      <c r="R2614">
        <v>1498073</v>
      </c>
    </row>
    <row r="2615" spans="1:18" x14ac:dyDescent="0.25">
      <c r="A2615" s="170">
        <v>45854</v>
      </c>
      <c r="B2615" s="116">
        <v>596.5</v>
      </c>
      <c r="C2615" s="116">
        <v>595.4</v>
      </c>
      <c r="D2615" s="116">
        <v>586.04999999999995</v>
      </c>
      <c r="E2615" s="116">
        <v>591.75</v>
      </c>
      <c r="F2615" s="116">
        <v>595.4</v>
      </c>
      <c r="G2615">
        <v>179328</v>
      </c>
      <c r="H2615" s="116"/>
      <c r="I2615" s="116"/>
      <c r="L2615" s="170">
        <v>45854</v>
      </c>
      <c r="M2615" s="116">
        <v>595.5</v>
      </c>
      <c r="N2615" s="116">
        <v>597.25</v>
      </c>
      <c r="O2615" s="116">
        <v>586.04999999999995</v>
      </c>
      <c r="P2615" s="116">
        <v>593</v>
      </c>
      <c r="Q2615" s="116">
        <v>595.5</v>
      </c>
      <c r="R2615">
        <v>1804740</v>
      </c>
    </row>
    <row r="2616" spans="1:18" x14ac:dyDescent="0.25">
      <c r="A2616" s="170">
        <v>45855</v>
      </c>
      <c r="B2616" s="116">
        <v>596.35</v>
      </c>
      <c r="C2616" s="116">
        <v>593.70000000000005</v>
      </c>
      <c r="D2616" s="116">
        <v>589.45000000000005</v>
      </c>
      <c r="E2616" s="116">
        <v>596.35</v>
      </c>
      <c r="F2616" s="116">
        <v>593.70000000000005</v>
      </c>
      <c r="G2616">
        <v>48751</v>
      </c>
      <c r="H2616" s="116"/>
      <c r="I2616" s="116"/>
      <c r="L2616" s="170">
        <v>45855</v>
      </c>
      <c r="M2616" s="116">
        <v>594.6</v>
      </c>
      <c r="N2616" s="116">
        <v>595.85</v>
      </c>
      <c r="O2616" s="116">
        <v>589.5</v>
      </c>
      <c r="P2616" s="116">
        <v>595.4</v>
      </c>
      <c r="Q2616" s="116">
        <v>594.6</v>
      </c>
      <c r="R2616">
        <v>1461633</v>
      </c>
    </row>
    <row r="2617" spans="1:18" x14ac:dyDescent="0.25">
      <c r="A2617" s="170">
        <v>45856</v>
      </c>
      <c r="B2617" s="116">
        <v>599.65</v>
      </c>
      <c r="C2617" s="116">
        <v>596.79999999999995</v>
      </c>
      <c r="D2617" s="116">
        <v>591.35</v>
      </c>
      <c r="E2617" s="116">
        <v>596</v>
      </c>
      <c r="F2617" s="116">
        <v>596.79999999999995</v>
      </c>
      <c r="G2617">
        <v>60093</v>
      </c>
      <c r="H2617" s="116"/>
      <c r="I2617" s="116"/>
      <c r="L2617" s="170">
        <v>45856</v>
      </c>
      <c r="M2617" s="116">
        <v>596.70000000000005</v>
      </c>
      <c r="N2617" s="116">
        <v>599.75</v>
      </c>
      <c r="O2617" s="116">
        <v>591</v>
      </c>
      <c r="P2617" s="116">
        <v>595</v>
      </c>
      <c r="Q2617" s="116">
        <v>596.70000000000005</v>
      </c>
      <c r="R2617">
        <v>2212885</v>
      </c>
    </row>
    <row r="2618" spans="1:18" x14ac:dyDescent="0.25">
      <c r="A2618" s="170">
        <v>45859</v>
      </c>
      <c r="B2618" s="116">
        <v>614.95000000000005</v>
      </c>
      <c r="C2618" s="116">
        <v>613.5</v>
      </c>
      <c r="D2618" s="116">
        <v>597.04999999999995</v>
      </c>
      <c r="E2618" s="116">
        <v>597.04999999999995</v>
      </c>
      <c r="F2618" s="116">
        <v>613.5</v>
      </c>
      <c r="G2618">
        <v>351523</v>
      </c>
      <c r="H2618" s="116"/>
      <c r="I2618" s="116"/>
      <c r="L2618" s="170">
        <v>45859</v>
      </c>
      <c r="M2618" s="116">
        <v>613.25</v>
      </c>
      <c r="N2618" s="116">
        <v>614.9</v>
      </c>
      <c r="O2618" s="116">
        <v>597.15</v>
      </c>
      <c r="P2618" s="116">
        <v>599.35</v>
      </c>
      <c r="Q2618" s="116">
        <v>613.25</v>
      </c>
      <c r="R2618">
        <v>4226198</v>
      </c>
    </row>
    <row r="2619" spans="1:18" x14ac:dyDescent="0.25">
      <c r="A2619" s="170">
        <v>45860</v>
      </c>
      <c r="B2619" s="116">
        <v>625</v>
      </c>
      <c r="C2619" s="116">
        <v>620.15</v>
      </c>
      <c r="D2619" s="116">
        <v>614</v>
      </c>
      <c r="E2619" s="116">
        <v>614</v>
      </c>
      <c r="F2619" s="116">
        <v>620.15</v>
      </c>
      <c r="G2619">
        <v>293342</v>
      </c>
      <c r="H2619" s="116"/>
      <c r="I2619" s="116"/>
      <c r="L2619" s="170">
        <v>45860</v>
      </c>
      <c r="M2619" s="116">
        <v>620.54999999999995</v>
      </c>
      <c r="N2619" s="116">
        <v>624.95000000000005</v>
      </c>
      <c r="O2619" s="116">
        <v>613.79999999999995</v>
      </c>
      <c r="P2619" s="116">
        <v>615</v>
      </c>
      <c r="Q2619" s="116">
        <v>620.54999999999995</v>
      </c>
      <c r="R2619">
        <v>5876411</v>
      </c>
    </row>
    <row r="2620" spans="1:18" x14ac:dyDescent="0.25">
      <c r="A2620" s="170">
        <v>45861</v>
      </c>
      <c r="B2620" s="116">
        <v>623.65</v>
      </c>
      <c r="C2620" s="116">
        <v>620.65</v>
      </c>
      <c r="D2620" s="116">
        <v>613.65</v>
      </c>
      <c r="E2620" s="116">
        <v>623.65</v>
      </c>
      <c r="F2620" s="116">
        <v>620.65</v>
      </c>
      <c r="G2620">
        <v>88369</v>
      </c>
      <c r="H2620" s="116"/>
      <c r="I2620" s="116"/>
      <c r="L2620" s="170">
        <v>45861</v>
      </c>
      <c r="M2620" s="116">
        <v>620.4</v>
      </c>
      <c r="N2620" s="116">
        <v>623.70000000000005</v>
      </c>
      <c r="O2620" s="116">
        <v>613.5</v>
      </c>
      <c r="P2620" s="116">
        <v>623</v>
      </c>
      <c r="Q2620" s="116">
        <v>620.4</v>
      </c>
      <c r="R2620">
        <v>1165692</v>
      </c>
    </row>
    <row r="2621" spans="1:18" x14ac:dyDescent="0.25">
      <c r="A2621" s="170">
        <v>45862</v>
      </c>
      <c r="B2621" s="116">
        <v>623.20000000000005</v>
      </c>
      <c r="C2621" s="116">
        <v>620.15</v>
      </c>
      <c r="D2621" s="116">
        <v>616.25</v>
      </c>
      <c r="E2621" s="116">
        <v>619.70000000000005</v>
      </c>
      <c r="F2621" s="116">
        <v>620.15</v>
      </c>
      <c r="G2621">
        <v>121603</v>
      </c>
      <c r="H2621" s="116"/>
      <c r="I2621" s="116"/>
      <c r="L2621" s="170">
        <v>45862</v>
      </c>
      <c r="M2621" s="116">
        <v>620.4</v>
      </c>
      <c r="N2621" s="116">
        <v>623.35</v>
      </c>
      <c r="O2621" s="116">
        <v>616</v>
      </c>
      <c r="P2621" s="116">
        <v>620.4</v>
      </c>
      <c r="Q2621" s="116">
        <v>620.4</v>
      </c>
      <c r="R2621">
        <v>1389419</v>
      </c>
    </row>
    <row r="2622" spans="1:18" x14ac:dyDescent="0.25">
      <c r="A2622" s="170">
        <v>45863</v>
      </c>
      <c r="B2622" s="116">
        <v>618.95000000000005</v>
      </c>
      <c r="C2622" s="116">
        <v>613.35</v>
      </c>
      <c r="D2622" s="116">
        <v>609</v>
      </c>
      <c r="E2622" s="116">
        <v>618.95000000000005</v>
      </c>
      <c r="F2622" s="116">
        <v>613.35</v>
      </c>
      <c r="G2622">
        <v>171599</v>
      </c>
      <c r="H2622" s="116"/>
      <c r="I2622" s="116"/>
      <c r="L2622" s="170">
        <v>45863</v>
      </c>
      <c r="M2622" s="116">
        <v>613.1</v>
      </c>
      <c r="N2622" s="116">
        <v>619</v>
      </c>
      <c r="O2622" s="116">
        <v>609</v>
      </c>
      <c r="P2622" s="116">
        <v>617.4</v>
      </c>
      <c r="Q2622" s="116">
        <v>613.1</v>
      </c>
      <c r="R2622">
        <v>2413503</v>
      </c>
    </row>
    <row r="2623" spans="1:18" x14ac:dyDescent="0.25">
      <c r="A2623" s="170">
        <v>45866</v>
      </c>
      <c r="B2623" s="116">
        <v>619.79999999999995</v>
      </c>
      <c r="C2623" s="116">
        <v>611.5</v>
      </c>
      <c r="D2623" s="116">
        <v>606.04999999999995</v>
      </c>
      <c r="E2623" s="116">
        <v>610.29999999999995</v>
      </c>
      <c r="F2623" s="116">
        <v>611.5</v>
      </c>
      <c r="G2623">
        <v>122065</v>
      </c>
      <c r="H2623" s="116"/>
      <c r="I2623" s="116"/>
      <c r="L2623" s="170">
        <v>45866</v>
      </c>
      <c r="M2623" s="116">
        <v>611.04999999999995</v>
      </c>
      <c r="N2623" s="116">
        <v>619.95000000000005</v>
      </c>
      <c r="O2623" s="116">
        <v>606.20000000000005</v>
      </c>
      <c r="P2623" s="116">
        <v>611.9</v>
      </c>
      <c r="Q2623" s="116">
        <v>611.04999999999995</v>
      </c>
      <c r="R2623">
        <v>1834138</v>
      </c>
    </row>
    <row r="2624" spans="1:18" x14ac:dyDescent="0.25">
      <c r="A2624" s="170">
        <v>45867</v>
      </c>
      <c r="B2624" s="116">
        <v>614.85</v>
      </c>
      <c r="C2624" s="116">
        <v>610.04999999999995</v>
      </c>
      <c r="D2624" s="116">
        <v>602.4</v>
      </c>
      <c r="E2624" s="116">
        <v>614.85</v>
      </c>
      <c r="F2624" s="116">
        <v>610.04999999999995</v>
      </c>
      <c r="G2624">
        <v>215867</v>
      </c>
      <c r="H2624" s="116"/>
      <c r="I2624" s="116"/>
      <c r="L2624" s="170">
        <v>45867</v>
      </c>
      <c r="M2624" s="116">
        <v>610.04999999999995</v>
      </c>
      <c r="N2624" s="116">
        <v>612.4</v>
      </c>
      <c r="O2624" s="116">
        <v>602.65</v>
      </c>
      <c r="P2624" s="116">
        <v>610</v>
      </c>
      <c r="Q2624" s="116">
        <v>610.04999999999995</v>
      </c>
      <c r="R2624">
        <v>3278602</v>
      </c>
    </row>
    <row r="2625" spans="1:18" x14ac:dyDescent="0.25">
      <c r="A2625" s="170">
        <v>45868</v>
      </c>
      <c r="B2625" s="116">
        <v>620.20000000000005</v>
      </c>
      <c r="C2625" s="116">
        <v>618.29999999999995</v>
      </c>
      <c r="D2625" s="116">
        <v>610</v>
      </c>
      <c r="E2625" s="116">
        <v>610.6</v>
      </c>
      <c r="F2625" s="116">
        <v>618.29999999999995</v>
      </c>
      <c r="G2625">
        <v>104128</v>
      </c>
      <c r="H2625" s="116"/>
      <c r="I2625" s="116"/>
      <c r="L2625" s="170">
        <v>45868</v>
      </c>
      <c r="M2625" s="116">
        <v>617.85</v>
      </c>
      <c r="N2625" s="116">
        <v>620.75</v>
      </c>
      <c r="O2625" s="116">
        <v>609</v>
      </c>
      <c r="P2625" s="116">
        <v>612.95000000000005</v>
      </c>
      <c r="Q2625" s="116">
        <v>617.85</v>
      </c>
      <c r="R2625">
        <v>2616022</v>
      </c>
    </row>
    <row r="2626" spans="1:18" x14ac:dyDescent="0.25">
      <c r="A2626" s="170">
        <v>45869</v>
      </c>
      <c r="B2626" s="116">
        <v>624.5</v>
      </c>
      <c r="C2626" s="116">
        <v>592.9</v>
      </c>
      <c r="D2626" s="116">
        <v>590</v>
      </c>
      <c r="E2626" s="116">
        <v>614.95000000000005</v>
      </c>
      <c r="F2626" s="116">
        <v>592.9</v>
      </c>
      <c r="G2626">
        <v>408804</v>
      </c>
      <c r="H2626" s="116"/>
      <c r="I2626" s="116"/>
      <c r="L2626" s="170">
        <v>45869</v>
      </c>
      <c r="M2626" s="116">
        <v>592.70000000000005</v>
      </c>
      <c r="N2626" s="116">
        <v>624.79999999999995</v>
      </c>
      <c r="O2626" s="116">
        <v>589.9</v>
      </c>
      <c r="P2626" s="116">
        <v>613</v>
      </c>
      <c r="Q2626" s="116">
        <v>592.70000000000005</v>
      </c>
      <c r="R2626">
        <v>5782494</v>
      </c>
    </row>
    <row r="2627" spans="1:18" x14ac:dyDescent="0.25">
      <c r="A2627" s="170">
        <v>45870</v>
      </c>
      <c r="B2627" s="116">
        <v>615</v>
      </c>
      <c r="C2627" s="116">
        <v>609</v>
      </c>
      <c r="D2627" s="116">
        <v>589.35</v>
      </c>
      <c r="E2627" s="116">
        <v>593.04999999999995</v>
      </c>
      <c r="F2627" s="116">
        <v>609</v>
      </c>
      <c r="G2627">
        <v>290953</v>
      </c>
      <c r="H2627" s="116"/>
      <c r="I2627" s="116"/>
      <c r="L2627" s="170">
        <v>45870</v>
      </c>
      <c r="M2627" s="116">
        <v>607.95000000000005</v>
      </c>
      <c r="N2627" s="116">
        <v>615.35</v>
      </c>
      <c r="O2627" s="116">
        <v>588.75</v>
      </c>
      <c r="P2627" s="116">
        <v>594.85</v>
      </c>
      <c r="Q2627" s="116">
        <v>607.95000000000005</v>
      </c>
      <c r="R2627">
        <v>4599912</v>
      </c>
    </row>
    <row r="2628" spans="1:18" x14ac:dyDescent="0.25">
      <c r="A2628" s="170">
        <v>45873</v>
      </c>
      <c r="B2628" s="116">
        <v>615</v>
      </c>
      <c r="C2628" s="116">
        <v>605.1</v>
      </c>
      <c r="D2628" s="116">
        <v>603.35</v>
      </c>
      <c r="E2628" s="116">
        <v>609.1</v>
      </c>
      <c r="F2628" s="116">
        <v>605.1</v>
      </c>
      <c r="G2628">
        <v>109579</v>
      </c>
      <c r="H2628" s="116"/>
      <c r="I2628" s="116"/>
      <c r="L2628" s="170">
        <v>45873</v>
      </c>
      <c r="M2628" s="116">
        <v>605.25</v>
      </c>
      <c r="N2628" s="116">
        <v>615</v>
      </c>
      <c r="O2628" s="116">
        <v>603.70000000000005</v>
      </c>
      <c r="P2628" s="116">
        <v>609.75</v>
      </c>
      <c r="Q2628" s="116">
        <v>605.25</v>
      </c>
      <c r="R2628">
        <v>1664433</v>
      </c>
    </row>
    <row r="2629" spans="1:18" x14ac:dyDescent="0.25">
      <c r="A2629" s="170">
        <v>45874</v>
      </c>
      <c r="B2629" s="116">
        <v>606.75</v>
      </c>
      <c r="C2629" s="116">
        <v>602.70000000000005</v>
      </c>
      <c r="D2629" s="116">
        <v>598.35</v>
      </c>
      <c r="E2629" s="116">
        <v>605.25</v>
      </c>
      <c r="F2629" s="116">
        <v>602.70000000000005</v>
      </c>
      <c r="G2629">
        <v>27455</v>
      </c>
      <c r="H2629" s="116"/>
      <c r="I2629" s="116"/>
      <c r="L2629" s="170">
        <v>45874</v>
      </c>
      <c r="M2629" s="116">
        <v>602.70000000000005</v>
      </c>
      <c r="N2629" s="116">
        <v>607.95000000000005</v>
      </c>
      <c r="O2629" s="116">
        <v>598.70000000000005</v>
      </c>
      <c r="P2629" s="116">
        <v>606</v>
      </c>
      <c r="Q2629" s="116">
        <v>602.70000000000005</v>
      </c>
      <c r="R2629">
        <v>795422</v>
      </c>
    </row>
    <row r="2630" spans="1:18" x14ac:dyDescent="0.25">
      <c r="A2630" s="170">
        <v>45875</v>
      </c>
      <c r="B2630" s="116">
        <v>606.95000000000005</v>
      </c>
      <c r="C2630" s="116">
        <v>589.70000000000005</v>
      </c>
      <c r="D2630" s="116">
        <v>587.9</v>
      </c>
      <c r="E2630" s="116">
        <v>605</v>
      </c>
      <c r="F2630" s="116">
        <v>589.70000000000005</v>
      </c>
      <c r="G2630">
        <v>171261</v>
      </c>
      <c r="H2630" s="116"/>
      <c r="I2630" s="116"/>
      <c r="L2630" s="170">
        <v>45875</v>
      </c>
      <c r="M2630" s="116">
        <v>589.9</v>
      </c>
      <c r="N2630" s="116">
        <v>606.85</v>
      </c>
      <c r="O2630" s="116">
        <v>588.15</v>
      </c>
      <c r="P2630" s="116">
        <v>605</v>
      </c>
      <c r="Q2630" s="116">
        <v>589.9</v>
      </c>
      <c r="R2630">
        <v>1895039</v>
      </c>
    </row>
    <row r="2631" spans="1:18" x14ac:dyDescent="0.25">
      <c r="A2631" s="170">
        <v>45876</v>
      </c>
      <c r="B2631" s="116">
        <v>594.29999999999995</v>
      </c>
      <c r="C2631" s="116">
        <v>592.79999999999995</v>
      </c>
      <c r="D2631" s="116">
        <v>580.54999999999995</v>
      </c>
      <c r="E2631" s="116">
        <v>585.20000000000005</v>
      </c>
      <c r="F2631" s="116">
        <v>592.79999999999995</v>
      </c>
      <c r="G2631">
        <v>175914</v>
      </c>
      <c r="H2631" s="116"/>
      <c r="I2631" s="116"/>
      <c r="L2631" s="170">
        <v>45876</v>
      </c>
      <c r="M2631" s="116">
        <v>592.35</v>
      </c>
      <c r="N2631" s="116">
        <v>594.15</v>
      </c>
      <c r="O2631" s="116">
        <v>580.20000000000005</v>
      </c>
      <c r="P2631" s="116">
        <v>588</v>
      </c>
      <c r="Q2631" s="116">
        <v>592.35</v>
      </c>
      <c r="R2631">
        <v>1936155</v>
      </c>
    </row>
    <row r="2632" spans="1:18" x14ac:dyDescent="0.25">
      <c r="A2632" s="170">
        <v>45877</v>
      </c>
      <c r="B2632" s="116">
        <v>595.85</v>
      </c>
      <c r="C2632" s="116">
        <v>580.35</v>
      </c>
      <c r="D2632" s="116">
        <v>578.35</v>
      </c>
      <c r="E2632" s="116">
        <v>592</v>
      </c>
      <c r="F2632" s="116">
        <v>580.35</v>
      </c>
      <c r="G2632">
        <v>59303</v>
      </c>
      <c r="H2632" s="116"/>
      <c r="I2632" s="116"/>
      <c r="L2632" s="170">
        <v>45877</v>
      </c>
      <c r="M2632" s="116">
        <v>580</v>
      </c>
      <c r="N2632" s="116">
        <v>595.85</v>
      </c>
      <c r="O2632" s="116">
        <v>578</v>
      </c>
      <c r="P2632" s="116">
        <v>592</v>
      </c>
      <c r="Q2632" s="116">
        <v>580</v>
      </c>
      <c r="R2632">
        <v>1252179</v>
      </c>
    </row>
    <row r="2633" spans="1:18" x14ac:dyDescent="0.25">
      <c r="A2633" s="170">
        <v>45880</v>
      </c>
      <c r="B2633" s="116">
        <v>591</v>
      </c>
      <c r="C2633" s="116">
        <v>588.70000000000005</v>
      </c>
      <c r="D2633" s="116">
        <v>580.25</v>
      </c>
      <c r="E2633" s="116">
        <v>583</v>
      </c>
      <c r="F2633" s="116">
        <v>588.70000000000005</v>
      </c>
      <c r="G2633">
        <v>46179</v>
      </c>
      <c r="H2633" s="116"/>
      <c r="I2633" s="116"/>
      <c r="L2633" s="170">
        <v>45880</v>
      </c>
      <c r="M2633" s="116">
        <v>588.85</v>
      </c>
      <c r="N2633" s="116">
        <v>591.29999999999995</v>
      </c>
      <c r="O2633" s="116">
        <v>580.04999999999995</v>
      </c>
      <c r="P2633" s="116">
        <v>580.15</v>
      </c>
      <c r="Q2633" s="116">
        <v>588.85</v>
      </c>
      <c r="R2633">
        <v>839347</v>
      </c>
    </row>
    <row r="2634" spans="1:18" x14ac:dyDescent="0.25">
      <c r="A2634" s="170">
        <v>45881</v>
      </c>
      <c r="B2634" s="116">
        <v>590.75</v>
      </c>
      <c r="C2634" s="116">
        <v>587.9</v>
      </c>
      <c r="D2634" s="116">
        <v>585.54999999999995</v>
      </c>
      <c r="E2634" s="116">
        <v>590.04999999999995</v>
      </c>
      <c r="F2634" s="116">
        <v>587.9</v>
      </c>
      <c r="G2634">
        <v>54357</v>
      </c>
      <c r="H2634" s="116"/>
      <c r="I2634" s="116"/>
      <c r="L2634" s="170">
        <v>45881</v>
      </c>
      <c r="M2634" s="116">
        <v>587.15</v>
      </c>
      <c r="N2634" s="116">
        <v>591.65</v>
      </c>
      <c r="O2634" s="116">
        <v>585.54999999999995</v>
      </c>
      <c r="P2634" s="116">
        <v>591.65</v>
      </c>
      <c r="Q2634" s="116">
        <v>587.15</v>
      </c>
      <c r="R2634">
        <v>1053756</v>
      </c>
    </row>
    <row r="2635" spans="1:18" x14ac:dyDescent="0.25">
      <c r="A2635" s="170">
        <v>45882</v>
      </c>
      <c r="B2635" s="116">
        <v>588.15</v>
      </c>
      <c r="C2635" s="116">
        <v>580.70000000000005</v>
      </c>
      <c r="D2635" s="116">
        <v>574</v>
      </c>
      <c r="E2635" s="116">
        <v>588</v>
      </c>
      <c r="F2635" s="116">
        <v>580.70000000000005</v>
      </c>
      <c r="G2635">
        <v>226455</v>
      </c>
      <c r="H2635" s="116"/>
      <c r="I2635" s="116"/>
      <c r="L2635" s="170">
        <v>45882</v>
      </c>
      <c r="M2635" s="116">
        <v>580.85</v>
      </c>
      <c r="N2635" s="116">
        <v>589.25</v>
      </c>
      <c r="O2635" s="116">
        <v>574.25</v>
      </c>
      <c r="P2635" s="116">
        <v>587.5</v>
      </c>
      <c r="Q2635" s="116">
        <v>580.85</v>
      </c>
      <c r="R2635">
        <v>2109517</v>
      </c>
    </row>
    <row r="2636" spans="1:18" x14ac:dyDescent="0.25">
      <c r="A2636" s="170">
        <v>45883</v>
      </c>
      <c r="B2636" s="116">
        <v>583.95000000000005</v>
      </c>
      <c r="C2636" s="116">
        <v>578.15</v>
      </c>
      <c r="D2636" s="116">
        <v>571.54999999999995</v>
      </c>
      <c r="E2636" s="116">
        <v>579.04999999999995</v>
      </c>
      <c r="F2636" s="116">
        <v>578.15</v>
      </c>
      <c r="G2636">
        <v>44033</v>
      </c>
      <c r="H2636" s="116"/>
      <c r="I2636" s="116"/>
      <c r="L2636" s="170">
        <v>45883</v>
      </c>
      <c r="M2636" s="116">
        <v>578.04999999999995</v>
      </c>
      <c r="N2636" s="116">
        <v>584.5</v>
      </c>
      <c r="O2636" s="116">
        <v>571.54999999999995</v>
      </c>
      <c r="P2636" s="116">
        <v>580.85</v>
      </c>
      <c r="Q2636" s="116">
        <v>578.04999999999995</v>
      </c>
      <c r="R2636">
        <v>1974038</v>
      </c>
    </row>
    <row r="2637" spans="1:18" x14ac:dyDescent="0.25">
      <c r="A2637" s="170">
        <v>45887</v>
      </c>
      <c r="B2637" s="116">
        <v>603.04999999999995</v>
      </c>
      <c r="C2637" s="116">
        <v>590.04999999999995</v>
      </c>
      <c r="D2637" s="116">
        <v>589.45000000000005</v>
      </c>
      <c r="E2637" s="116">
        <v>590.1</v>
      </c>
      <c r="F2637" s="116">
        <v>590.04999999999995</v>
      </c>
      <c r="G2637">
        <v>144844</v>
      </c>
      <c r="H2637" s="116"/>
      <c r="I2637" s="116"/>
      <c r="L2637" s="170">
        <v>45887</v>
      </c>
      <c r="M2637" s="116">
        <v>590.04999999999995</v>
      </c>
      <c r="N2637" s="116">
        <v>605.45000000000005</v>
      </c>
      <c r="O2637" s="116">
        <v>589.20000000000005</v>
      </c>
      <c r="P2637" s="116">
        <v>595</v>
      </c>
      <c r="Q2637" s="116">
        <v>590.04999999999995</v>
      </c>
      <c r="R2637">
        <v>4190190</v>
      </c>
    </row>
    <row r="2638" spans="1:18" x14ac:dyDescent="0.25">
      <c r="A2638" s="170">
        <v>45888</v>
      </c>
      <c r="B2638" s="116">
        <v>595.20000000000005</v>
      </c>
      <c r="C2638" s="116">
        <v>592.65</v>
      </c>
      <c r="D2638" s="116">
        <v>587.20000000000005</v>
      </c>
      <c r="E2638" s="116">
        <v>595.15</v>
      </c>
      <c r="F2638" s="116">
        <v>592.65</v>
      </c>
      <c r="G2638">
        <v>62270</v>
      </c>
      <c r="H2638" s="116"/>
      <c r="I2638" s="116"/>
      <c r="L2638" s="170">
        <v>45888</v>
      </c>
      <c r="M2638" s="116">
        <v>592.4</v>
      </c>
      <c r="N2638" s="116">
        <v>595.54999999999995</v>
      </c>
      <c r="O2638" s="116">
        <v>587.29999999999995</v>
      </c>
      <c r="P2638" s="116">
        <v>593</v>
      </c>
      <c r="Q2638" s="116">
        <v>592.4</v>
      </c>
      <c r="R2638">
        <v>1898159</v>
      </c>
    </row>
    <row r="2639" spans="1:18" x14ac:dyDescent="0.25">
      <c r="A2639" s="170">
        <v>45889</v>
      </c>
      <c r="B2639" s="116">
        <v>594</v>
      </c>
      <c r="C2639" s="116">
        <v>591.6</v>
      </c>
      <c r="D2639" s="116">
        <v>589.4</v>
      </c>
      <c r="E2639" s="116">
        <v>591</v>
      </c>
      <c r="F2639" s="116">
        <v>591.6</v>
      </c>
      <c r="G2639">
        <v>36279</v>
      </c>
      <c r="H2639" s="116"/>
      <c r="I2639" s="116"/>
      <c r="L2639" s="170">
        <v>45889</v>
      </c>
      <c r="M2639" s="116">
        <v>591.9</v>
      </c>
      <c r="N2639" s="116">
        <v>594.1</v>
      </c>
      <c r="O2639" s="116">
        <v>589.25</v>
      </c>
      <c r="P2639" s="116">
        <v>593.45000000000005</v>
      </c>
      <c r="Q2639" s="116">
        <v>591.9</v>
      </c>
      <c r="R2639">
        <v>1086467</v>
      </c>
    </row>
    <row r="2640" spans="1:18" x14ac:dyDescent="0.25">
      <c r="A2640" s="170">
        <v>45890</v>
      </c>
      <c r="B2640" s="116">
        <v>593</v>
      </c>
      <c r="C2640" s="116">
        <v>587.5</v>
      </c>
      <c r="D2640" s="116">
        <v>585.29999999999995</v>
      </c>
      <c r="E2640" s="116">
        <v>592.04999999999995</v>
      </c>
      <c r="F2640" s="116">
        <v>587.5</v>
      </c>
      <c r="G2640">
        <v>32732</v>
      </c>
      <c r="H2640" s="116"/>
      <c r="I2640" s="116"/>
      <c r="L2640" s="170">
        <v>45890</v>
      </c>
      <c r="M2640" s="116">
        <v>588.75</v>
      </c>
      <c r="N2640" s="116">
        <v>593.29999999999995</v>
      </c>
      <c r="O2640" s="116">
        <v>585.04999999999995</v>
      </c>
      <c r="P2640" s="116">
        <v>593.25</v>
      </c>
      <c r="Q2640" s="116">
        <v>588.75</v>
      </c>
      <c r="R2640">
        <v>1540533</v>
      </c>
    </row>
    <row r="2641" spans="1:18" x14ac:dyDescent="0.25">
      <c r="A2641" s="170">
        <v>45891</v>
      </c>
      <c r="B2641" s="116">
        <v>589.79999999999995</v>
      </c>
      <c r="C2641" s="116">
        <v>576.85</v>
      </c>
      <c r="D2641" s="116">
        <v>576</v>
      </c>
      <c r="E2641" s="116">
        <v>586.04999999999995</v>
      </c>
      <c r="F2641" s="116">
        <v>576.85</v>
      </c>
      <c r="G2641">
        <v>55971</v>
      </c>
      <c r="H2641" s="116"/>
      <c r="I2641" s="116"/>
      <c r="L2641" s="170">
        <v>45891</v>
      </c>
      <c r="M2641" s="116">
        <v>577.15</v>
      </c>
      <c r="N2641" s="116">
        <v>590</v>
      </c>
      <c r="O2641" s="116">
        <v>576</v>
      </c>
      <c r="P2641" s="116">
        <v>588.79999999999995</v>
      </c>
      <c r="Q2641" s="116">
        <v>577.15</v>
      </c>
      <c r="R2641">
        <v>1671189</v>
      </c>
    </row>
    <row r="2642" spans="1:18" x14ac:dyDescent="0.25">
      <c r="A2642" s="170">
        <v>45894</v>
      </c>
      <c r="B2642" s="116">
        <v>582.35</v>
      </c>
      <c r="C2642" s="116">
        <v>581.04999999999995</v>
      </c>
      <c r="D2642" s="116">
        <v>578</v>
      </c>
      <c r="E2642" s="116">
        <v>580.04999999999995</v>
      </c>
      <c r="F2642" s="116">
        <v>581.04999999999995</v>
      </c>
      <c r="G2642">
        <v>150867</v>
      </c>
      <c r="H2642" s="116"/>
      <c r="I2642" s="116"/>
      <c r="L2642" s="170">
        <v>45894</v>
      </c>
      <c r="M2642" s="116">
        <v>581</v>
      </c>
      <c r="N2642" s="116">
        <v>582</v>
      </c>
      <c r="O2642" s="116">
        <v>577.85</v>
      </c>
      <c r="P2642" s="116">
        <v>581</v>
      </c>
      <c r="Q2642" s="116">
        <v>581</v>
      </c>
      <c r="R2642">
        <v>1458400</v>
      </c>
    </row>
    <row r="2643" spans="1:18" x14ac:dyDescent="0.25">
      <c r="A2643" s="170">
        <v>45895</v>
      </c>
      <c r="B2643" s="116">
        <v>585.35</v>
      </c>
      <c r="C2643" s="116">
        <v>572.35</v>
      </c>
      <c r="D2643" s="116">
        <v>571.79999999999995</v>
      </c>
      <c r="E2643" s="116">
        <v>585.35</v>
      </c>
      <c r="F2643" s="116">
        <v>572.35</v>
      </c>
      <c r="G2643">
        <v>117902</v>
      </c>
      <c r="H2643" s="116"/>
      <c r="I2643" s="116"/>
      <c r="L2643" s="170">
        <v>45895</v>
      </c>
      <c r="M2643" s="116">
        <v>572.79999999999995</v>
      </c>
      <c r="N2643" s="116">
        <v>581</v>
      </c>
      <c r="O2643" s="116">
        <v>571.75</v>
      </c>
      <c r="P2643" s="116">
        <v>580</v>
      </c>
      <c r="Q2643" s="116">
        <v>572.79999999999995</v>
      </c>
      <c r="R2643">
        <v>1527366</v>
      </c>
    </row>
    <row r="2644" spans="1:18" x14ac:dyDescent="0.25">
      <c r="A2644" s="170">
        <v>45897</v>
      </c>
      <c r="B2644" s="116">
        <v>570.95000000000005</v>
      </c>
      <c r="C2644" s="116">
        <v>562.1</v>
      </c>
      <c r="D2644" s="116">
        <v>559.79999999999995</v>
      </c>
      <c r="E2644" s="116">
        <v>570.95000000000005</v>
      </c>
      <c r="F2644" s="116">
        <v>562.1</v>
      </c>
      <c r="G2644">
        <v>24989</v>
      </c>
      <c r="H2644" s="116"/>
      <c r="I2644" s="116"/>
      <c r="L2644" s="170">
        <v>45897</v>
      </c>
      <c r="M2644" s="116">
        <v>561.79999999999995</v>
      </c>
      <c r="N2644" s="116">
        <v>569.95000000000005</v>
      </c>
      <c r="O2644" s="116">
        <v>559.6</v>
      </c>
      <c r="P2644" s="116">
        <v>569.54999999999995</v>
      </c>
      <c r="Q2644" s="116">
        <v>561.79999999999995</v>
      </c>
      <c r="R2644">
        <v>1815158</v>
      </c>
    </row>
    <row r="2645" spans="1:18" x14ac:dyDescent="0.25">
      <c r="A2645" s="170">
        <v>45898</v>
      </c>
      <c r="B2645" s="116">
        <v>569</v>
      </c>
      <c r="C2645" s="116">
        <v>562.6</v>
      </c>
      <c r="D2645" s="116">
        <v>560.1</v>
      </c>
      <c r="E2645" s="116">
        <v>563.29999999999995</v>
      </c>
      <c r="F2645" s="116">
        <v>562.6</v>
      </c>
      <c r="G2645">
        <v>42065</v>
      </c>
      <c r="H2645" s="116"/>
      <c r="I2645" s="116"/>
      <c r="L2645" s="170">
        <v>45898</v>
      </c>
      <c r="M2645" s="116">
        <v>563.20000000000005</v>
      </c>
      <c r="N2645" s="116">
        <v>569.20000000000005</v>
      </c>
      <c r="O2645" s="116">
        <v>560</v>
      </c>
      <c r="P2645" s="116">
        <v>563</v>
      </c>
      <c r="Q2645" s="116">
        <v>563.20000000000005</v>
      </c>
      <c r="R2645">
        <v>1166207</v>
      </c>
    </row>
    <row r="2646" spans="1:18" x14ac:dyDescent="0.25">
      <c r="A2646" s="170">
        <v>45901</v>
      </c>
      <c r="B2646" s="116">
        <v>569.54999999999995</v>
      </c>
      <c r="C2646" s="116">
        <v>566.25</v>
      </c>
      <c r="D2646" s="116">
        <v>563.54999999999995</v>
      </c>
      <c r="E2646" s="116">
        <v>565</v>
      </c>
      <c r="F2646" s="116">
        <v>566.25</v>
      </c>
      <c r="G2646">
        <v>35214</v>
      </c>
      <c r="H2646" s="116"/>
      <c r="I2646" s="116"/>
      <c r="L2646" s="170">
        <v>45901</v>
      </c>
      <c r="M2646" s="116">
        <v>567.1</v>
      </c>
      <c r="N2646" s="116">
        <v>569.9</v>
      </c>
      <c r="O2646" s="116">
        <v>563.45000000000005</v>
      </c>
      <c r="P2646" s="116">
        <v>565.20000000000005</v>
      </c>
      <c r="Q2646" s="116">
        <v>567.1</v>
      </c>
      <c r="R2646">
        <v>1366250</v>
      </c>
    </row>
    <row r="2647" spans="1:18" x14ac:dyDescent="0.25">
      <c r="A2647" s="170">
        <v>45902</v>
      </c>
      <c r="B2647" s="116">
        <v>572.6</v>
      </c>
      <c r="C2647" s="116">
        <v>567.29999999999995</v>
      </c>
      <c r="D2647" s="116">
        <v>564.1</v>
      </c>
      <c r="E2647" s="116">
        <v>572.6</v>
      </c>
      <c r="F2647" s="116">
        <v>567.29999999999995</v>
      </c>
      <c r="G2647">
        <v>19260</v>
      </c>
      <c r="H2647" s="116"/>
      <c r="I2647" s="116"/>
      <c r="L2647" s="170">
        <v>45902</v>
      </c>
      <c r="M2647" s="116">
        <v>567.25</v>
      </c>
      <c r="N2647" s="116">
        <v>573</v>
      </c>
      <c r="O2647" s="116">
        <v>564.29999999999995</v>
      </c>
      <c r="P2647" s="116">
        <v>568.1</v>
      </c>
      <c r="Q2647" s="116">
        <v>567.25</v>
      </c>
      <c r="R2647">
        <v>801958</v>
      </c>
    </row>
    <row r="2648" spans="1:18" x14ac:dyDescent="0.25">
      <c r="A2648" s="170">
        <v>45903</v>
      </c>
      <c r="B2648" s="116">
        <v>577.35</v>
      </c>
      <c r="C2648" s="116">
        <v>574.04999999999995</v>
      </c>
      <c r="D2648" s="116">
        <v>568.9</v>
      </c>
      <c r="E2648" s="116">
        <v>568.9</v>
      </c>
      <c r="F2648" s="116">
        <v>574.04999999999995</v>
      </c>
      <c r="G2648">
        <v>54888</v>
      </c>
      <c r="H2648" s="116"/>
      <c r="I2648" s="116"/>
      <c r="L2648" s="170">
        <v>45903</v>
      </c>
      <c r="M2648" s="116">
        <v>573.75</v>
      </c>
      <c r="N2648" s="116">
        <v>576.95000000000005</v>
      </c>
      <c r="O2648" s="116">
        <v>569.04999999999995</v>
      </c>
      <c r="P2648" s="116">
        <v>570</v>
      </c>
      <c r="Q2648" s="116">
        <v>573.75</v>
      </c>
      <c r="R2648">
        <v>2203149</v>
      </c>
    </row>
    <row r="2649" spans="1:18" x14ac:dyDescent="0.25">
      <c r="A2649" s="170">
        <v>45904</v>
      </c>
      <c r="B2649" s="116">
        <v>595.65</v>
      </c>
      <c r="C2649" s="116">
        <v>567.54999999999995</v>
      </c>
      <c r="D2649" s="116">
        <v>566.54999999999995</v>
      </c>
      <c r="E2649" s="116">
        <v>592.04999999999995</v>
      </c>
      <c r="F2649" s="116">
        <v>567.54999999999995</v>
      </c>
      <c r="G2649">
        <v>165026</v>
      </c>
      <c r="H2649" s="116"/>
      <c r="I2649" s="116"/>
      <c r="L2649" s="170">
        <v>45904</v>
      </c>
      <c r="M2649" s="116">
        <v>567.70000000000005</v>
      </c>
      <c r="N2649" s="116">
        <v>596.29999999999995</v>
      </c>
      <c r="O2649" s="116">
        <v>566.04999999999995</v>
      </c>
      <c r="P2649" s="116">
        <v>590</v>
      </c>
      <c r="Q2649" s="116">
        <v>567.70000000000005</v>
      </c>
      <c r="R2649">
        <v>6090485</v>
      </c>
    </row>
    <row r="2650" spans="1:18" x14ac:dyDescent="0.25">
      <c r="A2650" s="170">
        <v>45905</v>
      </c>
      <c r="B2650" s="116">
        <v>574.9</v>
      </c>
      <c r="C2650" s="116">
        <v>566.75</v>
      </c>
      <c r="D2650" s="116">
        <v>562.5</v>
      </c>
      <c r="E2650" s="116">
        <v>574.9</v>
      </c>
      <c r="F2650" s="116">
        <v>566.75</v>
      </c>
      <c r="G2650">
        <v>31188</v>
      </c>
      <c r="H2650" s="116"/>
      <c r="I2650" s="116"/>
      <c r="L2650" s="170">
        <v>45905</v>
      </c>
      <c r="M2650" s="116">
        <v>566.70000000000005</v>
      </c>
      <c r="N2650" s="116">
        <v>572.70000000000005</v>
      </c>
      <c r="O2650" s="116">
        <v>562.5</v>
      </c>
      <c r="P2650" s="116">
        <v>572</v>
      </c>
      <c r="Q2650" s="116">
        <v>566.70000000000005</v>
      </c>
      <c r="R2650">
        <v>923506</v>
      </c>
    </row>
    <row r="2651" spans="1:18" x14ac:dyDescent="0.25">
      <c r="A2651" s="170">
        <v>45908</v>
      </c>
      <c r="B2651" s="116">
        <v>577</v>
      </c>
      <c r="C2651" s="116">
        <v>570.25</v>
      </c>
      <c r="D2651" s="116">
        <v>565.6</v>
      </c>
      <c r="E2651" s="116">
        <v>568.75</v>
      </c>
      <c r="F2651" s="116">
        <v>570.25</v>
      </c>
      <c r="G2651">
        <v>51604</v>
      </c>
      <c r="H2651" s="116"/>
      <c r="I2651" s="116"/>
      <c r="L2651" s="170">
        <v>45908</v>
      </c>
      <c r="M2651" s="116">
        <v>570.29999999999995</v>
      </c>
      <c r="N2651" s="116">
        <v>577.35</v>
      </c>
      <c r="O2651" s="116">
        <v>565.04999999999995</v>
      </c>
      <c r="P2651" s="116">
        <v>570</v>
      </c>
      <c r="Q2651" s="116">
        <v>570.29999999999995</v>
      </c>
      <c r="R2651">
        <v>938525</v>
      </c>
    </row>
    <row r="2652" spans="1:18" x14ac:dyDescent="0.25">
      <c r="A2652" s="170">
        <v>45909</v>
      </c>
      <c r="B2652" s="116">
        <v>575.70000000000005</v>
      </c>
      <c r="C2652" s="116">
        <v>567.54999999999995</v>
      </c>
      <c r="D2652" s="116">
        <v>566.6</v>
      </c>
      <c r="E2652" s="116">
        <v>574.75</v>
      </c>
      <c r="F2652" s="116">
        <v>567.54999999999995</v>
      </c>
      <c r="G2652">
        <v>33999</v>
      </c>
      <c r="H2652" s="116"/>
      <c r="I2652" s="116"/>
      <c r="L2652" s="170">
        <v>45909</v>
      </c>
      <c r="M2652" s="116">
        <v>567.6</v>
      </c>
      <c r="N2652" s="116">
        <v>576</v>
      </c>
      <c r="O2652" s="116">
        <v>566.5</v>
      </c>
      <c r="P2652" s="116">
        <v>573</v>
      </c>
      <c r="Q2652" s="116">
        <v>567.6</v>
      </c>
      <c r="R2652">
        <v>1107979</v>
      </c>
    </row>
    <row r="2653" spans="1:18" x14ac:dyDescent="0.25">
      <c r="A2653" s="170">
        <v>45910</v>
      </c>
      <c r="B2653" s="116">
        <v>573.20000000000005</v>
      </c>
      <c r="C2653" s="116">
        <v>566.95000000000005</v>
      </c>
      <c r="D2653" s="116">
        <v>566.15</v>
      </c>
      <c r="E2653" s="116">
        <v>568.54999999999995</v>
      </c>
      <c r="F2653" s="116">
        <v>566.95000000000005</v>
      </c>
      <c r="G2653">
        <v>28998</v>
      </c>
      <c r="H2653" s="116"/>
      <c r="I2653" s="116"/>
      <c r="L2653" s="170">
        <v>45910</v>
      </c>
      <c r="M2653" s="116">
        <v>566.85</v>
      </c>
      <c r="N2653" s="116">
        <v>572.6</v>
      </c>
      <c r="O2653" s="116">
        <v>566.4</v>
      </c>
      <c r="P2653" s="116">
        <v>570</v>
      </c>
      <c r="Q2653" s="116">
        <v>566.85</v>
      </c>
      <c r="R2653">
        <v>1629387</v>
      </c>
    </row>
    <row r="2654" spans="1:18" x14ac:dyDescent="0.25">
      <c r="A2654" s="170">
        <v>45911</v>
      </c>
      <c r="B2654" s="116">
        <v>566.6</v>
      </c>
      <c r="C2654" s="116">
        <v>560.5</v>
      </c>
      <c r="D2654" s="116">
        <v>548.79999999999995</v>
      </c>
      <c r="E2654" s="116">
        <v>566.1</v>
      </c>
      <c r="F2654" s="116">
        <v>560.5</v>
      </c>
      <c r="G2654">
        <v>23332267</v>
      </c>
      <c r="H2654" s="116"/>
      <c r="I2654" s="116"/>
      <c r="L2654" s="170">
        <v>45911</v>
      </c>
      <c r="M2654" s="116">
        <v>560.4</v>
      </c>
      <c r="N2654" s="116">
        <v>566.79999999999995</v>
      </c>
      <c r="O2654" s="116">
        <v>549</v>
      </c>
      <c r="P2654" s="116">
        <v>566.79999999999995</v>
      </c>
      <c r="Q2654" s="116">
        <v>560.4</v>
      </c>
      <c r="R2654">
        <v>39018032</v>
      </c>
    </row>
    <row r="2655" spans="1:18" x14ac:dyDescent="0.25">
      <c r="A2655" s="170">
        <v>45912</v>
      </c>
      <c r="B2655" s="116">
        <v>567.70000000000005</v>
      </c>
      <c r="C2655" s="116">
        <v>560.45000000000005</v>
      </c>
      <c r="D2655" s="116">
        <v>559.45000000000005</v>
      </c>
      <c r="E2655" s="116">
        <v>563</v>
      </c>
      <c r="F2655" s="116">
        <v>560.45000000000005</v>
      </c>
      <c r="G2655">
        <v>149227</v>
      </c>
      <c r="H2655" s="116"/>
      <c r="I2655" s="116"/>
      <c r="L2655" s="170">
        <v>45912</v>
      </c>
      <c r="M2655" s="116">
        <v>560.54999999999995</v>
      </c>
      <c r="N2655" s="116">
        <v>568</v>
      </c>
      <c r="O2655" s="116">
        <v>559.79999999999995</v>
      </c>
      <c r="P2655" s="116">
        <v>563.1</v>
      </c>
      <c r="Q2655" s="116">
        <v>560.54999999999995</v>
      </c>
      <c r="R2655">
        <v>3773680</v>
      </c>
    </row>
    <row r="2656" spans="1:18" x14ac:dyDescent="0.25">
      <c r="A2656" s="170">
        <v>45915</v>
      </c>
      <c r="B2656" s="116">
        <v>571.45000000000005</v>
      </c>
      <c r="C2656" s="116">
        <v>569.29999999999995</v>
      </c>
      <c r="D2656" s="116">
        <v>560.75</v>
      </c>
      <c r="E2656" s="116">
        <v>561.54999999999995</v>
      </c>
      <c r="F2656" s="116">
        <v>569.29999999999995</v>
      </c>
      <c r="G2656">
        <v>48143</v>
      </c>
      <c r="H2656" s="116"/>
      <c r="I2656" s="116"/>
      <c r="L2656" s="170">
        <v>45915</v>
      </c>
      <c r="M2656" s="116">
        <v>568.75</v>
      </c>
      <c r="N2656" s="116">
        <v>571.5</v>
      </c>
      <c r="O2656" s="116">
        <v>561</v>
      </c>
      <c r="P2656" s="116">
        <v>562.65</v>
      </c>
      <c r="Q2656" s="116">
        <v>568.75</v>
      </c>
      <c r="R2656">
        <v>1812617</v>
      </c>
    </row>
    <row r="2657" spans="1:18" x14ac:dyDescent="0.25">
      <c r="A2657" s="170">
        <v>45916</v>
      </c>
      <c r="B2657" s="116">
        <v>577.95000000000005</v>
      </c>
      <c r="C2657" s="116">
        <v>573.1</v>
      </c>
      <c r="D2657" s="116">
        <v>570.54999999999995</v>
      </c>
      <c r="E2657" s="116">
        <v>576.65</v>
      </c>
      <c r="F2657" s="116">
        <v>573.1</v>
      </c>
      <c r="G2657">
        <v>225239</v>
      </c>
      <c r="H2657" s="116"/>
      <c r="I2657" s="116"/>
      <c r="L2657" s="170">
        <v>45916</v>
      </c>
      <c r="M2657" s="116">
        <v>573.65</v>
      </c>
      <c r="N2657" s="116">
        <v>578.45000000000005</v>
      </c>
      <c r="O2657" s="116">
        <v>570.5</v>
      </c>
      <c r="P2657" s="116">
        <v>575.75</v>
      </c>
      <c r="Q2657" s="116">
        <v>573.65</v>
      </c>
      <c r="R2657">
        <v>2635252</v>
      </c>
    </row>
    <row r="2658" spans="1:18" x14ac:dyDescent="0.25">
      <c r="A2658" s="170">
        <v>45917</v>
      </c>
      <c r="B2658" s="116">
        <v>583.6</v>
      </c>
      <c r="C2658" s="116">
        <v>582.4</v>
      </c>
      <c r="D2658" s="116">
        <v>575.6</v>
      </c>
      <c r="E2658" s="116">
        <v>580.79999999999995</v>
      </c>
      <c r="F2658" s="116">
        <v>582.4</v>
      </c>
      <c r="G2658">
        <v>143509</v>
      </c>
      <c r="H2658" s="116"/>
      <c r="I2658" s="116"/>
      <c r="L2658" s="170">
        <v>45917</v>
      </c>
      <c r="M2658" s="116">
        <v>582.04999999999995</v>
      </c>
      <c r="N2658" s="116">
        <v>583.5</v>
      </c>
      <c r="O2658" s="116">
        <v>575.70000000000005</v>
      </c>
      <c r="P2658" s="116">
        <v>577.85</v>
      </c>
      <c r="Q2658" s="116">
        <v>582.04999999999995</v>
      </c>
      <c r="R2658">
        <v>5524985</v>
      </c>
    </row>
    <row r="2659" spans="1:18" x14ac:dyDescent="0.25">
      <c r="A2659" s="170">
        <v>45918</v>
      </c>
      <c r="B2659" s="116">
        <v>584.65</v>
      </c>
      <c r="C2659" s="116">
        <v>580.9</v>
      </c>
      <c r="D2659" s="116">
        <v>576.5</v>
      </c>
      <c r="E2659" s="116">
        <v>584.65</v>
      </c>
      <c r="F2659" s="116">
        <v>580.9</v>
      </c>
      <c r="G2659">
        <v>178790</v>
      </c>
      <c r="H2659" s="116"/>
      <c r="I2659" s="116"/>
      <c r="L2659" s="170">
        <v>45918</v>
      </c>
      <c r="M2659" s="116">
        <v>581</v>
      </c>
      <c r="N2659" s="116">
        <v>584.25</v>
      </c>
      <c r="O2659" s="116">
        <v>576.5</v>
      </c>
      <c r="P2659" s="116">
        <v>583.9</v>
      </c>
      <c r="Q2659" s="116">
        <v>581</v>
      </c>
      <c r="R2659">
        <v>2063929</v>
      </c>
    </row>
    <row r="2660" spans="1:18" x14ac:dyDescent="0.25">
      <c r="A2660" s="170">
        <v>45919</v>
      </c>
      <c r="B2660" s="116">
        <v>588.65</v>
      </c>
      <c r="C2660" s="116">
        <v>582.54999999999995</v>
      </c>
      <c r="D2660" s="116">
        <v>578.6</v>
      </c>
      <c r="E2660" s="116">
        <v>588.65</v>
      </c>
      <c r="F2660" s="116">
        <v>582.54999999999995</v>
      </c>
      <c r="G2660">
        <v>131339</v>
      </c>
      <c r="H2660" s="116"/>
      <c r="I2660" s="116"/>
      <c r="L2660" s="170">
        <v>45919</v>
      </c>
      <c r="M2660" s="116">
        <v>582.45000000000005</v>
      </c>
      <c r="N2660" s="116">
        <v>588.5</v>
      </c>
      <c r="O2660" s="116">
        <v>578.20000000000005</v>
      </c>
      <c r="P2660" s="116">
        <v>588</v>
      </c>
      <c r="Q2660" s="116">
        <v>582.45000000000005</v>
      </c>
      <c r="R2660">
        <v>3482230</v>
      </c>
    </row>
    <row r="2661" spans="1:18" x14ac:dyDescent="0.25">
      <c r="A2661" s="170">
        <v>45922</v>
      </c>
      <c r="B2661" s="116">
        <v>600.79999999999995</v>
      </c>
      <c r="C2661" s="116">
        <v>590.9</v>
      </c>
      <c r="D2661" s="116">
        <v>581.5</v>
      </c>
      <c r="E2661" s="116">
        <v>589.79999999999995</v>
      </c>
      <c r="F2661" s="116">
        <v>590.9</v>
      </c>
      <c r="G2661">
        <v>309883</v>
      </c>
      <c r="H2661" s="116"/>
      <c r="I2661" s="116"/>
      <c r="L2661" s="170">
        <v>45922</v>
      </c>
      <c r="M2661" s="116">
        <v>590.29999999999995</v>
      </c>
      <c r="N2661" s="116">
        <v>600.79999999999995</v>
      </c>
      <c r="O2661" s="116">
        <v>581.20000000000005</v>
      </c>
      <c r="P2661" s="116">
        <v>585</v>
      </c>
      <c r="Q2661" s="116">
        <v>590.29999999999995</v>
      </c>
      <c r="R2661">
        <v>4982920</v>
      </c>
    </row>
    <row r="2662" spans="1:18" x14ac:dyDescent="0.25">
      <c r="A2662" s="170">
        <v>45923</v>
      </c>
      <c r="B2662" s="116">
        <v>594.5</v>
      </c>
      <c r="C2662" s="116">
        <v>591.4</v>
      </c>
      <c r="D2662" s="116">
        <v>579.5</v>
      </c>
      <c r="E2662" s="116">
        <v>592.65</v>
      </c>
      <c r="F2662" s="116">
        <v>591.4</v>
      </c>
      <c r="G2662">
        <v>157205</v>
      </c>
      <c r="H2662" s="116"/>
      <c r="I2662" s="116"/>
      <c r="L2662" s="170">
        <v>45923</v>
      </c>
      <c r="M2662" s="116">
        <v>591.6</v>
      </c>
      <c r="N2662" s="116">
        <v>594.65</v>
      </c>
      <c r="O2662" s="116">
        <v>579.15</v>
      </c>
      <c r="P2662" s="116">
        <v>591.95000000000005</v>
      </c>
      <c r="Q2662" s="116">
        <v>591.6</v>
      </c>
      <c r="R2662">
        <v>2989117</v>
      </c>
    </row>
    <row r="2663" spans="1:18" x14ac:dyDescent="0.25">
      <c r="A2663" s="170">
        <v>45924</v>
      </c>
      <c r="B2663" s="116">
        <v>598.5</v>
      </c>
      <c r="C2663" s="116">
        <v>582.70000000000005</v>
      </c>
      <c r="D2663" s="116">
        <v>581.4</v>
      </c>
      <c r="E2663" s="116">
        <v>589.5</v>
      </c>
      <c r="F2663" s="116">
        <v>582.70000000000005</v>
      </c>
      <c r="G2663">
        <v>60951</v>
      </c>
      <c r="H2663" s="116"/>
      <c r="I2663" s="116"/>
      <c r="L2663" s="170">
        <v>45924</v>
      </c>
      <c r="M2663" s="116">
        <v>582.65</v>
      </c>
      <c r="N2663" s="116">
        <v>598.35</v>
      </c>
      <c r="O2663" s="116">
        <v>581.65</v>
      </c>
      <c r="P2663" s="116">
        <v>589</v>
      </c>
      <c r="Q2663" s="116">
        <v>582.65</v>
      </c>
      <c r="R2663">
        <v>2053504</v>
      </c>
    </row>
    <row r="2664" spans="1:18" x14ac:dyDescent="0.25">
      <c r="A2664" s="170">
        <v>45925</v>
      </c>
      <c r="B2664" s="116">
        <v>588.4</v>
      </c>
      <c r="C2664" s="116">
        <v>579.45000000000005</v>
      </c>
      <c r="D2664" s="116">
        <v>577.65</v>
      </c>
      <c r="E2664" s="116">
        <v>583.54999999999995</v>
      </c>
      <c r="F2664" s="116">
        <v>579.45000000000005</v>
      </c>
      <c r="G2664">
        <v>57390</v>
      </c>
      <c r="H2664" s="116"/>
      <c r="I2664" s="116"/>
      <c r="L2664" s="170">
        <v>45925</v>
      </c>
      <c r="M2664" s="116">
        <v>579.4</v>
      </c>
      <c r="N2664" s="116">
        <v>588.79999999999995</v>
      </c>
      <c r="O2664" s="116">
        <v>577.79999999999995</v>
      </c>
      <c r="P2664" s="116">
        <v>585</v>
      </c>
      <c r="Q2664" s="116">
        <v>579.4</v>
      </c>
      <c r="R2664">
        <v>1932523</v>
      </c>
    </row>
    <row r="2665" spans="1:18" x14ac:dyDescent="0.25">
      <c r="A2665" s="170">
        <v>45926</v>
      </c>
      <c r="B2665" s="116">
        <v>580.95000000000005</v>
      </c>
      <c r="C2665" s="116">
        <v>565</v>
      </c>
      <c r="D2665" s="116">
        <v>563.79999999999995</v>
      </c>
      <c r="E2665" s="116">
        <v>580</v>
      </c>
      <c r="F2665" s="116">
        <v>565</v>
      </c>
      <c r="G2665">
        <v>69839</v>
      </c>
      <c r="H2665" s="116"/>
      <c r="I2665" s="116"/>
      <c r="L2665" s="170">
        <v>45926</v>
      </c>
      <c r="M2665" s="116">
        <v>565.20000000000005</v>
      </c>
      <c r="N2665" s="116">
        <v>581.79999999999995</v>
      </c>
      <c r="O2665" s="116">
        <v>564.04999999999995</v>
      </c>
      <c r="P2665" s="116">
        <v>580.75</v>
      </c>
      <c r="Q2665" s="116">
        <v>565.20000000000005</v>
      </c>
      <c r="R2665">
        <v>1858418</v>
      </c>
    </row>
    <row r="2666" spans="1:18" x14ac:dyDescent="0.25">
      <c r="A2666" s="170">
        <v>45929</v>
      </c>
      <c r="B2666" s="116">
        <v>576.45000000000005</v>
      </c>
      <c r="C2666" s="116">
        <v>562.54999999999995</v>
      </c>
      <c r="D2666" s="116">
        <v>561.35</v>
      </c>
      <c r="E2666" s="116">
        <v>576.45000000000005</v>
      </c>
      <c r="F2666" s="116">
        <v>562.54999999999995</v>
      </c>
      <c r="G2666">
        <v>43846</v>
      </c>
      <c r="H2666" s="116"/>
      <c r="I2666" s="116"/>
      <c r="L2666" s="170">
        <v>45929</v>
      </c>
      <c r="M2666" s="116">
        <v>562.15</v>
      </c>
      <c r="N2666" s="116">
        <v>571.45000000000005</v>
      </c>
      <c r="O2666" s="116">
        <v>561.20000000000005</v>
      </c>
      <c r="P2666" s="116">
        <v>570.79999999999995</v>
      </c>
      <c r="Q2666" s="116">
        <v>562.15</v>
      </c>
      <c r="R2666">
        <v>1344417</v>
      </c>
    </row>
    <row r="2667" spans="1:18" x14ac:dyDescent="0.25">
      <c r="A2667" s="170">
        <v>45930</v>
      </c>
      <c r="B2667" s="116">
        <v>572.9</v>
      </c>
      <c r="C2667" s="116">
        <v>570.04999999999995</v>
      </c>
      <c r="D2667" s="116">
        <v>562.15</v>
      </c>
      <c r="E2667" s="116">
        <v>562.15</v>
      </c>
      <c r="F2667" s="116">
        <v>570.04999999999995</v>
      </c>
      <c r="G2667">
        <v>52447</v>
      </c>
      <c r="H2667" s="116"/>
      <c r="I2667" s="116"/>
      <c r="L2667" s="170">
        <v>45930</v>
      </c>
      <c r="M2667" s="116">
        <v>569.95000000000005</v>
      </c>
      <c r="N2667" s="116">
        <v>573.20000000000005</v>
      </c>
      <c r="O2667" s="116">
        <v>562.75</v>
      </c>
      <c r="P2667" s="116">
        <v>562.75</v>
      </c>
      <c r="Q2667" s="116">
        <v>569.95000000000005</v>
      </c>
      <c r="R2667">
        <v>1873402</v>
      </c>
    </row>
    <row r="2668" spans="1:18" x14ac:dyDescent="0.25">
      <c r="A2668" s="170">
        <v>45931</v>
      </c>
      <c r="B2668" s="116">
        <v>573.79999999999995</v>
      </c>
      <c r="C2668" s="116">
        <v>570.79999999999995</v>
      </c>
      <c r="D2668" s="116">
        <v>565.5</v>
      </c>
      <c r="E2668" s="116">
        <v>570.5</v>
      </c>
      <c r="F2668" s="116">
        <v>570.79999999999995</v>
      </c>
      <c r="G2668">
        <v>39659</v>
      </c>
      <c r="H2668" s="116"/>
      <c r="I2668" s="116"/>
      <c r="L2668" s="170">
        <v>45931</v>
      </c>
      <c r="M2668" s="116">
        <v>571.1</v>
      </c>
      <c r="N2668" s="116">
        <v>574.4</v>
      </c>
      <c r="O2668" s="116">
        <v>565.5</v>
      </c>
      <c r="P2668" s="116">
        <v>572</v>
      </c>
      <c r="Q2668" s="116">
        <v>571.1</v>
      </c>
      <c r="R2668">
        <v>1195512</v>
      </c>
    </row>
    <row r="2669" spans="1:18" x14ac:dyDescent="0.25">
      <c r="A2669" s="170">
        <v>45933</v>
      </c>
      <c r="B2669" s="116">
        <v>580</v>
      </c>
      <c r="C2669" s="116">
        <v>575.75</v>
      </c>
      <c r="D2669" s="116">
        <v>570.54999999999995</v>
      </c>
      <c r="E2669" s="116">
        <v>572.54999999999995</v>
      </c>
      <c r="F2669" s="116">
        <v>575.75</v>
      </c>
      <c r="G2669">
        <v>55725</v>
      </c>
      <c r="H2669" s="116"/>
      <c r="I2669" s="116"/>
      <c r="L2669" s="170">
        <v>45933</v>
      </c>
      <c r="M2669" s="116">
        <v>576.15</v>
      </c>
      <c r="N2669" s="116">
        <v>579.95000000000005</v>
      </c>
      <c r="O2669" s="116">
        <v>570.29999999999995</v>
      </c>
      <c r="P2669" s="116">
        <v>573.9</v>
      </c>
      <c r="Q2669" s="116">
        <v>576.15</v>
      </c>
      <c r="R2669">
        <v>2062648</v>
      </c>
    </row>
    <row r="2670" spans="1:18" x14ac:dyDescent="0.25">
      <c r="A2670" s="170">
        <v>45936</v>
      </c>
      <c r="B2670" s="116">
        <v>577.15</v>
      </c>
      <c r="C2670" s="116">
        <v>573.9</v>
      </c>
      <c r="D2670" s="116">
        <v>571.4</v>
      </c>
      <c r="E2670" s="116">
        <v>575.45000000000005</v>
      </c>
      <c r="F2670" s="116">
        <v>573.9</v>
      </c>
      <c r="G2670">
        <v>39166</v>
      </c>
      <c r="H2670" s="116"/>
      <c r="I2670" s="116"/>
      <c r="L2670" s="170">
        <v>45936</v>
      </c>
      <c r="M2670" s="116">
        <v>573.79999999999995</v>
      </c>
      <c r="N2670" s="116">
        <v>577.79999999999995</v>
      </c>
      <c r="O2670" s="116">
        <v>571</v>
      </c>
      <c r="P2670" s="116">
        <v>576.15</v>
      </c>
      <c r="Q2670" s="116">
        <v>573.79999999999995</v>
      </c>
      <c r="R2670">
        <v>898456</v>
      </c>
    </row>
    <row r="2671" spans="1:18" x14ac:dyDescent="0.25">
      <c r="A2671" s="170">
        <v>45937</v>
      </c>
      <c r="B2671" s="116">
        <v>576</v>
      </c>
      <c r="C2671" s="116">
        <v>570.04999999999995</v>
      </c>
      <c r="D2671" s="116">
        <v>568.20000000000005</v>
      </c>
      <c r="E2671" s="116">
        <v>573.5</v>
      </c>
      <c r="F2671" s="116">
        <v>570.04999999999995</v>
      </c>
      <c r="G2671">
        <v>50351</v>
      </c>
      <c r="H2671" s="116"/>
      <c r="I2671" s="116"/>
      <c r="L2671" s="170">
        <v>45937</v>
      </c>
      <c r="M2671" s="116">
        <v>569.95000000000005</v>
      </c>
      <c r="N2671" s="116">
        <v>575.9</v>
      </c>
      <c r="O2671" s="116">
        <v>568.1</v>
      </c>
      <c r="P2671" s="116">
        <v>573</v>
      </c>
      <c r="Q2671" s="116">
        <v>569.95000000000005</v>
      </c>
      <c r="R2671">
        <v>1122712</v>
      </c>
    </row>
    <row r="2672" spans="1:18" x14ac:dyDescent="0.25">
      <c r="A2672" s="170">
        <v>45938</v>
      </c>
      <c r="B2672" s="116">
        <v>570.29999999999995</v>
      </c>
      <c r="C2672" s="116">
        <v>565.85</v>
      </c>
      <c r="D2672" s="116">
        <v>556.25</v>
      </c>
      <c r="E2672" s="116">
        <v>570</v>
      </c>
      <c r="F2672" s="116">
        <v>565.85</v>
      </c>
      <c r="G2672">
        <v>59496</v>
      </c>
      <c r="H2672" s="116"/>
      <c r="I2672" s="116"/>
      <c r="L2672" s="170">
        <v>45938</v>
      </c>
      <c r="M2672" s="116">
        <v>566.29999999999995</v>
      </c>
      <c r="N2672" s="116">
        <v>571.70000000000005</v>
      </c>
      <c r="O2672" s="116">
        <v>556.29999999999995</v>
      </c>
      <c r="P2672" s="116">
        <v>569.95000000000005</v>
      </c>
      <c r="Q2672" s="116">
        <v>566.29999999999995</v>
      </c>
      <c r="R2672">
        <v>1866324</v>
      </c>
    </row>
    <row r="2673" spans="1:18" x14ac:dyDescent="0.25">
      <c r="A2673" s="170">
        <v>45939</v>
      </c>
      <c r="B2673" s="116">
        <v>569.29999999999995</v>
      </c>
      <c r="C2673" s="116">
        <v>566</v>
      </c>
      <c r="D2673" s="116">
        <v>563.15</v>
      </c>
      <c r="E2673" s="116">
        <v>566</v>
      </c>
      <c r="F2673" s="116">
        <v>566</v>
      </c>
      <c r="G2673">
        <v>26344</v>
      </c>
      <c r="H2673" s="116"/>
      <c r="I2673" s="116"/>
      <c r="L2673" s="170">
        <v>45939</v>
      </c>
      <c r="M2673" s="116">
        <v>565.9</v>
      </c>
      <c r="N2673" s="116">
        <v>569.15</v>
      </c>
      <c r="O2673" s="116">
        <v>562.04999999999995</v>
      </c>
      <c r="P2673" s="116">
        <v>566.4</v>
      </c>
      <c r="Q2673" s="116">
        <v>565.9</v>
      </c>
      <c r="R2673">
        <v>816362</v>
      </c>
    </row>
    <row r="2674" spans="1:18" x14ac:dyDescent="0.25">
      <c r="A2674" s="170">
        <v>45940</v>
      </c>
      <c r="B2674" s="116">
        <v>573.20000000000005</v>
      </c>
      <c r="C2674" s="116">
        <v>568.95000000000005</v>
      </c>
      <c r="D2674" s="116">
        <v>564.4</v>
      </c>
      <c r="E2674" s="116">
        <v>565.15</v>
      </c>
      <c r="F2674" s="116">
        <v>568.95000000000005</v>
      </c>
      <c r="G2674">
        <v>48074</v>
      </c>
      <c r="H2674" s="116"/>
      <c r="I2674" s="116"/>
      <c r="L2674" s="170">
        <v>45940</v>
      </c>
      <c r="M2674" s="116">
        <v>569.25</v>
      </c>
      <c r="N2674" s="116">
        <v>573</v>
      </c>
      <c r="O2674" s="116">
        <v>564.5</v>
      </c>
      <c r="P2674" s="116">
        <v>565.79999999999995</v>
      </c>
      <c r="Q2674" s="116">
        <v>569.25</v>
      </c>
      <c r="R2674">
        <v>891468</v>
      </c>
    </row>
    <row r="2675" spans="1:18" x14ac:dyDescent="0.25">
      <c r="A2675" s="170">
        <v>45943</v>
      </c>
      <c r="B2675" s="116">
        <v>567.5</v>
      </c>
      <c r="C2675" s="116">
        <v>566.65</v>
      </c>
      <c r="D2675" s="116">
        <v>561.85</v>
      </c>
      <c r="E2675" s="116">
        <v>561.85</v>
      </c>
      <c r="F2675" s="116">
        <v>566.65</v>
      </c>
      <c r="G2675">
        <v>28478</v>
      </c>
      <c r="H2675" s="116"/>
      <c r="I2675" s="116"/>
      <c r="L2675" s="170">
        <v>45943</v>
      </c>
      <c r="M2675" s="116">
        <v>566.75</v>
      </c>
      <c r="N2675" s="116">
        <v>567.95000000000005</v>
      </c>
      <c r="O2675" s="116">
        <v>563</v>
      </c>
      <c r="P2675" s="116">
        <v>565.20000000000005</v>
      </c>
      <c r="Q2675" s="116">
        <v>566.75</v>
      </c>
      <c r="R2675">
        <v>1134328</v>
      </c>
    </row>
    <row r="2676" spans="1:18" x14ac:dyDescent="0.25">
      <c r="A2676" s="170">
        <v>45944</v>
      </c>
      <c r="B2676" s="116">
        <v>567.75</v>
      </c>
      <c r="C2676" s="116">
        <v>562.9</v>
      </c>
      <c r="D2676" s="116">
        <v>557.5</v>
      </c>
      <c r="E2676" s="116">
        <v>567</v>
      </c>
      <c r="F2676" s="116">
        <v>562.9</v>
      </c>
      <c r="G2676">
        <v>36841</v>
      </c>
      <c r="H2676" s="116"/>
      <c r="I2676" s="116"/>
      <c r="L2676" s="170">
        <v>45944</v>
      </c>
      <c r="M2676" s="116">
        <v>563.6</v>
      </c>
      <c r="N2676" s="116">
        <v>568.1</v>
      </c>
      <c r="O2676" s="116">
        <v>557.54999999999995</v>
      </c>
      <c r="P2676" s="116">
        <v>567.9</v>
      </c>
      <c r="Q2676" s="116">
        <v>563.6</v>
      </c>
      <c r="R2676">
        <v>975792</v>
      </c>
    </row>
    <row r="2677" spans="1:18" x14ac:dyDescent="0.25">
      <c r="A2677" s="170">
        <v>45945</v>
      </c>
      <c r="B2677" s="116">
        <v>568.85</v>
      </c>
      <c r="C2677" s="116">
        <v>566.79999999999995</v>
      </c>
      <c r="D2677" s="116">
        <v>563.5</v>
      </c>
      <c r="E2677" s="116">
        <v>563.5</v>
      </c>
      <c r="F2677" s="116">
        <v>566.79999999999995</v>
      </c>
      <c r="G2677">
        <v>18077</v>
      </c>
      <c r="H2677" s="116"/>
      <c r="I2677" s="116"/>
      <c r="L2677" s="170">
        <v>45945</v>
      </c>
      <c r="M2677" s="116">
        <v>567</v>
      </c>
      <c r="N2677" s="116">
        <v>569</v>
      </c>
      <c r="O2677" s="116">
        <v>563.35</v>
      </c>
      <c r="P2677" s="116">
        <v>563.35</v>
      </c>
      <c r="Q2677" s="116">
        <v>567</v>
      </c>
      <c r="R2677">
        <v>1377329</v>
      </c>
    </row>
    <row r="2678" spans="1:18" x14ac:dyDescent="0.25">
      <c r="A2678" s="170">
        <v>45946</v>
      </c>
      <c r="B2678" s="116">
        <v>573.45000000000005</v>
      </c>
      <c r="C2678" s="116">
        <v>569.5</v>
      </c>
      <c r="D2678" s="116">
        <v>566.6</v>
      </c>
      <c r="E2678" s="116">
        <v>568.1</v>
      </c>
      <c r="F2678" s="116">
        <v>569.5</v>
      </c>
      <c r="G2678">
        <v>31856</v>
      </c>
      <c r="H2678" s="116"/>
      <c r="I2678" s="116"/>
      <c r="L2678" s="170">
        <v>45946</v>
      </c>
      <c r="M2678" s="116">
        <v>569.70000000000005</v>
      </c>
      <c r="N2678" s="116">
        <v>573.45000000000005</v>
      </c>
      <c r="O2678" s="116">
        <v>566.54999999999995</v>
      </c>
      <c r="P2678" s="116">
        <v>569.5</v>
      </c>
      <c r="Q2678" s="116">
        <v>569.70000000000005</v>
      </c>
      <c r="R2678">
        <v>1111183</v>
      </c>
    </row>
    <row r="2679" spans="1:18" x14ac:dyDescent="0.25">
      <c r="A2679" s="170">
        <v>45947</v>
      </c>
      <c r="B2679" s="116">
        <v>571.45000000000005</v>
      </c>
      <c r="C2679" s="116">
        <v>563.5</v>
      </c>
      <c r="D2679" s="116">
        <v>562.4</v>
      </c>
      <c r="E2679" s="116">
        <v>571.45000000000005</v>
      </c>
      <c r="F2679" s="116">
        <v>563.5</v>
      </c>
      <c r="G2679">
        <v>17615</v>
      </c>
      <c r="H2679" s="116"/>
      <c r="I2679" s="116"/>
      <c r="L2679" s="170">
        <v>45947</v>
      </c>
      <c r="M2679" s="116">
        <v>563.6</v>
      </c>
      <c r="N2679" s="116">
        <v>569.70000000000005</v>
      </c>
      <c r="O2679" s="116">
        <v>562.29999999999995</v>
      </c>
      <c r="P2679" s="116">
        <v>569.70000000000005</v>
      </c>
      <c r="Q2679" s="116">
        <v>563.6</v>
      </c>
      <c r="R2679">
        <v>931716</v>
      </c>
    </row>
    <row r="2680" spans="1:18" x14ac:dyDescent="0.25">
      <c r="A2680" s="170">
        <v>45950</v>
      </c>
      <c r="B2680" s="116">
        <v>568.4</v>
      </c>
      <c r="C2680" s="116">
        <v>565.54999999999995</v>
      </c>
      <c r="D2680" s="116">
        <v>560.6</v>
      </c>
      <c r="E2680" s="116">
        <v>565.15</v>
      </c>
      <c r="F2680" s="116">
        <v>565.54999999999995</v>
      </c>
      <c r="G2680">
        <v>19242</v>
      </c>
      <c r="H2680" s="116"/>
      <c r="I2680" s="116"/>
      <c r="L2680" s="170">
        <v>45950</v>
      </c>
      <c r="M2680" s="116">
        <v>565.5</v>
      </c>
      <c r="N2680" s="116">
        <v>570</v>
      </c>
      <c r="O2680" s="116">
        <v>560.6</v>
      </c>
      <c r="P2680" s="116">
        <v>570</v>
      </c>
      <c r="Q2680" s="116">
        <v>565.5</v>
      </c>
      <c r="R2680">
        <v>950800</v>
      </c>
    </row>
    <row r="2681" spans="1:18" x14ac:dyDescent="0.25">
      <c r="A2681" s="170">
        <v>45951</v>
      </c>
      <c r="B2681" s="116">
        <v>569</v>
      </c>
      <c r="C2681" s="116">
        <v>567.75</v>
      </c>
      <c r="D2681" s="116">
        <v>565.6</v>
      </c>
      <c r="E2681" s="116">
        <v>565.6</v>
      </c>
      <c r="F2681" s="116">
        <v>567.75</v>
      </c>
      <c r="G2681">
        <v>15709</v>
      </c>
      <c r="H2681" s="116"/>
      <c r="I2681" s="116"/>
      <c r="L2681" s="170">
        <v>45951</v>
      </c>
      <c r="M2681" s="116">
        <v>567.5</v>
      </c>
      <c r="N2681" s="116">
        <v>569.20000000000005</v>
      </c>
      <c r="O2681" s="116">
        <v>565.70000000000005</v>
      </c>
      <c r="P2681" s="116">
        <v>569</v>
      </c>
      <c r="Q2681" s="116">
        <v>567.5</v>
      </c>
      <c r="R2681">
        <v>166817</v>
      </c>
    </row>
    <row r="2682" spans="1:18" x14ac:dyDescent="0.25">
      <c r="A2682" s="170">
        <v>45953</v>
      </c>
      <c r="B2682" s="116">
        <v>571.29999999999995</v>
      </c>
      <c r="C2682" s="116">
        <v>564.5</v>
      </c>
      <c r="D2682" s="116">
        <v>563</v>
      </c>
      <c r="E2682" s="116">
        <v>570.25</v>
      </c>
      <c r="F2682" s="116">
        <v>564.5</v>
      </c>
      <c r="G2682">
        <v>44220</v>
      </c>
      <c r="H2682" s="116"/>
      <c r="I2682" s="116"/>
      <c r="L2682" s="170">
        <v>45953</v>
      </c>
      <c r="M2682" s="116">
        <v>564.35</v>
      </c>
      <c r="N2682" s="116">
        <v>574.5</v>
      </c>
      <c r="O2682" s="116">
        <v>563</v>
      </c>
      <c r="P2682" s="116">
        <v>570.4</v>
      </c>
      <c r="Q2682" s="116">
        <v>564.35</v>
      </c>
      <c r="R2682">
        <v>2700038</v>
      </c>
    </row>
    <row r="2683" spans="1:18" x14ac:dyDescent="0.25">
      <c r="A2683" s="170">
        <v>45954</v>
      </c>
      <c r="B2683" s="116">
        <v>565.85</v>
      </c>
      <c r="C2683" s="116">
        <v>555.45000000000005</v>
      </c>
      <c r="D2683" s="116">
        <v>553.5</v>
      </c>
      <c r="E2683" s="116">
        <v>564.4</v>
      </c>
      <c r="F2683" s="116">
        <v>555.45000000000005</v>
      </c>
      <c r="G2683">
        <v>3427702</v>
      </c>
      <c r="H2683" s="116"/>
      <c r="I2683" s="116"/>
      <c r="L2683" s="170">
        <v>45954</v>
      </c>
      <c r="M2683" s="116">
        <v>555</v>
      </c>
      <c r="N2683" s="116">
        <v>566.6</v>
      </c>
      <c r="O2683" s="116">
        <v>552.85</v>
      </c>
      <c r="P2683" s="116">
        <v>565</v>
      </c>
      <c r="Q2683" s="116">
        <v>555</v>
      </c>
      <c r="R2683">
        <v>1704636</v>
      </c>
    </row>
    <row r="2684" spans="1:18" x14ac:dyDescent="0.25">
      <c r="A2684" s="170">
        <v>45957</v>
      </c>
      <c r="B2684" s="116">
        <v>561.95000000000005</v>
      </c>
      <c r="C2684" s="116">
        <v>559.95000000000005</v>
      </c>
      <c r="D2684" s="116">
        <v>552.20000000000005</v>
      </c>
      <c r="E2684" s="116">
        <v>556.1</v>
      </c>
      <c r="F2684" s="116">
        <v>559.95000000000005</v>
      </c>
      <c r="G2684">
        <v>134243</v>
      </c>
      <c r="H2684" s="116"/>
      <c r="I2684" s="116"/>
      <c r="L2684" s="170">
        <v>45957</v>
      </c>
      <c r="M2684" s="116">
        <v>560.25</v>
      </c>
      <c r="N2684" s="116">
        <v>561.9</v>
      </c>
      <c r="O2684" s="116">
        <v>552.25</v>
      </c>
      <c r="P2684" s="116">
        <v>557.1</v>
      </c>
      <c r="Q2684" s="116">
        <v>560.25</v>
      </c>
      <c r="R2684">
        <v>2124784</v>
      </c>
    </row>
    <row r="2685" spans="1:18" x14ac:dyDescent="0.25">
      <c r="A2685" s="170">
        <v>45958</v>
      </c>
      <c r="B2685" s="116">
        <v>564.25</v>
      </c>
      <c r="C2685" s="116">
        <v>554.95000000000005</v>
      </c>
      <c r="D2685" s="116">
        <v>553.20000000000005</v>
      </c>
      <c r="E2685" s="116">
        <v>564.25</v>
      </c>
      <c r="F2685" s="116">
        <v>554.95000000000005</v>
      </c>
      <c r="G2685">
        <v>184657</v>
      </c>
      <c r="H2685" s="116"/>
      <c r="I2685" s="116"/>
      <c r="L2685" s="170">
        <v>45958</v>
      </c>
      <c r="M2685" s="116">
        <v>554.9</v>
      </c>
      <c r="N2685" s="116">
        <v>563.25</v>
      </c>
      <c r="O2685" s="116">
        <v>553</v>
      </c>
      <c r="P2685" s="116">
        <v>563</v>
      </c>
      <c r="Q2685" s="116">
        <v>554.9</v>
      </c>
      <c r="R2685">
        <v>1487028</v>
      </c>
    </row>
    <row r="2686" spans="1:18" x14ac:dyDescent="0.25">
      <c r="A2686" s="170">
        <v>45959</v>
      </c>
      <c r="B2686" s="116">
        <v>574.70000000000005</v>
      </c>
      <c r="C2686" s="116">
        <v>571.29999999999995</v>
      </c>
      <c r="D2686" s="116">
        <v>554.6</v>
      </c>
      <c r="E2686" s="116">
        <v>556.04999999999995</v>
      </c>
      <c r="F2686" s="116">
        <v>571.29999999999995</v>
      </c>
      <c r="G2686">
        <v>164131</v>
      </c>
      <c r="H2686" s="116"/>
      <c r="I2686" s="116"/>
      <c r="L2686" s="170">
        <v>45959</v>
      </c>
      <c r="M2686" s="116">
        <v>571.75</v>
      </c>
      <c r="N2686" s="116">
        <v>575</v>
      </c>
      <c r="O2686" s="116">
        <v>555</v>
      </c>
      <c r="P2686" s="116">
        <v>555</v>
      </c>
      <c r="Q2686" s="116">
        <v>571.75</v>
      </c>
      <c r="R2686">
        <v>3787089</v>
      </c>
    </row>
    <row r="2687" spans="1:18" x14ac:dyDescent="0.25">
      <c r="A2687" s="170">
        <v>45960</v>
      </c>
      <c r="B2687" s="116">
        <v>573.4</v>
      </c>
      <c r="C2687" s="116">
        <v>568.20000000000005</v>
      </c>
      <c r="D2687" s="116">
        <v>565</v>
      </c>
      <c r="E2687" s="116">
        <v>573.20000000000005</v>
      </c>
      <c r="F2687" s="116">
        <v>568.20000000000005</v>
      </c>
      <c r="G2687">
        <v>45821</v>
      </c>
      <c r="H2687" s="116"/>
      <c r="I2687" s="116"/>
      <c r="L2687" s="170">
        <v>45960</v>
      </c>
      <c r="M2687" s="116">
        <v>567.9</v>
      </c>
      <c r="N2687" s="116">
        <v>574.25</v>
      </c>
      <c r="O2687" s="116">
        <v>565</v>
      </c>
      <c r="P2687" s="116">
        <v>574</v>
      </c>
      <c r="Q2687" s="116">
        <v>567.9</v>
      </c>
      <c r="R2687">
        <v>928349</v>
      </c>
    </row>
    <row r="2688" spans="1:18" x14ac:dyDescent="0.25">
      <c r="A2688" s="170">
        <v>45961</v>
      </c>
      <c r="B2688" s="116">
        <v>571.15</v>
      </c>
      <c r="C2688" s="116">
        <v>565.25</v>
      </c>
      <c r="D2688" s="116">
        <v>563.29999999999995</v>
      </c>
      <c r="E2688" s="116">
        <v>565.54999999999995</v>
      </c>
      <c r="F2688" s="116">
        <v>565.25</v>
      </c>
      <c r="G2688">
        <v>45111</v>
      </c>
      <c r="H2688" s="116"/>
      <c r="I2688" s="116"/>
      <c r="L2688" s="170">
        <v>45961</v>
      </c>
      <c r="M2688" s="116">
        <v>565.4</v>
      </c>
      <c r="N2688" s="116">
        <v>571.25</v>
      </c>
      <c r="O2688" s="116">
        <v>563.25</v>
      </c>
      <c r="P2688" s="116">
        <v>567.9</v>
      </c>
      <c r="Q2688" s="116">
        <v>565.4</v>
      </c>
      <c r="R2688">
        <v>1161448</v>
      </c>
    </row>
    <row r="2689" spans="1:18" x14ac:dyDescent="0.25">
      <c r="A2689" s="170">
        <v>45964</v>
      </c>
      <c r="B2689" s="116">
        <v>582.70000000000005</v>
      </c>
      <c r="C2689" s="116">
        <v>577.35</v>
      </c>
      <c r="D2689" s="116">
        <v>566.95000000000005</v>
      </c>
      <c r="E2689" s="116">
        <v>567.35</v>
      </c>
      <c r="F2689" s="116">
        <v>577.35</v>
      </c>
      <c r="G2689">
        <v>264960</v>
      </c>
      <c r="H2689" s="116"/>
      <c r="I2689" s="116"/>
      <c r="L2689" s="170">
        <v>45964</v>
      </c>
      <c r="M2689" s="116">
        <v>577.20000000000005</v>
      </c>
      <c r="N2689" s="116">
        <v>582.75</v>
      </c>
      <c r="O2689" s="116">
        <v>566.70000000000005</v>
      </c>
      <c r="P2689" s="116">
        <v>568.35</v>
      </c>
      <c r="Q2689" s="116">
        <v>577.20000000000005</v>
      </c>
      <c r="R2689">
        <v>6022756</v>
      </c>
    </row>
    <row r="2690" spans="1:18" x14ac:dyDescent="0.25">
      <c r="A2690" s="170">
        <v>45965</v>
      </c>
      <c r="B2690" s="116">
        <v>588.54999999999995</v>
      </c>
      <c r="C2690" s="116">
        <v>567.29999999999995</v>
      </c>
      <c r="D2690" s="116">
        <v>566</v>
      </c>
      <c r="E2690" s="116">
        <v>583.75</v>
      </c>
      <c r="F2690" s="116">
        <v>567.29999999999995</v>
      </c>
      <c r="G2690">
        <v>279939</v>
      </c>
      <c r="H2690" s="116"/>
      <c r="I2690" s="116"/>
      <c r="L2690" s="170">
        <v>45965</v>
      </c>
      <c r="M2690" s="116">
        <v>567.4</v>
      </c>
      <c r="N2690" s="116">
        <v>588.75</v>
      </c>
      <c r="O2690" s="116">
        <v>565.9</v>
      </c>
      <c r="P2690" s="116">
        <v>582.79999999999995</v>
      </c>
      <c r="Q2690" s="116">
        <v>567.4</v>
      </c>
      <c r="R2690">
        <v>4438364</v>
      </c>
    </row>
    <row r="2691" spans="1:18" x14ac:dyDescent="0.25">
      <c r="A2691" s="170">
        <v>45967</v>
      </c>
      <c r="B2691" s="116">
        <v>568.6</v>
      </c>
      <c r="C2691" s="116">
        <v>558.70000000000005</v>
      </c>
      <c r="D2691" s="116">
        <v>557.15</v>
      </c>
      <c r="E2691" s="116">
        <v>568.54999999999995</v>
      </c>
      <c r="F2691" s="116">
        <v>558.70000000000005</v>
      </c>
      <c r="G2691">
        <v>53973</v>
      </c>
      <c r="H2691" s="116"/>
      <c r="I2691" s="116"/>
      <c r="L2691" s="170">
        <v>45967</v>
      </c>
      <c r="M2691" s="116">
        <v>558.4</v>
      </c>
      <c r="N2691" s="116">
        <v>569.35</v>
      </c>
      <c r="O2691" s="116">
        <v>557.1</v>
      </c>
      <c r="P2691" s="116">
        <v>567.54999999999995</v>
      </c>
      <c r="Q2691" s="116">
        <v>558.4</v>
      </c>
      <c r="R2691">
        <v>1388630</v>
      </c>
    </row>
    <row r="2692" spans="1:18" x14ac:dyDescent="0.25">
      <c r="A2692" s="170">
        <v>45968</v>
      </c>
      <c r="B2692" s="116">
        <v>564.15</v>
      </c>
      <c r="C2692" s="116">
        <v>558.75</v>
      </c>
      <c r="D2692" s="116">
        <v>550.6</v>
      </c>
      <c r="E2692" s="116">
        <v>558.70000000000005</v>
      </c>
      <c r="F2692" s="116">
        <v>558.75</v>
      </c>
      <c r="G2692">
        <v>84501</v>
      </c>
      <c r="H2692" s="116"/>
      <c r="I2692" s="116"/>
      <c r="L2692" s="170">
        <v>45968</v>
      </c>
      <c r="M2692" s="116">
        <v>558.79999999999995</v>
      </c>
      <c r="N2692" s="116">
        <v>563.95000000000005</v>
      </c>
      <c r="O2692" s="116">
        <v>550.54999999999995</v>
      </c>
      <c r="P2692" s="116">
        <v>558.5</v>
      </c>
      <c r="Q2692" s="116">
        <v>558.79999999999995</v>
      </c>
      <c r="R2692">
        <v>1593499</v>
      </c>
    </row>
    <row r="2693" spans="1:18" x14ac:dyDescent="0.25">
      <c r="A2693" s="170">
        <v>45971</v>
      </c>
      <c r="B2693" s="116">
        <v>563</v>
      </c>
      <c r="C2693" s="116">
        <v>556.1</v>
      </c>
      <c r="D2693" s="116">
        <v>555</v>
      </c>
      <c r="E2693" s="116">
        <v>555.85</v>
      </c>
      <c r="F2693" s="116">
        <v>556.1</v>
      </c>
      <c r="G2693">
        <v>20696</v>
      </c>
      <c r="H2693" s="116"/>
      <c r="I2693" s="116"/>
      <c r="L2693" s="170">
        <v>45971</v>
      </c>
      <c r="M2693" s="116">
        <v>556.1</v>
      </c>
      <c r="N2693" s="116">
        <v>563</v>
      </c>
      <c r="O2693" s="116">
        <v>555.04999999999995</v>
      </c>
      <c r="P2693" s="116">
        <v>558.95000000000005</v>
      </c>
      <c r="Q2693" s="116">
        <v>556.1</v>
      </c>
      <c r="R2693">
        <v>916236</v>
      </c>
    </row>
    <row r="2694" spans="1:18" x14ac:dyDescent="0.25">
      <c r="A2694" s="170">
        <v>45972</v>
      </c>
      <c r="B2694" s="116">
        <v>561</v>
      </c>
      <c r="C2694" s="116">
        <v>557.6</v>
      </c>
      <c r="D2694" s="116">
        <v>552.04999999999995</v>
      </c>
      <c r="E2694" s="116">
        <v>556.4</v>
      </c>
      <c r="F2694" s="116">
        <v>557.6</v>
      </c>
      <c r="G2694">
        <v>68569</v>
      </c>
      <c r="H2694" s="116"/>
      <c r="I2694" s="116"/>
      <c r="L2694" s="170">
        <v>45972</v>
      </c>
      <c r="M2694" s="116">
        <v>557.54999999999995</v>
      </c>
      <c r="N2694" s="116">
        <v>561.1</v>
      </c>
      <c r="O2694" s="116">
        <v>552.15</v>
      </c>
      <c r="P2694" s="116">
        <v>558</v>
      </c>
      <c r="Q2694" s="116">
        <v>557.54999999999995</v>
      </c>
      <c r="R2694">
        <v>1177397</v>
      </c>
    </row>
    <row r="2695" spans="1:18" x14ac:dyDescent="0.25">
      <c r="A2695" s="170">
        <v>45973</v>
      </c>
      <c r="B2695" s="116">
        <v>569.9</v>
      </c>
      <c r="C2695" s="116">
        <v>562.4</v>
      </c>
      <c r="D2695" s="116">
        <v>557.6</v>
      </c>
      <c r="E2695" s="116">
        <v>558.1</v>
      </c>
      <c r="F2695" s="116">
        <v>562.4</v>
      </c>
      <c r="G2695">
        <v>72659</v>
      </c>
      <c r="H2695" s="116"/>
      <c r="I2695" s="116"/>
      <c r="L2695" s="170">
        <v>45973</v>
      </c>
      <c r="M2695" s="116">
        <v>562.54999999999995</v>
      </c>
      <c r="N2695" s="116">
        <v>570.04999999999995</v>
      </c>
      <c r="O2695" s="116">
        <v>557.15</v>
      </c>
      <c r="P2695" s="116">
        <v>560</v>
      </c>
      <c r="Q2695" s="116">
        <v>562.54999999999995</v>
      </c>
      <c r="R2695">
        <v>1748539</v>
      </c>
    </row>
    <row r="2696" spans="1:18" x14ac:dyDescent="0.25">
      <c r="A2696" s="170">
        <v>45974</v>
      </c>
      <c r="B2696" s="116">
        <v>566.35</v>
      </c>
      <c r="C2696" s="116">
        <v>559.25</v>
      </c>
      <c r="D2696" s="116">
        <v>558.15</v>
      </c>
      <c r="E2696" s="116">
        <v>563.79999999999995</v>
      </c>
      <c r="F2696" s="116">
        <v>559.25</v>
      </c>
      <c r="G2696">
        <v>23753</v>
      </c>
      <c r="H2696" s="116"/>
      <c r="I2696" s="116"/>
      <c r="L2696" s="170">
        <v>45974</v>
      </c>
      <c r="M2696" s="116">
        <v>559.35</v>
      </c>
      <c r="N2696" s="116">
        <v>566.20000000000005</v>
      </c>
      <c r="O2696" s="116">
        <v>558.5</v>
      </c>
      <c r="P2696" s="116">
        <v>564.5</v>
      </c>
      <c r="Q2696" s="116">
        <v>559.35</v>
      </c>
      <c r="R2696">
        <v>685786</v>
      </c>
    </row>
    <row r="2697" spans="1:18" x14ac:dyDescent="0.25">
      <c r="A2697" s="170">
        <v>45975</v>
      </c>
      <c r="B2697" s="116">
        <v>564.79999999999995</v>
      </c>
      <c r="C2697" s="116">
        <v>563.15</v>
      </c>
      <c r="D2697" s="116">
        <v>558.5</v>
      </c>
      <c r="E2697" s="116">
        <v>558.5</v>
      </c>
      <c r="F2697" s="116">
        <v>563.15</v>
      </c>
      <c r="G2697">
        <v>31764</v>
      </c>
      <c r="H2697" s="116"/>
      <c r="I2697" s="116"/>
      <c r="L2697" s="170">
        <v>45975</v>
      </c>
      <c r="M2697" s="116">
        <v>563.20000000000005</v>
      </c>
      <c r="N2697" s="116">
        <v>564.79999999999995</v>
      </c>
      <c r="O2697" s="116">
        <v>558.70000000000005</v>
      </c>
      <c r="P2697" s="116">
        <v>562.5</v>
      </c>
      <c r="Q2697" s="116">
        <v>563.20000000000005</v>
      </c>
      <c r="R2697">
        <v>1082167</v>
      </c>
    </row>
    <row r="2698" spans="1:18" x14ac:dyDescent="0.25">
      <c r="A2698" s="170">
        <v>45978</v>
      </c>
      <c r="B2698" s="116">
        <v>565.35</v>
      </c>
      <c r="C2698" s="116">
        <v>560.45000000000005</v>
      </c>
      <c r="D2698" s="116">
        <v>559.20000000000005</v>
      </c>
      <c r="E2698" s="116">
        <v>563.70000000000005</v>
      </c>
      <c r="F2698" s="116">
        <v>560.45000000000005</v>
      </c>
      <c r="G2698">
        <v>13906</v>
      </c>
      <c r="H2698" s="116"/>
      <c r="I2698" s="116"/>
      <c r="L2698" s="170">
        <v>45978</v>
      </c>
      <c r="M2698" s="116">
        <v>560.29999999999995</v>
      </c>
      <c r="N2698" s="116">
        <v>565.4</v>
      </c>
      <c r="O2698" s="116">
        <v>559.25</v>
      </c>
      <c r="P2698" s="116">
        <v>564.70000000000005</v>
      </c>
      <c r="Q2698" s="116">
        <v>560.29999999999995</v>
      </c>
      <c r="R2698">
        <v>618154</v>
      </c>
    </row>
    <row r="2699" spans="1:18" x14ac:dyDescent="0.25">
      <c r="A2699" s="170">
        <v>45979</v>
      </c>
      <c r="B2699" s="116">
        <v>564</v>
      </c>
      <c r="C2699" s="116">
        <v>557.65</v>
      </c>
      <c r="D2699" s="116">
        <v>557</v>
      </c>
      <c r="E2699" s="116">
        <v>560.4</v>
      </c>
      <c r="F2699" s="116">
        <v>557.65</v>
      </c>
      <c r="G2699">
        <v>39592</v>
      </c>
      <c r="H2699" s="116"/>
      <c r="I2699" s="116"/>
      <c r="L2699" s="170">
        <v>45979</v>
      </c>
      <c r="M2699" s="116">
        <v>557.79999999999995</v>
      </c>
      <c r="N2699" s="116">
        <v>568</v>
      </c>
      <c r="O2699" s="116">
        <v>556.75</v>
      </c>
      <c r="P2699" s="116">
        <v>568</v>
      </c>
      <c r="Q2699" s="116">
        <v>557.79999999999995</v>
      </c>
      <c r="R2699">
        <v>904843</v>
      </c>
    </row>
    <row r="2700" spans="1:18" x14ac:dyDescent="0.25">
      <c r="A2700" s="170">
        <v>45980</v>
      </c>
      <c r="B2700" s="116">
        <v>561.1</v>
      </c>
      <c r="C2700" s="116">
        <v>555.20000000000005</v>
      </c>
      <c r="D2700" s="116">
        <v>554.6</v>
      </c>
      <c r="E2700" s="116">
        <v>557.15</v>
      </c>
      <c r="F2700" s="116">
        <v>555.20000000000005</v>
      </c>
      <c r="G2700">
        <v>12719</v>
      </c>
      <c r="H2700" s="116"/>
      <c r="I2700" s="116"/>
      <c r="L2700" s="170">
        <v>45980</v>
      </c>
      <c r="M2700" s="116">
        <v>555.29999999999995</v>
      </c>
      <c r="N2700" s="116">
        <v>561</v>
      </c>
      <c r="O2700" s="116">
        <v>554.5</v>
      </c>
      <c r="P2700" s="116">
        <v>557.4</v>
      </c>
      <c r="Q2700" s="116">
        <v>555.29999999999995</v>
      </c>
      <c r="R2700">
        <v>847533</v>
      </c>
    </row>
    <row r="2701" spans="1:18" x14ac:dyDescent="0.25">
      <c r="A2701" s="170">
        <v>45981</v>
      </c>
      <c r="B2701" s="116">
        <v>563.6</v>
      </c>
      <c r="C2701" s="116">
        <v>555.75</v>
      </c>
      <c r="D2701" s="116">
        <v>555</v>
      </c>
      <c r="E2701" s="116">
        <v>563.6</v>
      </c>
      <c r="F2701" s="116">
        <v>555.75</v>
      </c>
      <c r="G2701">
        <v>38747</v>
      </c>
      <c r="H2701" s="116"/>
      <c r="I2701" s="116"/>
      <c r="L2701" s="170">
        <v>45981</v>
      </c>
      <c r="M2701" s="116">
        <v>555.75</v>
      </c>
      <c r="N2701" s="116">
        <v>562</v>
      </c>
      <c r="O2701" s="116">
        <v>555</v>
      </c>
      <c r="P2701" s="116">
        <v>562</v>
      </c>
      <c r="Q2701" s="116">
        <v>555.75</v>
      </c>
      <c r="R2701">
        <v>1248817</v>
      </c>
    </row>
    <row r="2702" spans="1:18" x14ac:dyDescent="0.25">
      <c r="A2702" s="170">
        <v>45982</v>
      </c>
      <c r="B2702" s="116">
        <v>556.54999999999995</v>
      </c>
      <c r="C2702" s="116">
        <v>547.5</v>
      </c>
      <c r="D2702" s="116">
        <v>545.1</v>
      </c>
      <c r="E2702" s="116">
        <v>554.5</v>
      </c>
      <c r="F2702" s="116">
        <v>547.5</v>
      </c>
      <c r="G2702">
        <v>75277</v>
      </c>
      <c r="H2702" s="116"/>
      <c r="I2702" s="116"/>
      <c r="L2702" s="170">
        <v>45982</v>
      </c>
      <c r="M2702" s="116">
        <v>547.54999999999995</v>
      </c>
      <c r="N2702" s="116">
        <v>556.04999999999995</v>
      </c>
      <c r="O2702" s="116">
        <v>545</v>
      </c>
      <c r="P2702" s="116">
        <v>555.75</v>
      </c>
      <c r="Q2702" s="116">
        <v>547.54999999999995</v>
      </c>
      <c r="R2702">
        <v>1961101</v>
      </c>
    </row>
    <row r="2703" spans="1:18" x14ac:dyDescent="0.25">
      <c r="A2703" s="170">
        <v>45985</v>
      </c>
      <c r="B2703" s="116">
        <v>549.35</v>
      </c>
      <c r="C2703" s="116">
        <v>545.35</v>
      </c>
      <c r="D2703" s="116">
        <v>542.1</v>
      </c>
      <c r="E2703" s="116">
        <v>547.85</v>
      </c>
      <c r="F2703" s="116">
        <v>545.35</v>
      </c>
      <c r="G2703">
        <v>38752</v>
      </c>
      <c r="H2703" s="116"/>
      <c r="I2703" s="116"/>
      <c r="L2703" s="170">
        <v>45985</v>
      </c>
      <c r="M2703" s="116">
        <v>544.6</v>
      </c>
      <c r="N2703" s="116">
        <v>549.5</v>
      </c>
      <c r="O2703" s="116">
        <v>542.04999999999995</v>
      </c>
      <c r="P2703" s="116">
        <v>548.85</v>
      </c>
      <c r="Q2703" s="116">
        <v>544.6</v>
      </c>
      <c r="R2703">
        <v>2247682</v>
      </c>
    </row>
    <row r="2704" spans="1:18" x14ac:dyDescent="0.25">
      <c r="A2704" s="170">
        <v>45986</v>
      </c>
      <c r="B2704" s="116">
        <v>547.9</v>
      </c>
      <c r="C2704" s="116">
        <v>545.75</v>
      </c>
      <c r="D2704" s="116">
        <v>543.75</v>
      </c>
      <c r="E2704" s="116">
        <v>545.54999999999995</v>
      </c>
      <c r="F2704" s="116">
        <v>545.75</v>
      </c>
      <c r="G2704">
        <v>57923</v>
      </c>
      <c r="H2704" s="116"/>
      <c r="I2704" s="116"/>
      <c r="L2704" s="170">
        <v>45986</v>
      </c>
      <c r="M2704" s="116">
        <v>545.85</v>
      </c>
      <c r="N2704" s="116">
        <v>548.35</v>
      </c>
      <c r="O2704" s="116">
        <v>543.6</v>
      </c>
      <c r="P2704" s="116">
        <v>547.1</v>
      </c>
      <c r="Q2704" s="116">
        <v>545.85</v>
      </c>
      <c r="R2704">
        <v>693469</v>
      </c>
    </row>
    <row r="2705" spans="1:18" x14ac:dyDescent="0.25">
      <c r="A2705" s="170">
        <v>45987</v>
      </c>
      <c r="B2705" s="116">
        <v>552.15</v>
      </c>
      <c r="C2705" s="116">
        <v>550.20000000000005</v>
      </c>
      <c r="D2705" s="116">
        <v>544.29999999999995</v>
      </c>
      <c r="E2705" s="116">
        <v>546.5</v>
      </c>
      <c r="F2705" s="116">
        <v>550.20000000000005</v>
      </c>
      <c r="G2705">
        <v>23284</v>
      </c>
      <c r="H2705" s="116"/>
      <c r="I2705" s="116"/>
      <c r="L2705" s="170">
        <v>45987</v>
      </c>
      <c r="M2705" s="116">
        <v>550</v>
      </c>
      <c r="N2705" s="116">
        <v>552</v>
      </c>
      <c r="O2705" s="116">
        <v>544.54999999999995</v>
      </c>
      <c r="P2705" s="116">
        <v>546.5</v>
      </c>
      <c r="Q2705" s="116">
        <v>550</v>
      </c>
      <c r="R2705">
        <v>948636</v>
      </c>
    </row>
    <row r="2706" spans="1:18" x14ac:dyDescent="0.25">
      <c r="A2706" s="170">
        <v>45988</v>
      </c>
      <c r="B2706" s="116">
        <v>553.15</v>
      </c>
      <c r="C2706" s="116">
        <v>548.4</v>
      </c>
      <c r="D2706" s="116">
        <v>546.79999999999995</v>
      </c>
      <c r="E2706" s="116">
        <v>550.95000000000005</v>
      </c>
      <c r="F2706" s="116">
        <v>548.4</v>
      </c>
      <c r="G2706">
        <v>27516</v>
      </c>
      <c r="H2706" s="116"/>
      <c r="I2706" s="116"/>
      <c r="L2706" s="170">
        <v>45988</v>
      </c>
      <c r="M2706" s="116">
        <v>548.70000000000005</v>
      </c>
      <c r="N2706" s="116">
        <v>553.29999999999995</v>
      </c>
      <c r="O2706" s="116">
        <v>547</v>
      </c>
      <c r="P2706" s="116">
        <v>552.45000000000005</v>
      </c>
      <c r="Q2706" s="116">
        <v>548.70000000000005</v>
      </c>
      <c r="R2706">
        <v>481061</v>
      </c>
    </row>
    <row r="2707" spans="1:18" x14ac:dyDescent="0.25">
      <c r="A2707" s="170">
        <v>45989</v>
      </c>
      <c r="B2707" s="116">
        <v>551.75</v>
      </c>
      <c r="C2707" s="116">
        <v>549.95000000000005</v>
      </c>
      <c r="D2707" s="116">
        <v>546.04999999999995</v>
      </c>
      <c r="E2707" s="116">
        <v>548.4</v>
      </c>
      <c r="F2707" s="116">
        <v>549.95000000000005</v>
      </c>
      <c r="G2707">
        <v>16890</v>
      </c>
      <c r="H2707" s="116"/>
      <c r="I2707" s="116"/>
      <c r="L2707" s="170">
        <v>45989</v>
      </c>
      <c r="M2707" s="116">
        <v>550.20000000000005</v>
      </c>
      <c r="N2707" s="116">
        <v>551.85</v>
      </c>
      <c r="O2707" s="116">
        <v>546.15</v>
      </c>
      <c r="P2707" s="116">
        <v>549.29999999999995</v>
      </c>
      <c r="Q2707" s="116">
        <v>550.20000000000005</v>
      </c>
      <c r="R2707">
        <v>602009</v>
      </c>
    </row>
    <row r="2708" spans="1:18" x14ac:dyDescent="0.25">
      <c r="A2708" s="170">
        <v>45992</v>
      </c>
      <c r="B2708" s="116">
        <v>551.9</v>
      </c>
      <c r="C2708" s="116">
        <v>543.29999999999995</v>
      </c>
      <c r="D2708" s="116">
        <v>542.85</v>
      </c>
      <c r="E2708" s="116">
        <v>550.35</v>
      </c>
      <c r="F2708" s="116">
        <v>543.29999999999995</v>
      </c>
      <c r="G2708">
        <v>19808</v>
      </c>
      <c r="H2708" s="116"/>
      <c r="I2708" s="116"/>
      <c r="L2708" s="170">
        <v>45992</v>
      </c>
      <c r="M2708" s="116">
        <v>543.35</v>
      </c>
      <c r="N2708" s="116">
        <v>551.79999999999995</v>
      </c>
      <c r="O2708" s="116">
        <v>542.9</v>
      </c>
      <c r="P2708" s="116">
        <v>551.4</v>
      </c>
      <c r="Q2708" s="116">
        <v>543.35</v>
      </c>
      <c r="R2708">
        <v>766104</v>
      </c>
    </row>
    <row r="2709" spans="1:18" x14ac:dyDescent="0.25">
      <c r="A2709" s="170">
        <v>45993</v>
      </c>
      <c r="B2709">
        <v>546.9</v>
      </c>
      <c r="C2709">
        <v>542.95000000000005</v>
      </c>
      <c r="D2709">
        <v>541.1</v>
      </c>
      <c r="E2709">
        <v>546.15</v>
      </c>
      <c r="F2709">
        <v>542.95000000000005</v>
      </c>
      <c r="G2709">
        <v>25491</v>
      </c>
      <c r="H2709" s="116"/>
      <c r="I2709" s="116"/>
      <c r="L2709" s="170">
        <v>45993</v>
      </c>
      <c r="M2709" s="116">
        <v>543</v>
      </c>
      <c r="N2709" s="116">
        <v>547</v>
      </c>
      <c r="O2709" s="116">
        <v>541</v>
      </c>
      <c r="P2709" s="116">
        <v>544.95000000000005</v>
      </c>
      <c r="Q2709" s="116">
        <v>543</v>
      </c>
      <c r="R2709">
        <v>1754719</v>
      </c>
    </row>
    <row r="2710" spans="1:18" x14ac:dyDescent="0.25">
      <c r="A2710" s="170">
        <v>45994</v>
      </c>
      <c r="B2710">
        <v>545.70000000000005</v>
      </c>
      <c r="C2710">
        <v>535.65</v>
      </c>
      <c r="D2710">
        <v>534.04999999999995</v>
      </c>
      <c r="E2710">
        <v>545.5</v>
      </c>
      <c r="F2710">
        <v>535.65</v>
      </c>
      <c r="G2710">
        <v>22005</v>
      </c>
      <c r="H2710" s="116"/>
      <c r="I2710" s="116"/>
      <c r="L2710" s="170">
        <v>45994</v>
      </c>
      <c r="M2710" s="116">
        <v>535.35</v>
      </c>
      <c r="N2710" s="116">
        <v>546.9</v>
      </c>
      <c r="O2710" s="116">
        <v>533.65</v>
      </c>
      <c r="P2710" s="116">
        <v>546.9</v>
      </c>
      <c r="Q2710" s="116">
        <v>535.35</v>
      </c>
      <c r="R2710">
        <v>2219149</v>
      </c>
    </row>
    <row r="2711" spans="1:18" x14ac:dyDescent="0.25">
      <c r="A2711" s="170">
        <v>45995</v>
      </c>
      <c r="B2711">
        <v>543.5</v>
      </c>
      <c r="C2711">
        <v>536.75</v>
      </c>
      <c r="D2711">
        <v>527.35</v>
      </c>
      <c r="E2711">
        <v>537</v>
      </c>
      <c r="F2711">
        <v>536.75</v>
      </c>
      <c r="G2711">
        <v>180392</v>
      </c>
      <c r="H2711" s="116"/>
      <c r="I2711" s="116"/>
      <c r="L2711" s="170">
        <v>45995</v>
      </c>
      <c r="M2711" s="116">
        <v>536.9</v>
      </c>
      <c r="N2711" s="116">
        <v>543.5</v>
      </c>
      <c r="O2711" s="116">
        <v>527.6</v>
      </c>
      <c r="P2711" s="116">
        <v>535.6</v>
      </c>
      <c r="Q2711" s="116">
        <v>536.9</v>
      </c>
      <c r="R2711">
        <v>2474836</v>
      </c>
    </row>
    <row r="2712" spans="1:18" x14ac:dyDescent="0.25">
      <c r="A2712" s="170">
        <v>45996</v>
      </c>
      <c r="B2712">
        <v>537.35</v>
      </c>
      <c r="C2712">
        <v>533.85</v>
      </c>
      <c r="D2712">
        <v>532</v>
      </c>
      <c r="E2712">
        <v>536.45000000000005</v>
      </c>
      <c r="F2712">
        <v>533.85</v>
      </c>
      <c r="G2712">
        <v>21462</v>
      </c>
      <c r="H2712" s="116"/>
      <c r="I2712" s="116"/>
      <c r="L2712" s="170">
        <v>45996</v>
      </c>
      <c r="M2712" s="116">
        <v>533.79999999999995</v>
      </c>
      <c r="N2712" s="116">
        <v>537.5</v>
      </c>
      <c r="O2712" s="116">
        <v>531.79999999999995</v>
      </c>
      <c r="P2712" s="116">
        <v>536.9</v>
      </c>
      <c r="Q2712" s="116">
        <v>533.79999999999995</v>
      </c>
      <c r="R2712">
        <v>1243514</v>
      </c>
    </row>
    <row r="2713" spans="1:18" x14ac:dyDescent="0.25">
      <c r="A2713" s="170">
        <v>45999</v>
      </c>
      <c r="B2713">
        <v>540.29999999999995</v>
      </c>
      <c r="C2713">
        <v>529.25</v>
      </c>
      <c r="D2713">
        <v>526.75</v>
      </c>
      <c r="E2713">
        <v>534.15</v>
      </c>
      <c r="F2713">
        <v>529.25</v>
      </c>
      <c r="G2713">
        <v>61583</v>
      </c>
      <c r="H2713" s="116"/>
      <c r="I2713" s="116"/>
      <c r="L2713" s="170">
        <v>45999</v>
      </c>
      <c r="M2713" s="116">
        <v>528.95000000000005</v>
      </c>
      <c r="N2713" s="116">
        <v>540.54999999999995</v>
      </c>
      <c r="O2713" s="116">
        <v>526.54999999999995</v>
      </c>
      <c r="P2713" s="116">
        <v>534.70000000000005</v>
      </c>
      <c r="Q2713" s="116">
        <v>528.95000000000005</v>
      </c>
      <c r="R2713">
        <v>1893815</v>
      </c>
    </row>
    <row r="2714" spans="1:18" x14ac:dyDescent="0.25">
      <c r="A2714" s="170">
        <v>46000</v>
      </c>
      <c r="B2714">
        <v>534.75</v>
      </c>
      <c r="C2714">
        <v>533</v>
      </c>
      <c r="D2714">
        <v>523.29999999999995</v>
      </c>
      <c r="E2714">
        <v>528.75</v>
      </c>
      <c r="F2714">
        <v>533</v>
      </c>
      <c r="G2714">
        <v>114177</v>
      </c>
      <c r="H2714" s="116"/>
      <c r="I2714" s="116"/>
      <c r="L2714" s="170">
        <v>46000</v>
      </c>
      <c r="M2714" s="116">
        <v>533.04999999999995</v>
      </c>
      <c r="N2714" s="116">
        <v>534.5</v>
      </c>
      <c r="O2714" s="116">
        <v>523.4</v>
      </c>
      <c r="P2714" s="116">
        <v>528.1</v>
      </c>
      <c r="Q2714" s="116">
        <v>533.04999999999995</v>
      </c>
      <c r="R2714">
        <v>2139922</v>
      </c>
    </row>
    <row r="2715" spans="1:18" x14ac:dyDescent="0.25">
      <c r="A2715" s="170">
        <v>46001</v>
      </c>
      <c r="B2715">
        <v>536.25</v>
      </c>
      <c r="C2715">
        <v>529.65</v>
      </c>
      <c r="D2715">
        <v>528.6</v>
      </c>
      <c r="E2715">
        <v>530.54999999999995</v>
      </c>
      <c r="F2715">
        <v>529.65</v>
      </c>
      <c r="G2715">
        <v>18160</v>
      </c>
      <c r="H2715" s="116"/>
      <c r="I2715" s="116"/>
      <c r="L2715" s="170">
        <v>46001</v>
      </c>
      <c r="M2715" s="116">
        <v>529.70000000000005</v>
      </c>
      <c r="N2715" s="116">
        <v>536.5</v>
      </c>
      <c r="O2715" s="116">
        <v>528.65</v>
      </c>
      <c r="P2715" s="116">
        <v>533.04999999999995</v>
      </c>
      <c r="Q2715" s="116">
        <v>529.70000000000005</v>
      </c>
      <c r="R2715">
        <v>904955</v>
      </c>
    </row>
    <row r="2716" spans="1:18" x14ac:dyDescent="0.25">
      <c r="A2716" s="170">
        <v>46002</v>
      </c>
      <c r="B2716">
        <v>537.15</v>
      </c>
      <c r="C2716">
        <v>536.25</v>
      </c>
      <c r="D2716">
        <v>525.5</v>
      </c>
      <c r="E2716">
        <v>529.70000000000005</v>
      </c>
      <c r="F2716">
        <v>536.25</v>
      </c>
      <c r="G2716">
        <v>22089</v>
      </c>
      <c r="H2716" s="116"/>
      <c r="I2716" s="116"/>
      <c r="L2716" s="170">
        <v>46002</v>
      </c>
      <c r="M2716" s="116">
        <v>536.1</v>
      </c>
      <c r="N2716" s="116">
        <v>537.35</v>
      </c>
      <c r="O2716" s="116">
        <v>525.45000000000005</v>
      </c>
      <c r="P2716" s="116">
        <v>529.65</v>
      </c>
      <c r="Q2716" s="116">
        <v>536.1</v>
      </c>
      <c r="R2716">
        <v>2781951</v>
      </c>
    </row>
    <row r="2717" spans="1:18" x14ac:dyDescent="0.25">
      <c r="A2717" s="170">
        <v>46003</v>
      </c>
      <c r="B2717">
        <v>549.9</v>
      </c>
      <c r="C2717">
        <v>548.04999999999995</v>
      </c>
      <c r="D2717">
        <v>536.65</v>
      </c>
      <c r="E2717">
        <v>539.70000000000005</v>
      </c>
      <c r="F2717">
        <v>548.04999999999995</v>
      </c>
      <c r="G2717">
        <v>99594</v>
      </c>
      <c r="H2717" s="116"/>
      <c r="I2717" s="116"/>
      <c r="L2717" s="170">
        <v>46003</v>
      </c>
      <c r="M2717" s="116">
        <v>548.15</v>
      </c>
      <c r="N2717" s="116">
        <v>549.95000000000005</v>
      </c>
      <c r="O2717" s="116">
        <v>536.9</v>
      </c>
      <c r="P2717" s="116">
        <v>536.9</v>
      </c>
      <c r="Q2717" s="116">
        <v>548.15</v>
      </c>
      <c r="R2717">
        <v>2488693</v>
      </c>
    </row>
    <row r="2718" spans="1:18" x14ac:dyDescent="0.25">
      <c r="A2718" s="170">
        <v>46006</v>
      </c>
      <c r="B2718">
        <v>556.6</v>
      </c>
      <c r="C2718">
        <v>553.25</v>
      </c>
      <c r="D2718">
        <v>543.4</v>
      </c>
      <c r="E2718">
        <v>549.4</v>
      </c>
      <c r="F2718">
        <v>553.25</v>
      </c>
      <c r="G2718">
        <v>58801</v>
      </c>
      <c r="H2718" s="116"/>
      <c r="I2718" s="116"/>
      <c r="L2718" s="170">
        <v>46006</v>
      </c>
      <c r="M2718" s="116">
        <v>553.45000000000005</v>
      </c>
      <c r="N2718" s="116">
        <v>556.29999999999995</v>
      </c>
      <c r="O2718" s="116">
        <v>542.95000000000005</v>
      </c>
      <c r="P2718" s="116">
        <v>547.75</v>
      </c>
      <c r="Q2718" s="116">
        <v>553.45000000000005</v>
      </c>
      <c r="R2718">
        <v>1239318</v>
      </c>
    </row>
    <row r="2719" spans="1:18" x14ac:dyDescent="0.25">
      <c r="A2719" s="170">
        <v>46007</v>
      </c>
      <c r="B2719">
        <v>554.65</v>
      </c>
      <c r="C2719">
        <v>548.65</v>
      </c>
      <c r="D2719">
        <v>544.35</v>
      </c>
      <c r="E2719">
        <v>550.04999999999995</v>
      </c>
      <c r="F2719">
        <v>548.65</v>
      </c>
      <c r="G2719">
        <v>23829</v>
      </c>
      <c r="H2719" s="116"/>
      <c r="I2719" s="116"/>
      <c r="L2719" s="170">
        <v>46007</v>
      </c>
      <c r="M2719" s="116">
        <v>548.70000000000005</v>
      </c>
      <c r="N2719" s="116">
        <v>554.79999999999995</v>
      </c>
      <c r="O2719" s="116">
        <v>544.20000000000005</v>
      </c>
      <c r="P2719" s="116">
        <v>553</v>
      </c>
      <c r="Q2719" s="116">
        <v>548.70000000000005</v>
      </c>
      <c r="R2719">
        <v>1901877</v>
      </c>
    </row>
    <row r="2720" spans="1:18" x14ac:dyDescent="0.25">
      <c r="A2720" s="170">
        <v>46008</v>
      </c>
      <c r="B2720">
        <v>549.54999999999995</v>
      </c>
      <c r="C2720">
        <v>541.15</v>
      </c>
      <c r="D2720">
        <v>539.35</v>
      </c>
      <c r="E2720">
        <v>545.15</v>
      </c>
      <c r="F2720">
        <v>541.15</v>
      </c>
      <c r="G2720">
        <v>16778</v>
      </c>
      <c r="H2720" s="116"/>
      <c r="I2720" s="116"/>
      <c r="L2720" s="170">
        <v>46008</v>
      </c>
      <c r="M2720" s="116">
        <v>541.29999999999995</v>
      </c>
      <c r="N2720" s="116">
        <v>549.9</v>
      </c>
      <c r="O2720" s="116">
        <v>539.5</v>
      </c>
      <c r="P2720" s="116">
        <v>547</v>
      </c>
      <c r="Q2720" s="116">
        <v>541.29999999999995</v>
      </c>
      <c r="R2720">
        <v>518141</v>
      </c>
    </row>
    <row r="2721" spans="1:18" x14ac:dyDescent="0.25">
      <c r="A2721" s="170">
        <v>46009</v>
      </c>
      <c r="B2721">
        <v>542.25</v>
      </c>
      <c r="C2721">
        <v>536.15</v>
      </c>
      <c r="D2721">
        <v>534.95000000000005</v>
      </c>
      <c r="E2721">
        <v>541.1</v>
      </c>
      <c r="F2721">
        <v>536.15</v>
      </c>
      <c r="G2721">
        <v>17965</v>
      </c>
      <c r="H2721" s="116"/>
      <c r="I2721" s="116"/>
      <c r="L2721" s="170">
        <v>46009</v>
      </c>
      <c r="M2721" s="116">
        <v>535.79999999999995</v>
      </c>
      <c r="N2721" s="116">
        <v>542.29999999999995</v>
      </c>
      <c r="O2721" s="116">
        <v>534.65</v>
      </c>
      <c r="P2721" s="116">
        <v>540</v>
      </c>
      <c r="Q2721" s="116">
        <v>535.79999999999995</v>
      </c>
      <c r="R2721">
        <v>834090</v>
      </c>
    </row>
    <row r="2722" spans="1:18" x14ac:dyDescent="0.25">
      <c r="A2722" s="170">
        <v>46010</v>
      </c>
      <c r="B2722">
        <v>541.1</v>
      </c>
      <c r="C2722">
        <v>539.70000000000005</v>
      </c>
      <c r="D2722">
        <v>532.1</v>
      </c>
      <c r="E2722">
        <v>532.1</v>
      </c>
      <c r="F2722">
        <v>539.70000000000005</v>
      </c>
      <c r="G2722">
        <v>45699</v>
      </c>
      <c r="H2722" s="116"/>
      <c r="I2722" s="116"/>
      <c r="L2722" s="170">
        <v>46010</v>
      </c>
      <c r="M2722" s="116">
        <v>539.65</v>
      </c>
      <c r="N2722" s="116">
        <v>540.9</v>
      </c>
      <c r="O2722" s="116">
        <v>535.1</v>
      </c>
      <c r="P2722" s="116">
        <v>538</v>
      </c>
      <c r="Q2722" s="116">
        <v>539.65</v>
      </c>
      <c r="R2722">
        <v>836741</v>
      </c>
    </row>
    <row r="2723" spans="1:18" x14ac:dyDescent="0.25">
      <c r="A2723" s="170">
        <v>46013</v>
      </c>
      <c r="B2723">
        <v>545.35</v>
      </c>
      <c r="C2723">
        <v>540</v>
      </c>
      <c r="D2723">
        <v>538.70000000000005</v>
      </c>
      <c r="E2723">
        <v>540.4</v>
      </c>
      <c r="F2723">
        <v>540</v>
      </c>
      <c r="G2723">
        <v>36124</v>
      </c>
      <c r="H2723" s="116"/>
      <c r="I2723" s="116"/>
      <c r="L2723" s="170">
        <v>46013</v>
      </c>
      <c r="M2723" s="116">
        <v>539.95000000000005</v>
      </c>
      <c r="N2723" s="116">
        <v>545.20000000000005</v>
      </c>
      <c r="O2723" s="116">
        <v>538.65</v>
      </c>
      <c r="P2723" s="116">
        <v>542</v>
      </c>
      <c r="Q2723" s="116">
        <v>539.95000000000005</v>
      </c>
      <c r="R2723">
        <v>872083</v>
      </c>
    </row>
    <row r="2724" spans="1:18" x14ac:dyDescent="0.25">
      <c r="A2724" s="170">
        <v>46014</v>
      </c>
      <c r="B2724">
        <v>563.25</v>
      </c>
      <c r="C2724">
        <v>546.75</v>
      </c>
      <c r="D2724">
        <v>544.29999999999995</v>
      </c>
      <c r="E2724">
        <v>561.25</v>
      </c>
      <c r="F2724">
        <v>546.75</v>
      </c>
      <c r="G2724">
        <v>661649</v>
      </c>
      <c r="H2724" s="116"/>
      <c r="I2724" s="116"/>
      <c r="L2724" s="170">
        <v>46014</v>
      </c>
      <c r="M2724" s="116">
        <v>546.9</v>
      </c>
      <c r="N2724" s="116">
        <v>563.5</v>
      </c>
      <c r="O2724" s="116">
        <v>544.25</v>
      </c>
      <c r="P2724" s="116">
        <v>563</v>
      </c>
      <c r="Q2724" s="116">
        <v>546.9</v>
      </c>
      <c r="R2724">
        <v>9559898</v>
      </c>
    </row>
    <row r="2725" spans="1:18" x14ac:dyDescent="0.25">
      <c r="A2725" s="170">
        <v>46015</v>
      </c>
      <c r="B2725">
        <v>553.4</v>
      </c>
      <c r="C2725">
        <v>548.54999999999995</v>
      </c>
      <c r="D2725">
        <v>547.5</v>
      </c>
      <c r="E2725">
        <v>550.04999999999995</v>
      </c>
      <c r="F2725">
        <v>548.54999999999995</v>
      </c>
      <c r="G2725">
        <v>149622</v>
      </c>
      <c r="H2725" s="116"/>
      <c r="I2725" s="116"/>
      <c r="L2725" s="170">
        <v>46015</v>
      </c>
      <c r="M2725" s="116">
        <v>548.1</v>
      </c>
      <c r="N2725" s="116">
        <v>553.4</v>
      </c>
      <c r="O2725" s="116">
        <v>547.6</v>
      </c>
      <c r="P2725" s="116">
        <v>550</v>
      </c>
      <c r="Q2725" s="116">
        <v>548.1</v>
      </c>
      <c r="R2725">
        <v>2136787</v>
      </c>
    </row>
    <row r="2726" spans="1:18" x14ac:dyDescent="0.25">
      <c r="A2726" s="170">
        <v>46017</v>
      </c>
      <c r="B2726">
        <v>554.9</v>
      </c>
      <c r="C2726">
        <v>554.4</v>
      </c>
      <c r="D2726">
        <v>548.1</v>
      </c>
      <c r="E2726">
        <v>549.1</v>
      </c>
      <c r="F2726">
        <v>554.4</v>
      </c>
      <c r="G2726">
        <v>201956</v>
      </c>
      <c r="H2726" s="116"/>
      <c r="I2726" s="116"/>
      <c r="L2726" s="170">
        <v>46017</v>
      </c>
      <c r="M2726" s="116">
        <v>554.65</v>
      </c>
      <c r="N2726" s="116">
        <v>555</v>
      </c>
      <c r="O2726" s="116">
        <v>548.20000000000005</v>
      </c>
      <c r="P2726" s="116">
        <v>549.9</v>
      </c>
      <c r="Q2726" s="116">
        <v>554.65</v>
      </c>
      <c r="R2726">
        <v>1919198</v>
      </c>
    </row>
    <row r="2727" spans="1:18" x14ac:dyDescent="0.25">
      <c r="A2727" s="170">
        <v>46020</v>
      </c>
      <c r="B2727">
        <v>557.35</v>
      </c>
      <c r="C2727">
        <v>551.9</v>
      </c>
      <c r="D2727">
        <v>549.5</v>
      </c>
      <c r="E2727">
        <v>557.35</v>
      </c>
      <c r="F2727">
        <v>551.9</v>
      </c>
      <c r="G2727">
        <v>44618</v>
      </c>
      <c r="H2727" s="116"/>
      <c r="I2727" s="116"/>
      <c r="L2727" s="170">
        <v>46020</v>
      </c>
      <c r="M2727" s="116">
        <v>552.1</v>
      </c>
      <c r="N2727" s="116">
        <v>556.9</v>
      </c>
      <c r="O2727" s="116">
        <v>549.65</v>
      </c>
      <c r="P2727" s="116">
        <v>556.9</v>
      </c>
      <c r="Q2727" s="116">
        <v>552.1</v>
      </c>
      <c r="R2727">
        <v>1228806</v>
      </c>
    </row>
    <row r="2728" spans="1:18" x14ac:dyDescent="0.25">
      <c r="A2728" s="170">
        <v>46021</v>
      </c>
      <c r="B2728">
        <v>554.5</v>
      </c>
      <c r="C2728">
        <v>549.75</v>
      </c>
      <c r="D2728">
        <v>549.1</v>
      </c>
      <c r="E2728">
        <v>554.5</v>
      </c>
      <c r="F2728">
        <v>549.75</v>
      </c>
      <c r="G2728">
        <v>59079</v>
      </c>
      <c r="H2728" s="116"/>
      <c r="I2728" s="116"/>
      <c r="L2728" s="170">
        <v>46021</v>
      </c>
      <c r="M2728" s="116">
        <v>550</v>
      </c>
      <c r="N2728" s="116">
        <v>553.9</v>
      </c>
      <c r="O2728" s="116">
        <v>548.95000000000005</v>
      </c>
      <c r="P2728" s="116">
        <v>553.9</v>
      </c>
      <c r="Q2728" s="116">
        <v>550</v>
      </c>
      <c r="R2728">
        <v>2305901</v>
      </c>
    </row>
    <row r="2729" spans="1:18" x14ac:dyDescent="0.25">
      <c r="A2729" s="170">
        <v>46022</v>
      </c>
      <c r="B2729">
        <v>556.85</v>
      </c>
      <c r="C2729">
        <v>556.29999999999995</v>
      </c>
      <c r="D2729">
        <v>550.79999999999995</v>
      </c>
      <c r="E2729">
        <v>552.54999999999995</v>
      </c>
      <c r="F2729">
        <v>556.29999999999995</v>
      </c>
      <c r="G2729">
        <v>42312</v>
      </c>
      <c r="H2729" s="116"/>
      <c r="I2729" s="116"/>
      <c r="L2729" s="170">
        <v>46022</v>
      </c>
      <c r="M2729" s="116">
        <v>556.35</v>
      </c>
      <c r="N2729" s="116">
        <v>556.9</v>
      </c>
      <c r="O2729" s="116">
        <v>550.04999999999995</v>
      </c>
      <c r="P2729" s="116">
        <v>551.9</v>
      </c>
      <c r="Q2729" s="116">
        <v>556.35</v>
      </c>
      <c r="R2729">
        <v>1063795</v>
      </c>
    </row>
    <row r="2730" spans="1:18" x14ac:dyDescent="0.25">
      <c r="A2730" s="170">
        <v>46023</v>
      </c>
      <c r="B2730">
        <v>561.1</v>
      </c>
      <c r="C2730">
        <v>560</v>
      </c>
      <c r="D2730">
        <v>555.04999999999995</v>
      </c>
      <c r="E2730">
        <v>557.54999999999995</v>
      </c>
      <c r="F2730">
        <v>560</v>
      </c>
      <c r="G2730">
        <v>75960</v>
      </c>
      <c r="H2730" s="116"/>
      <c r="I2730" s="116"/>
      <c r="L2730" s="170">
        <v>46023</v>
      </c>
      <c r="M2730" s="116">
        <v>559.65</v>
      </c>
      <c r="N2730" s="116">
        <v>561</v>
      </c>
      <c r="O2730" s="116">
        <v>555.1</v>
      </c>
      <c r="P2730" s="116">
        <v>556.9</v>
      </c>
      <c r="Q2730" s="116">
        <v>559.65</v>
      </c>
      <c r="R2730">
        <v>1568506</v>
      </c>
    </row>
    <row r="2731" spans="1:18" x14ac:dyDescent="0.25">
      <c r="A2731" s="170">
        <v>46024</v>
      </c>
      <c r="B2731">
        <v>566.45000000000005</v>
      </c>
      <c r="C2731">
        <v>565.20000000000005</v>
      </c>
      <c r="D2731">
        <v>558.29999999999995</v>
      </c>
      <c r="E2731">
        <v>558.95000000000005</v>
      </c>
      <c r="F2731">
        <v>565.20000000000005</v>
      </c>
      <c r="G2731">
        <v>118961</v>
      </c>
      <c r="H2731" s="116"/>
      <c r="I2731" s="116"/>
      <c r="L2731" s="170">
        <v>46024</v>
      </c>
      <c r="M2731" s="116">
        <v>565.4</v>
      </c>
      <c r="N2731" s="116">
        <v>566.5</v>
      </c>
      <c r="O2731" s="116">
        <v>558.15</v>
      </c>
      <c r="P2731" s="116">
        <v>560</v>
      </c>
      <c r="Q2731" s="116">
        <v>565.4</v>
      </c>
      <c r="R2731">
        <v>1371653</v>
      </c>
    </row>
    <row r="2732" spans="1:18" x14ac:dyDescent="0.25">
      <c r="A2732" s="170">
        <v>46027</v>
      </c>
      <c r="B2732">
        <v>572.70000000000005</v>
      </c>
      <c r="C2732">
        <v>571.20000000000005</v>
      </c>
      <c r="D2732">
        <v>567.85</v>
      </c>
      <c r="E2732">
        <v>569.54999999999995</v>
      </c>
      <c r="F2732">
        <v>571.20000000000005</v>
      </c>
      <c r="G2732">
        <v>77904</v>
      </c>
      <c r="H2732" s="116"/>
      <c r="I2732" s="116"/>
      <c r="L2732" s="170">
        <v>46027</v>
      </c>
      <c r="M2732" s="116">
        <v>571.25</v>
      </c>
      <c r="N2732" s="116">
        <v>573.1</v>
      </c>
      <c r="O2732" s="116">
        <v>567.04999999999995</v>
      </c>
      <c r="P2732" s="116">
        <v>568.70000000000005</v>
      </c>
      <c r="Q2732" s="116">
        <v>571.25</v>
      </c>
      <c r="R2732">
        <v>2369536</v>
      </c>
    </row>
    <row r="2733" spans="1:18" x14ac:dyDescent="0.25">
      <c r="A2733" s="170">
        <v>46028</v>
      </c>
      <c r="B2733">
        <v>571.95000000000005</v>
      </c>
      <c r="C2733">
        <v>563.5</v>
      </c>
      <c r="D2733">
        <v>561.29999999999995</v>
      </c>
      <c r="E2733">
        <v>571.4</v>
      </c>
      <c r="F2733">
        <v>563.5</v>
      </c>
      <c r="G2733">
        <v>77829</v>
      </c>
      <c r="H2733" s="116"/>
      <c r="I2733" s="116"/>
      <c r="L2733" s="170">
        <v>46028</v>
      </c>
      <c r="M2733" s="116">
        <v>563.54999999999995</v>
      </c>
      <c r="N2733" s="116">
        <v>572</v>
      </c>
      <c r="O2733" s="116">
        <v>561.35</v>
      </c>
      <c r="P2733" s="116">
        <v>572</v>
      </c>
      <c r="Q2733" s="116">
        <v>563.54999999999995</v>
      </c>
      <c r="R2733">
        <v>1015560</v>
      </c>
    </row>
    <row r="2734" spans="1:18" x14ac:dyDescent="0.25">
      <c r="A2734" s="170">
        <v>46029</v>
      </c>
      <c r="B2734">
        <v>565.15</v>
      </c>
      <c r="C2734">
        <v>561.79999999999995</v>
      </c>
      <c r="D2734">
        <v>560.75</v>
      </c>
      <c r="E2734">
        <v>563.5</v>
      </c>
      <c r="F2734">
        <v>561.79999999999995</v>
      </c>
      <c r="G2734">
        <v>29575</v>
      </c>
      <c r="H2734" s="116"/>
      <c r="I2734" s="116"/>
      <c r="L2734" s="170">
        <v>46029</v>
      </c>
      <c r="M2734" s="116">
        <v>562</v>
      </c>
      <c r="N2734" s="116">
        <v>565.79999999999995</v>
      </c>
      <c r="O2734" s="116">
        <v>560.65</v>
      </c>
      <c r="P2734" s="116">
        <v>563.95000000000005</v>
      </c>
      <c r="Q2734" s="116">
        <v>562</v>
      </c>
      <c r="R2734">
        <v>3920663</v>
      </c>
    </row>
    <row r="2735" spans="1:18" x14ac:dyDescent="0.25">
      <c r="A2735" s="170">
        <v>46030</v>
      </c>
      <c r="B2735">
        <v>561.85</v>
      </c>
      <c r="C2735">
        <v>546.95000000000005</v>
      </c>
      <c r="D2735">
        <v>545.5</v>
      </c>
      <c r="E2735">
        <v>561.79999999999995</v>
      </c>
      <c r="F2735">
        <v>546.95000000000005</v>
      </c>
      <c r="G2735">
        <v>47801</v>
      </c>
      <c r="H2735" s="116"/>
      <c r="I2735" s="116"/>
      <c r="L2735" s="170">
        <v>46030</v>
      </c>
      <c r="M2735" s="116">
        <v>546.70000000000005</v>
      </c>
      <c r="N2735" s="116">
        <v>562</v>
      </c>
      <c r="O2735" s="116">
        <v>545.15</v>
      </c>
      <c r="P2735" s="116">
        <v>562</v>
      </c>
      <c r="Q2735" s="116">
        <v>546.70000000000005</v>
      </c>
      <c r="R2735">
        <v>1330617</v>
      </c>
    </row>
    <row r="2736" spans="1:18" x14ac:dyDescent="0.25">
      <c r="A2736" s="170">
        <v>46031</v>
      </c>
      <c r="B2736">
        <v>548.25</v>
      </c>
      <c r="C2736">
        <v>536.95000000000005</v>
      </c>
      <c r="D2736">
        <v>535.6</v>
      </c>
      <c r="E2736">
        <v>545.65</v>
      </c>
      <c r="F2736">
        <v>536.95000000000005</v>
      </c>
      <c r="G2736">
        <v>68041</v>
      </c>
      <c r="H2736" s="116"/>
      <c r="I2736" s="116"/>
      <c r="L2736" s="170">
        <v>46031</v>
      </c>
      <c r="M2736" s="116">
        <v>536.95000000000005</v>
      </c>
      <c r="N2736" s="116">
        <v>548.5</v>
      </c>
      <c r="O2736" s="116">
        <v>535.65</v>
      </c>
      <c r="P2736" s="116">
        <v>546.70000000000005</v>
      </c>
      <c r="Q2736" s="116">
        <v>536.95000000000005</v>
      </c>
      <c r="R2736">
        <v>1242111</v>
      </c>
    </row>
    <row r="2737" spans="1:18" x14ac:dyDescent="0.25">
      <c r="A2737" s="170">
        <v>46034</v>
      </c>
      <c r="B2737">
        <v>540.45000000000005</v>
      </c>
      <c r="C2737">
        <v>538.54999999999995</v>
      </c>
      <c r="D2737">
        <v>528.5</v>
      </c>
      <c r="E2737">
        <v>535.45000000000005</v>
      </c>
      <c r="F2737">
        <v>538.54999999999995</v>
      </c>
      <c r="G2737">
        <v>87880</v>
      </c>
      <c r="H2737" s="116"/>
      <c r="I2737" s="116"/>
      <c r="L2737" s="170">
        <v>46034</v>
      </c>
      <c r="M2737" s="116">
        <v>538.70000000000005</v>
      </c>
      <c r="N2737" s="116">
        <v>540.20000000000005</v>
      </c>
      <c r="O2737" s="116">
        <v>528.6</v>
      </c>
      <c r="P2737" s="116">
        <v>536.95000000000005</v>
      </c>
      <c r="Q2737" s="116">
        <v>538.70000000000005</v>
      </c>
      <c r="R2737">
        <v>2484225</v>
      </c>
    </row>
    <row r="2738" spans="1:18" x14ac:dyDescent="0.25">
      <c r="A2738" s="170">
        <v>46035</v>
      </c>
      <c r="B2738">
        <v>545.45000000000005</v>
      </c>
      <c r="C2738">
        <v>537.65</v>
      </c>
      <c r="D2738">
        <v>533.95000000000005</v>
      </c>
      <c r="E2738">
        <v>538.75</v>
      </c>
      <c r="F2738">
        <v>537.65</v>
      </c>
      <c r="G2738">
        <v>23288</v>
      </c>
      <c r="H2738" s="116"/>
      <c r="I2738" s="116"/>
      <c r="L2738" s="170">
        <v>46035</v>
      </c>
      <c r="M2738" s="116">
        <v>537.65</v>
      </c>
      <c r="N2738" s="116">
        <v>545.20000000000005</v>
      </c>
      <c r="O2738" s="116">
        <v>533.54999999999995</v>
      </c>
      <c r="P2738" s="116">
        <v>540</v>
      </c>
      <c r="Q2738" s="116">
        <v>537.65</v>
      </c>
      <c r="R2738">
        <v>1093928</v>
      </c>
    </row>
    <row r="2739" spans="1:18" x14ac:dyDescent="0.25">
      <c r="A2739" s="170">
        <v>46036</v>
      </c>
      <c r="B2739">
        <v>551.35</v>
      </c>
      <c r="C2739">
        <v>549.54999999999995</v>
      </c>
      <c r="D2739">
        <v>533.6</v>
      </c>
      <c r="E2739">
        <v>537.65</v>
      </c>
      <c r="F2739">
        <v>549.54999999999995</v>
      </c>
      <c r="G2739">
        <v>101426</v>
      </c>
      <c r="H2739" s="116"/>
      <c r="I2739" s="116"/>
      <c r="L2739" s="170">
        <v>46036</v>
      </c>
      <c r="M2739" s="116">
        <v>549.54999999999995</v>
      </c>
      <c r="N2739" s="116">
        <v>551.35</v>
      </c>
      <c r="O2739" s="116">
        <v>533.5</v>
      </c>
      <c r="P2739" s="116">
        <v>537.65</v>
      </c>
      <c r="Q2739" s="116">
        <v>549.54999999999995</v>
      </c>
      <c r="R2739">
        <v>1736723</v>
      </c>
    </row>
    <row r="2740" spans="1:18" x14ac:dyDescent="0.25">
      <c r="A2740" s="170">
        <v>46038</v>
      </c>
      <c r="B2740">
        <v>558.20000000000005</v>
      </c>
      <c r="C2740">
        <v>553.25</v>
      </c>
      <c r="D2740">
        <v>545.95000000000005</v>
      </c>
      <c r="E2740">
        <v>550.5</v>
      </c>
      <c r="F2740">
        <v>553.25</v>
      </c>
      <c r="G2740">
        <v>84027</v>
      </c>
      <c r="H2740" s="116"/>
      <c r="I2740" s="116"/>
      <c r="L2740" s="170">
        <v>46038</v>
      </c>
      <c r="M2740" s="116">
        <v>553.75</v>
      </c>
      <c r="N2740" s="116">
        <v>558.45000000000005</v>
      </c>
      <c r="O2740" s="116">
        <v>545.70000000000005</v>
      </c>
      <c r="P2740" s="116">
        <v>551.5</v>
      </c>
      <c r="Q2740" s="116">
        <v>553.75</v>
      </c>
      <c r="R2740">
        <v>2077235</v>
      </c>
    </row>
    <row r="2741" spans="1:18" x14ac:dyDescent="0.25">
      <c r="A2741" s="170">
        <v>46041</v>
      </c>
      <c r="B2741">
        <v>555.35</v>
      </c>
      <c r="C2741">
        <v>551.9</v>
      </c>
      <c r="D2741">
        <v>547.1</v>
      </c>
      <c r="E2741">
        <v>552.70000000000005</v>
      </c>
      <c r="F2741">
        <v>551.9</v>
      </c>
      <c r="G2741">
        <v>32019</v>
      </c>
      <c r="H2741" s="116"/>
      <c r="I2741" s="116"/>
      <c r="L2741" s="170">
        <v>46041</v>
      </c>
      <c r="M2741" s="116">
        <v>552.15</v>
      </c>
      <c r="N2741" s="116">
        <v>555.4</v>
      </c>
      <c r="O2741" s="116">
        <v>546.95000000000005</v>
      </c>
      <c r="P2741" s="116">
        <v>551.29999999999995</v>
      </c>
      <c r="Q2741" s="116">
        <v>552.15</v>
      </c>
      <c r="R2741">
        <v>1523060</v>
      </c>
    </row>
    <row r="2742" spans="1:18" x14ac:dyDescent="0.25">
      <c r="A2742" s="170">
        <v>46042</v>
      </c>
      <c r="B2742">
        <v>554.1</v>
      </c>
      <c r="C2742">
        <v>535.5</v>
      </c>
      <c r="D2742">
        <v>534.6</v>
      </c>
      <c r="E2742">
        <v>551.9</v>
      </c>
      <c r="F2742">
        <v>535.5</v>
      </c>
      <c r="G2742">
        <v>40374</v>
      </c>
      <c r="H2742" s="116"/>
      <c r="I2742" s="116"/>
      <c r="L2742" s="170">
        <v>46042</v>
      </c>
      <c r="M2742" s="116">
        <v>536.29999999999995</v>
      </c>
      <c r="N2742" s="116">
        <v>554.35</v>
      </c>
      <c r="O2742" s="116">
        <v>534.9</v>
      </c>
      <c r="P2742" s="116">
        <v>552.15</v>
      </c>
      <c r="Q2742" s="116">
        <v>536.29999999999995</v>
      </c>
      <c r="R2742">
        <v>1184287</v>
      </c>
    </row>
    <row r="2743" spans="1:18" x14ac:dyDescent="0.25">
      <c r="A2743" s="170">
        <v>46043</v>
      </c>
      <c r="B2743">
        <v>545</v>
      </c>
      <c r="C2743">
        <v>538.95000000000005</v>
      </c>
      <c r="D2743">
        <v>531.15</v>
      </c>
      <c r="E2743">
        <v>533.15</v>
      </c>
      <c r="F2743">
        <v>538.95000000000005</v>
      </c>
      <c r="G2743">
        <v>40467</v>
      </c>
      <c r="H2743" s="116"/>
      <c r="I2743" s="116"/>
      <c r="L2743" s="170">
        <v>46043</v>
      </c>
      <c r="M2743" s="116">
        <v>538.65</v>
      </c>
      <c r="N2743" s="116">
        <v>545</v>
      </c>
      <c r="O2743" s="116">
        <v>531.20000000000005</v>
      </c>
      <c r="P2743" s="116">
        <v>534</v>
      </c>
      <c r="Q2743" s="116">
        <v>538.65</v>
      </c>
      <c r="R2743">
        <v>1735277</v>
      </c>
    </row>
    <row r="2744" spans="1:18" x14ac:dyDescent="0.25">
      <c r="A2744" s="170">
        <v>46044</v>
      </c>
      <c r="B2744">
        <v>548.4</v>
      </c>
      <c r="C2744">
        <v>546.20000000000005</v>
      </c>
      <c r="D2744">
        <v>540.15</v>
      </c>
      <c r="E2744">
        <v>540.15</v>
      </c>
      <c r="F2744">
        <v>546.20000000000005</v>
      </c>
      <c r="G2744">
        <v>52094</v>
      </c>
      <c r="H2744" s="116"/>
      <c r="I2744" s="116"/>
      <c r="L2744" s="170">
        <v>46044</v>
      </c>
      <c r="M2744" s="116">
        <v>546.6</v>
      </c>
      <c r="N2744" s="116">
        <v>548.5</v>
      </c>
      <c r="O2744" s="116">
        <v>541.15</v>
      </c>
      <c r="P2744" s="116">
        <v>543.79999999999995</v>
      </c>
      <c r="Q2744" s="116">
        <v>546.6</v>
      </c>
      <c r="R2744">
        <v>1903090</v>
      </c>
    </row>
    <row r="2745" spans="1:18" x14ac:dyDescent="0.25">
      <c r="A2745" s="170">
        <v>46045</v>
      </c>
      <c r="B2745">
        <v>550.70000000000005</v>
      </c>
      <c r="C2745">
        <v>518.85</v>
      </c>
      <c r="D2745">
        <v>511.05</v>
      </c>
      <c r="E2745">
        <v>550.70000000000005</v>
      </c>
      <c r="F2745">
        <v>518.85</v>
      </c>
      <c r="G2745">
        <v>120124</v>
      </c>
      <c r="H2745" s="116"/>
      <c r="I2745" s="116"/>
      <c r="L2745" s="170">
        <v>46045</v>
      </c>
      <c r="M2745" s="116">
        <v>518.6</v>
      </c>
      <c r="N2745" s="116">
        <v>548.5</v>
      </c>
      <c r="O2745" s="116">
        <v>511.1</v>
      </c>
      <c r="P2745" s="116">
        <v>546.65</v>
      </c>
      <c r="Q2745" s="116">
        <v>518.6</v>
      </c>
      <c r="R2745">
        <v>6489381</v>
      </c>
    </row>
    <row r="2746" spans="1:18" x14ac:dyDescent="0.25">
      <c r="A2746" s="170">
        <v>46049</v>
      </c>
      <c r="B2746">
        <v>535.95000000000005</v>
      </c>
      <c r="C2746">
        <v>531.04999999999995</v>
      </c>
      <c r="D2746">
        <v>524.95000000000005</v>
      </c>
      <c r="E2746">
        <v>525.75</v>
      </c>
      <c r="F2746">
        <v>531.04999999999995</v>
      </c>
      <c r="G2746">
        <v>1302206</v>
      </c>
      <c r="H2746" s="116"/>
      <c r="I2746" s="116"/>
      <c r="L2746" s="170">
        <v>46049</v>
      </c>
      <c r="M2746" s="116">
        <v>532.25</v>
      </c>
      <c r="N2746" s="116">
        <v>535.9</v>
      </c>
      <c r="O2746" s="116">
        <v>524.04999999999995</v>
      </c>
      <c r="P2746" s="116">
        <v>526.65</v>
      </c>
      <c r="Q2746" s="116">
        <v>532.25</v>
      </c>
      <c r="R2746">
        <v>2374373</v>
      </c>
    </row>
    <row r="2747" spans="1:18" x14ac:dyDescent="0.25">
      <c r="A2747" s="170">
        <v>46050</v>
      </c>
      <c r="B2747">
        <v>539</v>
      </c>
      <c r="C2747">
        <v>533.9</v>
      </c>
      <c r="D2747">
        <v>531.1</v>
      </c>
      <c r="E2747">
        <v>531.79999999999995</v>
      </c>
      <c r="F2747">
        <v>533.9</v>
      </c>
      <c r="G2747">
        <v>890961</v>
      </c>
      <c r="H2747" s="116"/>
      <c r="I2747" s="116"/>
      <c r="L2747" s="170">
        <v>46050</v>
      </c>
      <c r="M2747" s="116">
        <v>533.95000000000005</v>
      </c>
      <c r="N2747" s="116">
        <v>539.1</v>
      </c>
      <c r="O2747" s="116">
        <v>531.04999999999995</v>
      </c>
      <c r="P2747" s="116">
        <v>533.95000000000005</v>
      </c>
      <c r="Q2747" s="116">
        <v>533.95000000000005</v>
      </c>
      <c r="R2747">
        <v>1738702</v>
      </c>
    </row>
    <row r="2748" spans="1:18" x14ac:dyDescent="0.25">
      <c r="A2748" s="170">
        <v>46051</v>
      </c>
      <c r="B2748">
        <v>543.45000000000005</v>
      </c>
      <c r="C2748">
        <v>536</v>
      </c>
      <c r="D2748">
        <v>529</v>
      </c>
      <c r="E2748">
        <v>534.35</v>
      </c>
      <c r="F2748">
        <v>536</v>
      </c>
      <c r="G2748">
        <v>532789</v>
      </c>
      <c r="H2748" s="116"/>
      <c r="I2748" s="116"/>
      <c r="L2748" s="170">
        <v>46051</v>
      </c>
      <c r="M2748" s="116">
        <v>536.04999999999995</v>
      </c>
      <c r="N2748" s="116">
        <v>538.35</v>
      </c>
      <c r="O2748" s="116">
        <v>528.79999999999995</v>
      </c>
      <c r="P2748" s="116">
        <v>535</v>
      </c>
      <c r="Q2748" s="116">
        <v>536.04999999999995</v>
      </c>
      <c r="R2748">
        <v>2837060</v>
      </c>
    </row>
    <row r="2749" spans="1:18" x14ac:dyDescent="0.25">
      <c r="A2749" s="170">
        <v>46052</v>
      </c>
      <c r="B2749">
        <v>535.04999999999995</v>
      </c>
      <c r="C2749">
        <v>510.2</v>
      </c>
      <c r="D2749">
        <v>508.05</v>
      </c>
      <c r="E2749">
        <v>535.04999999999995</v>
      </c>
      <c r="F2749">
        <v>510.2</v>
      </c>
      <c r="G2749">
        <v>202675</v>
      </c>
      <c r="H2749" s="116"/>
      <c r="I2749" s="116"/>
      <c r="L2749" s="170">
        <v>46052</v>
      </c>
      <c r="M2749" s="116">
        <v>510.15</v>
      </c>
      <c r="N2749" s="116">
        <v>536.04999999999995</v>
      </c>
      <c r="O2749" s="116">
        <v>507.9</v>
      </c>
      <c r="P2749" s="116">
        <v>536.04999999999995</v>
      </c>
      <c r="Q2749" s="116">
        <v>510.15</v>
      </c>
      <c r="R2749">
        <v>6130082</v>
      </c>
    </row>
    <row r="2750" spans="1:18" x14ac:dyDescent="0.25">
      <c r="A2750" s="170">
        <v>46054</v>
      </c>
      <c r="B2750">
        <v>521.29999999999995</v>
      </c>
      <c r="C2750">
        <v>497.3</v>
      </c>
      <c r="D2750">
        <v>495.5</v>
      </c>
      <c r="E2750">
        <v>510.05</v>
      </c>
      <c r="F2750">
        <v>497.3</v>
      </c>
      <c r="G2750">
        <v>180699</v>
      </c>
      <c r="H2750" s="116"/>
      <c r="I2750" s="116"/>
      <c r="L2750" s="170">
        <v>46054</v>
      </c>
      <c r="M2750" s="116">
        <v>497.35</v>
      </c>
      <c r="N2750" s="116">
        <v>521.54999999999995</v>
      </c>
      <c r="O2750" s="116">
        <v>495.45</v>
      </c>
      <c r="P2750" s="116">
        <v>511</v>
      </c>
      <c r="Q2750" s="116">
        <v>497.35</v>
      </c>
      <c r="R2750">
        <v>2066980</v>
      </c>
    </row>
    <row r="2751" spans="1:18" x14ac:dyDescent="0.25">
      <c r="A2751" s="170">
        <v>46055</v>
      </c>
      <c r="B2751">
        <v>513.15</v>
      </c>
      <c r="C2751">
        <v>510.65</v>
      </c>
      <c r="D2751">
        <v>493.25</v>
      </c>
      <c r="E2751">
        <v>498.85</v>
      </c>
      <c r="F2751">
        <v>510.65</v>
      </c>
      <c r="G2751">
        <v>81650</v>
      </c>
      <c r="H2751" s="116"/>
      <c r="I2751" s="116"/>
      <c r="L2751" s="170">
        <v>46055</v>
      </c>
      <c r="M2751" s="116">
        <v>510.5</v>
      </c>
      <c r="N2751" s="116">
        <v>513.45000000000005</v>
      </c>
      <c r="O2751" s="116">
        <v>493.35</v>
      </c>
      <c r="P2751" s="116">
        <v>499.85</v>
      </c>
      <c r="Q2751" s="116">
        <v>510.5</v>
      </c>
      <c r="R2751">
        <v>2967802</v>
      </c>
    </row>
    <row r="2752" spans="1:18" x14ac:dyDescent="0.25">
      <c r="A2752" s="170">
        <v>46056</v>
      </c>
      <c r="B2752">
        <v>540.54999999999995</v>
      </c>
      <c r="C2752">
        <v>528.25</v>
      </c>
      <c r="D2752">
        <v>519.70000000000005</v>
      </c>
      <c r="E2752">
        <v>534.15</v>
      </c>
      <c r="F2752">
        <v>528.25</v>
      </c>
      <c r="G2752">
        <v>150123</v>
      </c>
      <c r="H2752" s="116"/>
      <c r="I2752" s="116"/>
      <c r="L2752" s="170">
        <v>46056</v>
      </c>
      <c r="M2752" s="116">
        <v>528.25</v>
      </c>
      <c r="N2752" s="116">
        <v>540.5</v>
      </c>
      <c r="O2752" s="116">
        <v>519.5</v>
      </c>
      <c r="P2752" s="116">
        <v>533</v>
      </c>
      <c r="Q2752" s="116">
        <v>528.25</v>
      </c>
      <c r="R2752">
        <v>3149032</v>
      </c>
    </row>
    <row r="2753" spans="1:18" x14ac:dyDescent="0.25">
      <c r="A2753" s="170">
        <v>46057</v>
      </c>
      <c r="B2753">
        <v>537.79999999999995</v>
      </c>
      <c r="C2753">
        <v>536.85</v>
      </c>
      <c r="D2753">
        <v>522.9</v>
      </c>
      <c r="E2753">
        <v>534.1</v>
      </c>
      <c r="F2753">
        <v>536.85</v>
      </c>
      <c r="G2753">
        <v>99665</v>
      </c>
      <c r="H2753" s="116"/>
      <c r="I2753" s="116"/>
      <c r="L2753" s="170">
        <v>46057</v>
      </c>
      <c r="M2753" s="116">
        <v>536.95000000000005</v>
      </c>
      <c r="N2753" s="116">
        <v>538</v>
      </c>
      <c r="O2753" s="116">
        <v>522.54999999999995</v>
      </c>
      <c r="P2753" s="116">
        <v>530.9</v>
      </c>
      <c r="Q2753" s="116">
        <v>536.95000000000005</v>
      </c>
      <c r="R2753">
        <v>977308</v>
      </c>
    </row>
    <row r="2754" spans="1:18" x14ac:dyDescent="0.25">
      <c r="A2754" s="170">
        <v>46058</v>
      </c>
      <c r="B2754">
        <v>536.85</v>
      </c>
      <c r="C2754">
        <v>533.04999999999995</v>
      </c>
      <c r="D2754">
        <v>528.20000000000005</v>
      </c>
      <c r="E2754">
        <v>536.85</v>
      </c>
      <c r="F2754">
        <v>533.04999999999995</v>
      </c>
      <c r="G2754">
        <v>26093</v>
      </c>
      <c r="H2754" s="116"/>
      <c r="I2754" s="116"/>
      <c r="L2754" s="170">
        <v>46058</v>
      </c>
      <c r="M2754" s="116">
        <v>533.04999999999995</v>
      </c>
      <c r="N2754" s="116">
        <v>536.95000000000005</v>
      </c>
      <c r="O2754" s="116">
        <v>528.20000000000005</v>
      </c>
      <c r="P2754" s="116">
        <v>536</v>
      </c>
      <c r="Q2754" s="116">
        <v>533.04999999999995</v>
      </c>
      <c r="R2754">
        <v>1363472</v>
      </c>
    </row>
    <row r="2755" spans="1:18" x14ac:dyDescent="0.25">
      <c r="A2755" s="170">
        <v>46059</v>
      </c>
      <c r="B2755">
        <v>531.45000000000005</v>
      </c>
      <c r="C2755">
        <v>529.5</v>
      </c>
      <c r="D2755">
        <v>523.85</v>
      </c>
      <c r="E2755">
        <v>530</v>
      </c>
      <c r="F2755">
        <v>529.5</v>
      </c>
      <c r="G2755">
        <v>35653</v>
      </c>
      <c r="H2755" s="116"/>
      <c r="I2755" s="116"/>
      <c r="L2755" s="170">
        <v>46059</v>
      </c>
      <c r="M2755" s="116">
        <v>529.45000000000005</v>
      </c>
      <c r="N2755" s="116">
        <v>531.54999999999995</v>
      </c>
      <c r="O2755" s="116">
        <v>524</v>
      </c>
      <c r="P2755" s="116">
        <v>530</v>
      </c>
      <c r="Q2755" s="116">
        <v>529.45000000000005</v>
      </c>
      <c r="R2755">
        <v>554714</v>
      </c>
    </row>
    <row r="2756" spans="1:18" x14ac:dyDescent="0.25">
      <c r="A2756" s="170">
        <v>46062</v>
      </c>
      <c r="B2756">
        <v>544.54999999999995</v>
      </c>
      <c r="C2756">
        <v>542.15</v>
      </c>
      <c r="D2756">
        <v>520.1</v>
      </c>
      <c r="E2756">
        <v>520.1</v>
      </c>
      <c r="F2756">
        <v>542.15</v>
      </c>
      <c r="G2756">
        <v>78688</v>
      </c>
      <c r="H2756" s="116"/>
      <c r="I2756" s="116"/>
      <c r="L2756" s="170">
        <v>46062</v>
      </c>
      <c r="M2756" s="116">
        <v>542.45000000000005</v>
      </c>
      <c r="N2756" s="116">
        <v>544.85</v>
      </c>
      <c r="O2756" s="116">
        <v>530.35</v>
      </c>
      <c r="P2756" s="116">
        <v>533.85</v>
      </c>
      <c r="Q2756" s="116">
        <v>542.45000000000005</v>
      </c>
      <c r="R2756">
        <v>1236310</v>
      </c>
    </row>
    <row r="2757" spans="1:18" x14ac:dyDescent="0.25">
      <c r="A2757" s="170">
        <v>46063</v>
      </c>
      <c r="B2757">
        <v>545.9</v>
      </c>
      <c r="C2757">
        <v>538.25</v>
      </c>
      <c r="D2757">
        <v>534.15</v>
      </c>
      <c r="E2757">
        <v>545.29999999999995</v>
      </c>
      <c r="F2757">
        <v>538.25</v>
      </c>
      <c r="G2757">
        <v>55316</v>
      </c>
      <c r="H2757" s="116"/>
      <c r="I2757" s="116"/>
      <c r="L2757" s="170">
        <v>46063</v>
      </c>
      <c r="M2757" s="116">
        <v>538.5</v>
      </c>
      <c r="N2757" s="116">
        <v>547</v>
      </c>
      <c r="O2757" s="116">
        <v>533</v>
      </c>
      <c r="P2757" s="116">
        <v>547</v>
      </c>
      <c r="Q2757" s="116">
        <v>538.5</v>
      </c>
      <c r="R2757">
        <v>1575847</v>
      </c>
    </row>
    <row r="2758" spans="1:18" x14ac:dyDescent="0.25">
      <c r="A2758" s="170">
        <v>46064</v>
      </c>
      <c r="B2758">
        <v>542.1</v>
      </c>
      <c r="C2758">
        <v>541</v>
      </c>
      <c r="D2758">
        <v>535.15</v>
      </c>
      <c r="E2758">
        <v>539.6</v>
      </c>
      <c r="F2758">
        <v>541</v>
      </c>
      <c r="G2758">
        <v>27966</v>
      </c>
      <c r="H2758" s="116"/>
      <c r="I2758" s="116"/>
      <c r="L2758" s="170">
        <v>46064</v>
      </c>
      <c r="M2758" s="116">
        <v>541.25</v>
      </c>
      <c r="N2758" s="116">
        <v>542.25</v>
      </c>
      <c r="O2758" s="116">
        <v>535</v>
      </c>
      <c r="P2758" s="116">
        <v>540.79999999999995</v>
      </c>
      <c r="Q2758" s="116">
        <v>541.25</v>
      </c>
      <c r="R2758">
        <v>1085688</v>
      </c>
    </row>
    <row r="2759" spans="1:18" x14ac:dyDescent="0.25">
      <c r="A2759" s="170">
        <v>46065</v>
      </c>
      <c r="B2759">
        <v>541.65</v>
      </c>
      <c r="C2759">
        <v>533.04999999999995</v>
      </c>
      <c r="D2759">
        <v>530</v>
      </c>
      <c r="E2759">
        <v>541.65</v>
      </c>
      <c r="F2759">
        <v>533.04999999999995</v>
      </c>
      <c r="G2759">
        <v>26339</v>
      </c>
      <c r="H2759" s="116"/>
      <c r="I2759" s="116"/>
      <c r="L2759" s="170">
        <v>46065</v>
      </c>
      <c r="M2759" s="116">
        <v>532.85</v>
      </c>
      <c r="N2759" s="116">
        <v>541</v>
      </c>
      <c r="O2759" s="116">
        <v>529</v>
      </c>
      <c r="P2759" s="116">
        <v>541</v>
      </c>
      <c r="Q2759" s="116">
        <v>532.85</v>
      </c>
      <c r="R2759">
        <v>953137</v>
      </c>
    </row>
    <row r="2760" spans="1:18" x14ac:dyDescent="0.25">
      <c r="A2760" s="170">
        <v>46066</v>
      </c>
      <c r="B2760">
        <v>529.95000000000005</v>
      </c>
      <c r="C2760">
        <v>519.29999999999995</v>
      </c>
      <c r="D2760">
        <v>501.25</v>
      </c>
      <c r="E2760">
        <v>501.25</v>
      </c>
      <c r="F2760">
        <v>519.29999999999995</v>
      </c>
      <c r="G2760">
        <v>205470</v>
      </c>
      <c r="H2760" s="116"/>
      <c r="I2760" s="116"/>
      <c r="L2760" s="170">
        <v>46066</v>
      </c>
      <c r="M2760" s="116">
        <v>519.45000000000005</v>
      </c>
      <c r="N2760" s="116">
        <v>530.5</v>
      </c>
      <c r="O2760" s="116">
        <v>517.25</v>
      </c>
      <c r="P2760" s="116">
        <v>526.85</v>
      </c>
      <c r="Q2760" s="116">
        <v>519.45000000000005</v>
      </c>
      <c r="R2760">
        <v>1297366</v>
      </c>
    </row>
    <row r="2761" spans="1:18" x14ac:dyDescent="0.25">
      <c r="A2761" s="170">
        <v>46069</v>
      </c>
      <c r="B2761">
        <v>526.25</v>
      </c>
      <c r="C2761">
        <v>525.04999999999995</v>
      </c>
      <c r="D2761">
        <v>513.15</v>
      </c>
      <c r="E2761">
        <v>522.54999999999995</v>
      </c>
      <c r="F2761">
        <v>525.04999999999995</v>
      </c>
      <c r="G2761">
        <v>1001246</v>
      </c>
      <c r="H2761" s="116"/>
      <c r="I2761" s="116"/>
      <c r="L2761" s="170">
        <v>46069</v>
      </c>
      <c r="M2761" s="116">
        <v>524.70000000000005</v>
      </c>
      <c r="N2761" s="116">
        <v>526.4</v>
      </c>
      <c r="O2761" s="116">
        <v>513.20000000000005</v>
      </c>
      <c r="P2761" s="116">
        <v>520</v>
      </c>
      <c r="Q2761" s="116">
        <v>524.70000000000005</v>
      </c>
      <c r="R2761">
        <v>705071</v>
      </c>
    </row>
    <row r="2762" spans="1:18" x14ac:dyDescent="0.25">
      <c r="A2762" s="170">
        <v>46070</v>
      </c>
      <c r="B2762">
        <v>528.45000000000005</v>
      </c>
      <c r="C2762">
        <v>522.04999999999995</v>
      </c>
      <c r="D2762">
        <v>520.79999999999995</v>
      </c>
      <c r="E2762">
        <v>524.20000000000005</v>
      </c>
      <c r="F2762">
        <v>522.04999999999995</v>
      </c>
      <c r="G2762">
        <v>65510</v>
      </c>
      <c r="H2762" s="116"/>
      <c r="I2762" s="116"/>
      <c r="L2762" s="170">
        <v>46070</v>
      </c>
      <c r="M2762" s="116">
        <v>522</v>
      </c>
      <c r="N2762" s="116">
        <v>528.5</v>
      </c>
      <c r="O2762" s="116">
        <v>520.85</v>
      </c>
      <c r="P2762" s="116">
        <v>523.70000000000005</v>
      </c>
      <c r="Q2762" s="116">
        <v>522</v>
      </c>
      <c r="R2762">
        <v>2242675</v>
      </c>
    </row>
    <row r="2763" spans="1:18" x14ac:dyDescent="0.25">
      <c r="A2763" s="170">
        <v>46071</v>
      </c>
      <c r="B2763">
        <v>525.79999999999995</v>
      </c>
      <c r="C2763">
        <v>522.95000000000005</v>
      </c>
      <c r="D2763">
        <v>520.20000000000005</v>
      </c>
      <c r="E2763">
        <v>521.35</v>
      </c>
      <c r="F2763">
        <v>522.95000000000005</v>
      </c>
      <c r="G2763">
        <v>44711</v>
      </c>
      <c r="H2763" s="116"/>
      <c r="I2763" s="116"/>
      <c r="L2763" s="170">
        <v>46071</v>
      </c>
      <c r="M2763" s="116">
        <v>523</v>
      </c>
      <c r="N2763" s="116">
        <v>525.85</v>
      </c>
      <c r="O2763" s="116">
        <v>520.04999999999995</v>
      </c>
      <c r="P2763" s="116">
        <v>522</v>
      </c>
      <c r="Q2763" s="116">
        <v>523</v>
      </c>
      <c r="R2763">
        <v>1773473</v>
      </c>
    </row>
    <row r="2764" spans="1:18" x14ac:dyDescent="0.25">
      <c r="A2764" s="170">
        <v>46072</v>
      </c>
      <c r="B2764">
        <v>526</v>
      </c>
      <c r="C2764">
        <v>511.95</v>
      </c>
      <c r="D2764">
        <v>510.95</v>
      </c>
      <c r="E2764">
        <v>522.6</v>
      </c>
      <c r="F2764">
        <v>511.95</v>
      </c>
      <c r="G2764">
        <v>20519</v>
      </c>
      <c r="H2764" s="116"/>
      <c r="I2764" s="116"/>
      <c r="L2764" s="170">
        <v>46072</v>
      </c>
      <c r="M2764" s="116">
        <v>512.15</v>
      </c>
      <c r="N2764" s="116">
        <v>526.35</v>
      </c>
      <c r="O2764" s="116">
        <v>510.8</v>
      </c>
      <c r="P2764" s="116">
        <v>522</v>
      </c>
      <c r="Q2764" s="116">
        <v>512.15</v>
      </c>
      <c r="R2764">
        <v>2535330</v>
      </c>
    </row>
    <row r="2765" spans="1:18" x14ac:dyDescent="0.25">
      <c r="A2765" s="170">
        <v>46073</v>
      </c>
      <c r="B2765">
        <v>517.95000000000005</v>
      </c>
      <c r="C2765">
        <v>512.1</v>
      </c>
      <c r="D2765">
        <v>508.45</v>
      </c>
      <c r="E2765">
        <v>514.9</v>
      </c>
      <c r="F2765">
        <v>512.1</v>
      </c>
      <c r="G2765">
        <v>24840</v>
      </c>
      <c r="H2765" s="116"/>
      <c r="I2765" s="116"/>
      <c r="L2765" s="170">
        <v>46073</v>
      </c>
      <c r="M2765" s="116">
        <v>512</v>
      </c>
      <c r="N2765" s="116">
        <v>517.79999999999995</v>
      </c>
      <c r="O2765" s="116">
        <v>508.65</v>
      </c>
      <c r="P2765" s="116">
        <v>512.15</v>
      </c>
      <c r="Q2765" s="116">
        <v>512</v>
      </c>
      <c r="R2765">
        <v>2376908</v>
      </c>
    </row>
    <row r="2766" spans="1:18" x14ac:dyDescent="0.25">
      <c r="A2766" s="170">
        <v>46076</v>
      </c>
      <c r="B2766">
        <v>518.6</v>
      </c>
      <c r="C2766">
        <v>515.45000000000005</v>
      </c>
      <c r="D2766">
        <v>508.45</v>
      </c>
      <c r="E2766">
        <v>508.45</v>
      </c>
      <c r="F2766">
        <v>515.45000000000005</v>
      </c>
      <c r="G2766">
        <v>67381</v>
      </c>
      <c r="H2766" s="116"/>
      <c r="I2766" s="116"/>
      <c r="L2766" s="170">
        <v>46076</v>
      </c>
      <c r="M2766" s="116">
        <v>515.29999999999995</v>
      </c>
      <c r="N2766" s="116">
        <v>518.65</v>
      </c>
      <c r="O2766" s="116">
        <v>510.75</v>
      </c>
      <c r="P2766" s="116">
        <v>512</v>
      </c>
      <c r="Q2766" s="116">
        <v>515.29999999999995</v>
      </c>
      <c r="R2766">
        <v>926117</v>
      </c>
    </row>
    <row r="2767" spans="1:18" x14ac:dyDescent="0.25">
      <c r="A2767" s="170">
        <v>46077</v>
      </c>
      <c r="B2767">
        <v>517.04999999999995</v>
      </c>
      <c r="C2767">
        <v>514.25</v>
      </c>
      <c r="D2767">
        <v>507</v>
      </c>
      <c r="E2767">
        <v>512.1</v>
      </c>
      <c r="F2767">
        <v>514.25</v>
      </c>
      <c r="G2767">
        <v>56013</v>
      </c>
      <c r="H2767" s="116"/>
      <c r="I2767" s="116"/>
      <c r="L2767" s="170">
        <v>46077</v>
      </c>
      <c r="M2767" s="116">
        <v>514.5</v>
      </c>
      <c r="N2767" s="116">
        <v>516.95000000000005</v>
      </c>
      <c r="O2767" s="116">
        <v>506.95</v>
      </c>
      <c r="P2767" s="116">
        <v>514.95000000000005</v>
      </c>
      <c r="Q2767" s="116">
        <v>514.5</v>
      </c>
      <c r="R2767">
        <v>1586025</v>
      </c>
    </row>
    <row r="2768" spans="1:18" x14ac:dyDescent="0.25">
      <c r="A2768" s="170">
        <v>46078</v>
      </c>
      <c r="B2768">
        <v>518</v>
      </c>
      <c r="C2768">
        <v>511.05</v>
      </c>
      <c r="D2768">
        <v>507.6</v>
      </c>
      <c r="E2768">
        <v>511.85</v>
      </c>
      <c r="F2768">
        <v>511.05</v>
      </c>
      <c r="G2768">
        <v>53251</v>
      </c>
      <c r="H2768" s="116"/>
      <c r="I2768" s="116"/>
      <c r="L2768" s="170">
        <v>46078</v>
      </c>
      <c r="M2768" s="116">
        <v>511.1</v>
      </c>
      <c r="N2768" s="116">
        <v>518.5</v>
      </c>
      <c r="O2768" s="116">
        <v>507.4</v>
      </c>
      <c r="P2768" s="116">
        <v>514.75</v>
      </c>
      <c r="Q2768" s="116">
        <v>511.1</v>
      </c>
      <c r="R2768">
        <v>1574610</v>
      </c>
    </row>
    <row r="2769" spans="1:18" x14ac:dyDescent="0.25">
      <c r="A2769" s="170">
        <v>46079</v>
      </c>
      <c r="B2769">
        <v>519.65</v>
      </c>
      <c r="C2769">
        <v>512.20000000000005</v>
      </c>
      <c r="D2769">
        <v>510</v>
      </c>
      <c r="E2769">
        <v>519.65</v>
      </c>
      <c r="F2769">
        <v>512.20000000000005</v>
      </c>
      <c r="G2769">
        <v>23103</v>
      </c>
      <c r="H2769" s="116"/>
      <c r="I2769" s="116"/>
      <c r="L2769" s="170">
        <v>46079</v>
      </c>
      <c r="M2769" s="116">
        <v>512.15</v>
      </c>
      <c r="N2769" s="116">
        <v>515.79999999999995</v>
      </c>
      <c r="O2769" s="116">
        <v>510</v>
      </c>
      <c r="P2769" s="116">
        <v>513</v>
      </c>
      <c r="Q2769" s="116">
        <v>512.15</v>
      </c>
      <c r="R2769">
        <v>1099252</v>
      </c>
    </row>
    <row r="2770" spans="1:18" x14ac:dyDescent="0.25">
      <c r="A2770" s="170">
        <v>46080</v>
      </c>
      <c r="B2770">
        <v>512.75</v>
      </c>
      <c r="C2770">
        <v>500.3</v>
      </c>
      <c r="D2770">
        <v>499.1</v>
      </c>
      <c r="E2770">
        <v>508.05</v>
      </c>
      <c r="F2770">
        <v>500.3</v>
      </c>
      <c r="G2770">
        <v>94005</v>
      </c>
      <c r="H2770" s="116"/>
      <c r="I2770" s="116"/>
      <c r="L2770" s="170">
        <v>46080</v>
      </c>
      <c r="M2770" s="116">
        <v>500.4</v>
      </c>
      <c r="N2770" s="116">
        <v>512.04999999999995</v>
      </c>
      <c r="O2770" s="116">
        <v>499</v>
      </c>
      <c r="P2770" s="116">
        <v>512</v>
      </c>
      <c r="Q2770" s="116">
        <v>500.4</v>
      </c>
      <c r="R2770">
        <v>2428507</v>
      </c>
    </row>
    <row r="2771" spans="1:18" x14ac:dyDescent="0.25">
      <c r="A2771" s="170">
        <v>46083</v>
      </c>
      <c r="B2771">
        <v>493.2</v>
      </c>
      <c r="C2771">
        <v>489.25</v>
      </c>
      <c r="D2771">
        <v>480.5</v>
      </c>
      <c r="E2771">
        <v>490</v>
      </c>
      <c r="F2771">
        <v>489.25</v>
      </c>
      <c r="G2771">
        <v>135312</v>
      </c>
      <c r="H2771" s="116"/>
      <c r="I2771" s="116"/>
      <c r="L2771" s="170">
        <v>46083</v>
      </c>
      <c r="M2771" s="116">
        <v>490.75</v>
      </c>
      <c r="N2771" s="116">
        <v>493.4</v>
      </c>
      <c r="O2771" s="116">
        <v>480.1</v>
      </c>
      <c r="P2771" s="116">
        <v>490.1</v>
      </c>
      <c r="Q2771" s="116">
        <v>490.75</v>
      </c>
      <c r="R2771">
        <v>2820015</v>
      </c>
    </row>
    <row r="2772" spans="1:18" x14ac:dyDescent="0.25">
      <c r="A2772" s="170">
        <v>46085</v>
      </c>
      <c r="B2772">
        <v>488.6</v>
      </c>
      <c r="C2772">
        <v>475.9</v>
      </c>
      <c r="D2772">
        <v>471.65</v>
      </c>
      <c r="E2772">
        <v>488.6</v>
      </c>
      <c r="F2772">
        <v>475.9</v>
      </c>
      <c r="G2772">
        <v>241219</v>
      </c>
      <c r="H2772" s="116"/>
      <c r="I2772" s="116"/>
      <c r="L2772" s="170">
        <v>46085</v>
      </c>
      <c r="M2772" s="116">
        <v>476.15</v>
      </c>
      <c r="N2772" s="116">
        <v>482.2</v>
      </c>
      <c r="O2772" s="116">
        <v>471.55</v>
      </c>
      <c r="P2772" s="116">
        <v>482</v>
      </c>
      <c r="Q2772" s="116">
        <v>476.15</v>
      </c>
      <c r="R2772">
        <v>2300996</v>
      </c>
    </row>
    <row r="2773" spans="1:18" x14ac:dyDescent="0.25">
      <c r="A2773" s="170">
        <v>46086</v>
      </c>
      <c r="B2773">
        <v>482.15</v>
      </c>
      <c r="C2773">
        <v>480.05</v>
      </c>
      <c r="D2773">
        <v>469.35</v>
      </c>
      <c r="E2773">
        <v>477.15</v>
      </c>
      <c r="F2773">
        <v>480.05</v>
      </c>
      <c r="G2773">
        <v>50970</v>
      </c>
      <c r="H2773" s="116"/>
      <c r="I2773" s="116"/>
      <c r="L2773" s="170">
        <v>46086</v>
      </c>
      <c r="M2773" s="116">
        <v>480</v>
      </c>
      <c r="N2773" s="116">
        <v>482.4</v>
      </c>
      <c r="O2773" s="116">
        <v>469.45</v>
      </c>
      <c r="P2773" s="116">
        <v>479</v>
      </c>
      <c r="Q2773" s="116">
        <v>480</v>
      </c>
      <c r="R2773">
        <v>1744314</v>
      </c>
    </row>
    <row r="2774" spans="1:18" x14ac:dyDescent="0.25">
      <c r="A2774" s="170">
        <v>46087</v>
      </c>
      <c r="B2774">
        <v>480.8</v>
      </c>
      <c r="C2774">
        <v>466.7</v>
      </c>
      <c r="D2774">
        <v>465.35</v>
      </c>
      <c r="E2774">
        <v>472.45</v>
      </c>
      <c r="F2774">
        <v>466.7</v>
      </c>
      <c r="G2774">
        <v>91781</v>
      </c>
      <c r="H2774" s="116"/>
      <c r="I2774" s="116"/>
      <c r="L2774" s="170">
        <v>46087</v>
      </c>
      <c r="M2774" s="116">
        <v>466.75</v>
      </c>
      <c r="N2774" s="116">
        <v>480.75</v>
      </c>
      <c r="O2774" s="116">
        <v>463.35</v>
      </c>
      <c r="P2774" s="116">
        <v>475.7</v>
      </c>
      <c r="Q2774" s="116">
        <v>466.75</v>
      </c>
      <c r="R2774">
        <v>1326098</v>
      </c>
    </row>
    <row r="2775" spans="1:18" x14ac:dyDescent="0.25">
      <c r="A2775" s="170">
        <v>46090</v>
      </c>
      <c r="B2775">
        <v>460.35</v>
      </c>
      <c r="C2775">
        <v>451.65</v>
      </c>
      <c r="D2775">
        <v>443.65</v>
      </c>
      <c r="E2775">
        <v>460.35</v>
      </c>
      <c r="F2775">
        <v>451.65</v>
      </c>
      <c r="G2775">
        <v>401927</v>
      </c>
      <c r="H2775" s="116"/>
      <c r="I2775" s="116"/>
      <c r="L2775" s="170">
        <v>46090</v>
      </c>
      <c r="M2775" s="116">
        <v>451.95</v>
      </c>
      <c r="N2775" s="116">
        <v>459</v>
      </c>
      <c r="O2775" s="116">
        <v>443.25</v>
      </c>
      <c r="P2775" s="116">
        <v>459</v>
      </c>
      <c r="Q2775" s="116">
        <v>451.95</v>
      </c>
      <c r="R2775">
        <v>4222293</v>
      </c>
    </row>
    <row r="2776" spans="1:18" x14ac:dyDescent="0.25">
      <c r="A2776" s="170">
        <v>46091</v>
      </c>
      <c r="B2776">
        <v>465.4</v>
      </c>
      <c r="C2776">
        <v>462.3</v>
      </c>
      <c r="D2776">
        <v>454.5</v>
      </c>
      <c r="E2776">
        <v>457.25</v>
      </c>
      <c r="F2776">
        <v>462.3</v>
      </c>
      <c r="G2776">
        <v>76299</v>
      </c>
      <c r="H2776" s="116"/>
      <c r="I2776" s="116"/>
      <c r="L2776" s="170">
        <v>46091</v>
      </c>
      <c r="M2776" s="116">
        <v>462.1</v>
      </c>
      <c r="N2776" s="116">
        <v>465.7</v>
      </c>
      <c r="O2776" s="116">
        <v>454.1</v>
      </c>
      <c r="P2776" s="116">
        <v>459.1</v>
      </c>
      <c r="Q2776" s="116">
        <v>462.1</v>
      </c>
      <c r="R2776">
        <v>2249388</v>
      </c>
    </row>
    <row r="2777" spans="1:18" x14ac:dyDescent="0.25">
      <c r="A2777" s="170">
        <v>46092</v>
      </c>
      <c r="B2777">
        <v>471.2</v>
      </c>
      <c r="C2777">
        <v>457.65</v>
      </c>
      <c r="D2777">
        <v>456</v>
      </c>
      <c r="E2777">
        <v>461.9</v>
      </c>
      <c r="F2777">
        <v>457.65</v>
      </c>
      <c r="G2777">
        <v>79961</v>
      </c>
      <c r="H2777" s="116"/>
      <c r="I2777" s="116"/>
      <c r="L2777" s="170">
        <v>46092</v>
      </c>
      <c r="M2777" s="116">
        <v>457.8</v>
      </c>
      <c r="N2777" s="116">
        <v>471.35</v>
      </c>
      <c r="O2777" s="116">
        <v>456</v>
      </c>
      <c r="P2777" s="116">
        <v>462.5</v>
      </c>
      <c r="Q2777" s="116">
        <v>457.8</v>
      </c>
      <c r="R2777">
        <v>1879908</v>
      </c>
    </row>
    <row r="2778" spans="1:18" x14ac:dyDescent="0.25">
      <c r="A2778" s="170">
        <v>46093</v>
      </c>
      <c r="B2778">
        <v>455.6</v>
      </c>
      <c r="C2778">
        <v>446.7</v>
      </c>
      <c r="D2778">
        <v>445.45</v>
      </c>
      <c r="E2778">
        <v>455.5</v>
      </c>
      <c r="F2778">
        <v>446.7</v>
      </c>
      <c r="G2778">
        <v>129265</v>
      </c>
      <c r="H2778" s="116"/>
      <c r="I2778" s="116"/>
      <c r="L2778" s="170">
        <v>46093</v>
      </c>
      <c r="M2778" s="116">
        <v>446.45</v>
      </c>
      <c r="N2778" s="116">
        <v>455.55</v>
      </c>
      <c r="O2778" s="116">
        <v>445</v>
      </c>
      <c r="P2778" s="116">
        <v>455</v>
      </c>
      <c r="Q2778" s="116">
        <v>446.45</v>
      </c>
      <c r="R2778">
        <v>5554429</v>
      </c>
    </row>
    <row r="2779" spans="1:18" x14ac:dyDescent="0.25">
      <c r="A2779" s="170">
        <v>46094</v>
      </c>
      <c r="B2779">
        <v>446.55</v>
      </c>
      <c r="C2779">
        <v>425.6</v>
      </c>
      <c r="D2779">
        <v>424.5</v>
      </c>
      <c r="E2779">
        <v>445</v>
      </c>
      <c r="F2779">
        <v>425.6</v>
      </c>
      <c r="G2779">
        <v>191069</v>
      </c>
      <c r="H2779" s="116"/>
      <c r="I2779" s="116"/>
      <c r="L2779" s="170">
        <v>46094</v>
      </c>
      <c r="M2779" s="116">
        <v>425.35</v>
      </c>
      <c r="N2779" s="116">
        <v>446.3</v>
      </c>
      <c r="O2779" s="116">
        <v>424.4</v>
      </c>
      <c r="P2779" s="116">
        <v>445</v>
      </c>
      <c r="Q2779" s="116">
        <v>425.35</v>
      </c>
      <c r="R2779">
        <v>4856344</v>
      </c>
    </row>
    <row r="2780" spans="1:18" x14ac:dyDescent="0.25">
      <c r="A2780" s="170">
        <v>46097</v>
      </c>
      <c r="B2780">
        <v>435</v>
      </c>
      <c r="C2780">
        <v>428.35</v>
      </c>
      <c r="D2780">
        <v>424.8</v>
      </c>
      <c r="E2780">
        <v>425.1</v>
      </c>
      <c r="F2780">
        <v>428.35</v>
      </c>
      <c r="G2780">
        <v>155843</v>
      </c>
      <c r="H2780" s="116"/>
      <c r="I2780" s="116"/>
      <c r="L2780" s="170">
        <v>46097</v>
      </c>
      <c r="M2780" s="116">
        <v>429</v>
      </c>
      <c r="N2780" s="116">
        <v>434.95</v>
      </c>
      <c r="O2780" s="116">
        <v>424.75</v>
      </c>
      <c r="P2780" s="116">
        <v>425.55</v>
      </c>
      <c r="Q2780" s="116">
        <v>429</v>
      </c>
      <c r="R2780">
        <v>6857558</v>
      </c>
    </row>
    <row r="2781" spans="1:18" x14ac:dyDescent="0.25">
      <c r="A2781" s="170">
        <v>46098</v>
      </c>
      <c r="B2781">
        <v>436.2</v>
      </c>
      <c r="C2781">
        <v>433.95</v>
      </c>
      <c r="D2781">
        <v>428.1</v>
      </c>
      <c r="E2781">
        <v>430.8</v>
      </c>
      <c r="F2781">
        <v>433.95</v>
      </c>
      <c r="G2781">
        <v>253700</v>
      </c>
      <c r="H2781" s="116"/>
      <c r="I2781" s="116"/>
      <c r="L2781" s="170">
        <v>46098</v>
      </c>
      <c r="M2781" s="116">
        <v>434.2</v>
      </c>
      <c r="N2781" s="116">
        <v>436.3</v>
      </c>
      <c r="O2781" s="116">
        <v>428.1</v>
      </c>
      <c r="P2781" s="116">
        <v>432.8</v>
      </c>
      <c r="Q2781" s="116">
        <v>434.2</v>
      </c>
      <c r="R2781">
        <v>2154056</v>
      </c>
    </row>
    <row r="2782" spans="1:18" x14ac:dyDescent="0.25">
      <c r="A2782" s="170">
        <v>46099</v>
      </c>
      <c r="B2782">
        <v>444</v>
      </c>
      <c r="C2782">
        <v>441.15</v>
      </c>
      <c r="D2782">
        <v>433.9</v>
      </c>
      <c r="E2782">
        <v>438.45</v>
      </c>
      <c r="F2782">
        <v>441.15</v>
      </c>
      <c r="G2782">
        <v>60332</v>
      </c>
      <c r="H2782" s="116"/>
      <c r="I2782" s="116"/>
      <c r="L2782" s="170">
        <v>46099</v>
      </c>
      <c r="M2782" s="116">
        <v>441.25</v>
      </c>
      <c r="N2782" s="116">
        <v>444.3</v>
      </c>
      <c r="O2782" s="116">
        <v>433.45</v>
      </c>
      <c r="P2782" s="116">
        <v>438</v>
      </c>
      <c r="Q2782" s="116">
        <v>441.25</v>
      </c>
      <c r="R2782">
        <v>3070154</v>
      </c>
    </row>
    <row r="2783" spans="1:18" x14ac:dyDescent="0.25">
      <c r="A2783" s="170">
        <v>46100</v>
      </c>
      <c r="B2783">
        <v>435.3</v>
      </c>
      <c r="C2783">
        <v>420.25</v>
      </c>
      <c r="D2783">
        <v>418.5</v>
      </c>
      <c r="E2783">
        <v>425.15</v>
      </c>
      <c r="F2783">
        <v>420.25</v>
      </c>
      <c r="G2783">
        <v>152085</v>
      </c>
      <c r="H2783" s="116"/>
      <c r="I2783" s="116"/>
      <c r="L2783" s="170">
        <v>46100</v>
      </c>
      <c r="M2783" s="116">
        <v>419.95</v>
      </c>
      <c r="N2783" s="116">
        <v>435.75</v>
      </c>
      <c r="O2783" s="116">
        <v>418.25</v>
      </c>
      <c r="P2783" s="116">
        <v>433</v>
      </c>
      <c r="Q2783" s="116">
        <v>419.95</v>
      </c>
      <c r="R2783">
        <v>2679767</v>
      </c>
    </row>
    <row r="2784" spans="1:18" x14ac:dyDescent="0.25">
      <c r="A2784" s="170">
        <v>46101</v>
      </c>
      <c r="B2784">
        <v>427.55</v>
      </c>
      <c r="C2784">
        <v>420.7</v>
      </c>
      <c r="D2784">
        <v>419.35</v>
      </c>
      <c r="E2784">
        <v>425</v>
      </c>
      <c r="F2784">
        <v>420.7</v>
      </c>
      <c r="G2784">
        <v>184875</v>
      </c>
      <c r="H2784" s="116"/>
      <c r="I2784" s="116"/>
      <c r="L2784" s="170">
        <v>46101</v>
      </c>
      <c r="M2784" s="116">
        <v>420.55</v>
      </c>
      <c r="N2784" s="116">
        <v>427.6</v>
      </c>
      <c r="O2784" s="116">
        <v>419</v>
      </c>
      <c r="P2784" s="116">
        <v>425</v>
      </c>
      <c r="Q2784" s="116">
        <v>420.55</v>
      </c>
      <c r="R2784">
        <v>2282335</v>
      </c>
    </row>
    <row r="2785" spans="1:18" x14ac:dyDescent="0.25">
      <c r="A2785" s="170">
        <v>46104</v>
      </c>
      <c r="B2785">
        <v>416.85</v>
      </c>
      <c r="C2785">
        <v>395.4</v>
      </c>
      <c r="D2785">
        <v>394</v>
      </c>
      <c r="E2785">
        <v>416.75</v>
      </c>
      <c r="F2785">
        <v>395.4</v>
      </c>
      <c r="G2785">
        <v>359064</v>
      </c>
      <c r="H2785" s="116"/>
      <c r="I2785" s="116"/>
      <c r="L2785" s="170">
        <v>46104</v>
      </c>
      <c r="M2785" s="116">
        <v>395.35</v>
      </c>
      <c r="N2785" s="116">
        <v>416.8</v>
      </c>
      <c r="O2785" s="116">
        <v>394</v>
      </c>
      <c r="P2785" s="116">
        <v>416.8</v>
      </c>
      <c r="Q2785" s="116">
        <v>395.35</v>
      </c>
      <c r="R2785">
        <v>4333904</v>
      </c>
    </row>
    <row r="2786" spans="1:18" x14ac:dyDescent="0.25">
      <c r="A2786" s="170">
        <v>46105</v>
      </c>
      <c r="B2786">
        <v>413.4</v>
      </c>
      <c r="C2786">
        <v>407.55</v>
      </c>
      <c r="D2786">
        <v>395.25</v>
      </c>
      <c r="E2786">
        <v>408.15</v>
      </c>
      <c r="F2786">
        <v>407.55</v>
      </c>
      <c r="G2786">
        <v>200271</v>
      </c>
      <c r="H2786" s="116"/>
      <c r="I2786" s="116"/>
      <c r="L2786" s="170">
        <v>46105</v>
      </c>
      <c r="M2786" s="116">
        <v>407.55</v>
      </c>
      <c r="N2786" s="116">
        <v>413.5</v>
      </c>
      <c r="O2786" s="116">
        <v>395.1</v>
      </c>
      <c r="P2786" s="116">
        <v>407.9</v>
      </c>
      <c r="Q2786" s="116">
        <v>407.55</v>
      </c>
      <c r="R2786">
        <v>5189341</v>
      </c>
    </row>
    <row r="2787" spans="1:18" x14ac:dyDescent="0.25">
      <c r="A2787" s="170">
        <v>46106</v>
      </c>
      <c r="B2787">
        <v>427.75</v>
      </c>
      <c r="C2787">
        <v>422.1</v>
      </c>
      <c r="D2787">
        <v>411.2</v>
      </c>
      <c r="E2787">
        <v>411.2</v>
      </c>
      <c r="F2787">
        <v>422.1</v>
      </c>
      <c r="G2787">
        <v>285940</v>
      </c>
      <c r="H2787" s="116"/>
      <c r="I2787" s="116"/>
      <c r="L2787" s="170">
        <v>46106</v>
      </c>
      <c r="M2787" s="116">
        <v>421.8</v>
      </c>
      <c r="N2787" s="116">
        <v>427.7</v>
      </c>
      <c r="O2787" s="116">
        <v>414</v>
      </c>
      <c r="P2787" s="116">
        <v>414</v>
      </c>
      <c r="Q2787" s="116">
        <v>421.8</v>
      </c>
      <c r="R2787">
        <v>4840404</v>
      </c>
    </row>
    <row r="2788" spans="1:18" x14ac:dyDescent="0.25">
      <c r="A2788" s="170">
        <v>46108</v>
      </c>
      <c r="B2788">
        <v>418.6</v>
      </c>
      <c r="C2788">
        <v>408.95</v>
      </c>
      <c r="D2788">
        <v>408</v>
      </c>
      <c r="E2788">
        <v>418.55</v>
      </c>
      <c r="F2788">
        <v>408.95</v>
      </c>
      <c r="G2788">
        <v>229442</v>
      </c>
      <c r="H2788" s="116"/>
      <c r="I2788" s="116"/>
      <c r="L2788" s="170">
        <v>46108</v>
      </c>
      <c r="M2788" s="116">
        <v>408.85</v>
      </c>
      <c r="N2788" s="116">
        <v>418.6</v>
      </c>
      <c r="O2788" s="116">
        <v>407.6</v>
      </c>
      <c r="P2788" s="116">
        <v>418</v>
      </c>
      <c r="Q2788" s="116">
        <v>408.85</v>
      </c>
      <c r="R2788">
        <v>6114057</v>
      </c>
    </row>
    <row r="2789" spans="1:18" x14ac:dyDescent="0.25">
      <c r="A2789" s="170">
        <v>46111</v>
      </c>
      <c r="B2789">
        <v>410.95</v>
      </c>
      <c r="C2789">
        <v>400.9</v>
      </c>
      <c r="D2789">
        <v>399.5</v>
      </c>
      <c r="E2789">
        <v>406.05</v>
      </c>
      <c r="F2789">
        <v>400.9</v>
      </c>
      <c r="G2789">
        <v>285375</v>
      </c>
      <c r="H2789" s="116"/>
      <c r="I2789" s="116"/>
      <c r="L2789" s="170">
        <v>46111</v>
      </c>
      <c r="M2789" s="116">
        <v>401.25</v>
      </c>
      <c r="N2789" s="116">
        <v>411</v>
      </c>
      <c r="O2789" s="116">
        <v>399.4</v>
      </c>
      <c r="P2789" s="116">
        <v>405</v>
      </c>
      <c r="Q2789" s="116">
        <v>401.25</v>
      </c>
      <c r="R2789">
        <v>4653934</v>
      </c>
    </row>
    <row r="2790" spans="1:18" x14ac:dyDescent="0.25">
      <c r="A2790" s="170">
        <v>46113</v>
      </c>
      <c r="B2790">
        <v>421.9</v>
      </c>
      <c r="C2790">
        <v>420.05</v>
      </c>
      <c r="D2790">
        <v>409.4</v>
      </c>
      <c r="E2790">
        <v>418.5</v>
      </c>
      <c r="F2790">
        <v>420.05</v>
      </c>
      <c r="G2790">
        <v>139885</v>
      </c>
      <c r="H2790" s="116"/>
      <c r="I2790" s="116"/>
      <c r="L2790" s="170">
        <v>46113</v>
      </c>
      <c r="M2790" s="116">
        <v>420.35</v>
      </c>
      <c r="N2790" s="116">
        <v>422.8</v>
      </c>
      <c r="O2790" s="116">
        <v>409.1</v>
      </c>
      <c r="P2790" s="116">
        <v>415</v>
      </c>
      <c r="Q2790" s="116">
        <v>420.35</v>
      </c>
      <c r="R2790">
        <v>3593392</v>
      </c>
    </row>
    <row r="2791" spans="1:18" x14ac:dyDescent="0.25">
      <c r="A2791" s="170">
        <v>46114</v>
      </c>
      <c r="B2791">
        <v>420</v>
      </c>
      <c r="C2791">
        <v>418.3</v>
      </c>
      <c r="D2791">
        <v>407</v>
      </c>
      <c r="E2791">
        <v>416.45</v>
      </c>
      <c r="F2791">
        <v>418.3</v>
      </c>
      <c r="G2791">
        <v>74593</v>
      </c>
      <c r="H2791" s="116"/>
      <c r="I2791" s="116"/>
      <c r="L2791" s="170">
        <v>46114</v>
      </c>
      <c r="M2791" s="116">
        <v>418.45</v>
      </c>
      <c r="N2791" s="116">
        <v>420</v>
      </c>
      <c r="O2791" s="116">
        <v>406.7</v>
      </c>
      <c r="P2791" s="116">
        <v>414.5</v>
      </c>
      <c r="Q2791" s="116">
        <v>418.45</v>
      </c>
      <c r="R2791">
        <v>2016351</v>
      </c>
    </row>
    <row r="2792" spans="1:18" x14ac:dyDescent="0.25">
      <c r="A2792" s="170">
        <v>46118</v>
      </c>
      <c r="B2792">
        <v>431.45</v>
      </c>
      <c r="C2792">
        <v>430.1</v>
      </c>
      <c r="D2792">
        <v>412.5</v>
      </c>
      <c r="E2792">
        <v>421.35</v>
      </c>
      <c r="F2792">
        <v>430.1</v>
      </c>
      <c r="G2792">
        <v>73890</v>
      </c>
      <c r="H2792" s="116"/>
      <c r="I2792" s="116"/>
      <c r="L2792" s="170">
        <v>46118</v>
      </c>
      <c r="M2792" s="116">
        <v>430.05</v>
      </c>
      <c r="N2792" s="116">
        <v>431.1</v>
      </c>
      <c r="O2792" s="116">
        <v>412.4</v>
      </c>
      <c r="P2792" s="116">
        <v>420.45</v>
      </c>
      <c r="Q2792" s="116">
        <v>430.05</v>
      </c>
      <c r="R2792">
        <v>2653255</v>
      </c>
    </row>
    <row r="2793" spans="1:18" x14ac:dyDescent="0.25">
      <c r="A2793" s="170">
        <v>46119</v>
      </c>
      <c r="B2793">
        <v>429.35</v>
      </c>
      <c r="C2793">
        <v>420.25</v>
      </c>
      <c r="D2793">
        <v>418.1</v>
      </c>
      <c r="E2793">
        <v>429.35</v>
      </c>
      <c r="F2793">
        <v>420.25</v>
      </c>
      <c r="G2793">
        <v>118184</v>
      </c>
      <c r="H2793" s="116"/>
      <c r="I2793" s="116"/>
      <c r="L2793" s="170">
        <v>46119</v>
      </c>
      <c r="M2793" s="116">
        <v>420.45</v>
      </c>
      <c r="N2793" s="116">
        <v>426.95</v>
      </c>
      <c r="O2793" s="116">
        <v>418</v>
      </c>
      <c r="P2793" s="116">
        <v>426.95</v>
      </c>
      <c r="Q2793" s="116">
        <v>420.45</v>
      </c>
      <c r="R2793">
        <v>3100760</v>
      </c>
    </row>
    <row r="2794" spans="1:18" x14ac:dyDescent="0.25">
      <c r="A2794" s="170">
        <v>46120</v>
      </c>
      <c r="B2794">
        <v>462.25</v>
      </c>
      <c r="C2794">
        <v>446.65</v>
      </c>
      <c r="D2794">
        <v>436.7</v>
      </c>
      <c r="E2794">
        <v>436.85</v>
      </c>
      <c r="F2794">
        <v>446.65</v>
      </c>
      <c r="G2794">
        <v>251147</v>
      </c>
      <c r="H2794" s="116"/>
      <c r="I2794" s="116"/>
      <c r="L2794" s="170">
        <v>46120</v>
      </c>
      <c r="M2794" s="116">
        <v>446.75</v>
      </c>
      <c r="N2794" s="116">
        <v>462.45</v>
      </c>
      <c r="O2794" s="116">
        <v>435</v>
      </c>
      <c r="P2794" s="116">
        <v>438</v>
      </c>
      <c r="Q2794" s="116">
        <v>446.75</v>
      </c>
      <c r="R2794">
        <v>7851973</v>
      </c>
    </row>
    <row r="2795" spans="1:18" x14ac:dyDescent="0.25">
      <c r="A2795" s="170">
        <v>46121</v>
      </c>
      <c r="B2795">
        <v>447</v>
      </c>
      <c r="C2795">
        <v>434.1</v>
      </c>
      <c r="D2795">
        <v>432.1</v>
      </c>
      <c r="E2795">
        <v>447</v>
      </c>
      <c r="F2795">
        <v>434.1</v>
      </c>
      <c r="G2795">
        <v>185980</v>
      </c>
      <c r="H2795" s="116"/>
      <c r="I2795" s="116"/>
      <c r="L2795" s="170">
        <v>46121</v>
      </c>
      <c r="M2795" s="116">
        <v>434.05</v>
      </c>
      <c r="N2795" s="116">
        <v>446.95</v>
      </c>
      <c r="O2795" s="116">
        <v>432</v>
      </c>
      <c r="P2795" s="116">
        <v>446.95</v>
      </c>
      <c r="Q2795" s="116">
        <v>434.05</v>
      </c>
      <c r="R2795">
        <v>4904296</v>
      </c>
    </row>
    <row r="2796" spans="1:18" x14ac:dyDescent="0.25">
      <c r="A2796" s="170">
        <v>46122</v>
      </c>
      <c r="B2796">
        <v>446.75</v>
      </c>
      <c r="C2796">
        <v>445.05</v>
      </c>
      <c r="D2796">
        <v>435.4</v>
      </c>
      <c r="E2796">
        <v>436.45</v>
      </c>
      <c r="F2796">
        <v>445.05</v>
      </c>
      <c r="G2796">
        <v>411714</v>
      </c>
      <c r="H2796" s="116"/>
      <c r="I2796" s="116"/>
      <c r="L2796" s="170">
        <v>46122</v>
      </c>
      <c r="M2796" s="116">
        <v>445.2</v>
      </c>
      <c r="N2796" s="116">
        <v>447</v>
      </c>
      <c r="O2796" s="116">
        <v>435.25</v>
      </c>
      <c r="P2796" s="116">
        <v>437</v>
      </c>
      <c r="Q2796" s="116">
        <v>445.2</v>
      </c>
      <c r="R2796">
        <v>3576120</v>
      </c>
    </row>
    <row r="2797" spans="1:18" x14ac:dyDescent="0.25">
      <c r="A2797" s="170">
        <v>46125</v>
      </c>
      <c r="B2797">
        <v>443.9</v>
      </c>
      <c r="C2797">
        <v>441.05</v>
      </c>
      <c r="D2797">
        <v>427.3</v>
      </c>
      <c r="E2797">
        <v>434.35</v>
      </c>
      <c r="F2797">
        <v>441.05</v>
      </c>
      <c r="G2797">
        <v>127592</v>
      </c>
      <c r="H2797" s="116"/>
      <c r="I2797" s="116"/>
      <c r="L2797" s="170">
        <v>46125</v>
      </c>
      <c r="M2797" s="116">
        <v>441</v>
      </c>
      <c r="N2797" s="116">
        <v>443.8</v>
      </c>
      <c r="O2797" s="116">
        <v>427.5</v>
      </c>
      <c r="P2797" s="116">
        <v>432.95</v>
      </c>
      <c r="Q2797" s="116">
        <v>441</v>
      </c>
      <c r="R2797">
        <v>2307559</v>
      </c>
    </row>
    <row r="2798" spans="1:18" x14ac:dyDescent="0.25">
      <c r="A2798" s="170">
        <v>46127</v>
      </c>
      <c r="B2798">
        <v>457.15</v>
      </c>
      <c r="C2798">
        <v>453.95</v>
      </c>
      <c r="D2798">
        <v>447</v>
      </c>
      <c r="E2798">
        <v>450.2</v>
      </c>
      <c r="F2798">
        <v>453.95</v>
      </c>
      <c r="G2798">
        <v>219410</v>
      </c>
      <c r="H2798" s="116"/>
      <c r="I2798" s="116"/>
      <c r="L2798" s="170">
        <v>46127</v>
      </c>
      <c r="M2798" s="116">
        <v>454</v>
      </c>
      <c r="N2798" s="116">
        <v>457.5</v>
      </c>
      <c r="O2798" s="116">
        <v>448.05</v>
      </c>
      <c r="P2798" s="116">
        <v>449.9</v>
      </c>
      <c r="Q2798" s="116">
        <v>454</v>
      </c>
      <c r="R2798">
        <v>2825450</v>
      </c>
    </row>
    <row r="2799" spans="1:18" x14ac:dyDescent="0.25">
      <c r="A2799" s="170">
        <v>46128</v>
      </c>
      <c r="B2799">
        <v>460.4</v>
      </c>
      <c r="C2799">
        <v>458.65</v>
      </c>
      <c r="D2799">
        <v>451.2</v>
      </c>
      <c r="E2799">
        <v>458.95</v>
      </c>
      <c r="F2799">
        <v>458.65</v>
      </c>
      <c r="G2799">
        <v>104158</v>
      </c>
      <c r="H2799" s="116"/>
      <c r="I2799" s="116"/>
      <c r="L2799" s="170">
        <v>46128</v>
      </c>
      <c r="M2799" s="116">
        <v>458.05</v>
      </c>
      <c r="N2799" s="116">
        <v>460.25</v>
      </c>
      <c r="O2799" s="116">
        <v>451.1</v>
      </c>
      <c r="P2799" s="116">
        <v>457</v>
      </c>
      <c r="Q2799" s="116">
        <v>458.05</v>
      </c>
      <c r="R2799">
        <v>2057087</v>
      </c>
    </row>
    <row r="2800" spans="1:18" x14ac:dyDescent="0.25">
      <c r="A2800" s="170">
        <v>46129</v>
      </c>
      <c r="B2800">
        <v>462</v>
      </c>
      <c r="C2800">
        <v>458.95</v>
      </c>
      <c r="D2800">
        <v>456.05</v>
      </c>
      <c r="E2800">
        <v>458.65</v>
      </c>
      <c r="F2800">
        <v>458.95</v>
      </c>
      <c r="G2800">
        <v>136285</v>
      </c>
      <c r="H2800" s="116"/>
      <c r="I2800" s="116"/>
      <c r="L2800" s="170">
        <v>46129</v>
      </c>
      <c r="M2800" s="116">
        <v>459</v>
      </c>
      <c r="N2800" s="116">
        <v>461.95</v>
      </c>
      <c r="O2800" s="116">
        <v>456.1</v>
      </c>
      <c r="P2800" s="116">
        <v>459.2</v>
      </c>
      <c r="Q2800" s="116">
        <v>459</v>
      </c>
      <c r="R2800">
        <v>1899655</v>
      </c>
    </row>
    <row r="2801" spans="1:18" x14ac:dyDescent="0.25">
      <c r="A2801" s="170">
        <v>46132</v>
      </c>
      <c r="B2801">
        <v>464.2</v>
      </c>
      <c r="C2801">
        <v>454.5</v>
      </c>
      <c r="D2801">
        <v>453.05</v>
      </c>
      <c r="E2801">
        <v>458.95</v>
      </c>
      <c r="F2801">
        <v>454.5</v>
      </c>
      <c r="G2801">
        <v>72332</v>
      </c>
      <c r="H2801" s="116"/>
      <c r="I2801" s="116"/>
      <c r="L2801" s="170">
        <v>46132</v>
      </c>
      <c r="M2801" s="116">
        <v>454.9</v>
      </c>
      <c r="N2801" s="116">
        <v>464</v>
      </c>
      <c r="O2801" s="116">
        <v>453</v>
      </c>
      <c r="P2801" s="116">
        <v>459</v>
      </c>
      <c r="Q2801" s="116">
        <v>454.9</v>
      </c>
      <c r="R2801">
        <v>1733571</v>
      </c>
    </row>
    <row r="2802" spans="1:18" x14ac:dyDescent="0.25">
      <c r="A2802" s="170">
        <v>46133</v>
      </c>
      <c r="B2802">
        <v>460</v>
      </c>
      <c r="C2802">
        <v>456.35</v>
      </c>
      <c r="D2802">
        <v>454.4</v>
      </c>
      <c r="E2802">
        <v>457.75</v>
      </c>
      <c r="F2802">
        <v>456.35</v>
      </c>
      <c r="G2802">
        <v>41564</v>
      </c>
      <c r="H2802" s="116"/>
      <c r="I2802" s="116"/>
      <c r="L2802" s="170">
        <v>46133</v>
      </c>
      <c r="M2802" s="116">
        <v>456.25</v>
      </c>
      <c r="N2802" s="116">
        <v>460</v>
      </c>
      <c r="O2802" s="116">
        <v>453.55</v>
      </c>
      <c r="P2802" s="116">
        <v>455.95</v>
      </c>
      <c r="Q2802" s="116">
        <v>456.25</v>
      </c>
      <c r="R2802">
        <v>1471622</v>
      </c>
    </row>
    <row r="2803" spans="1:18" x14ac:dyDescent="0.25">
      <c r="A2803" s="170">
        <v>46134</v>
      </c>
      <c r="B2803">
        <v>463.5</v>
      </c>
      <c r="C2803">
        <v>460.75</v>
      </c>
      <c r="D2803">
        <v>452</v>
      </c>
      <c r="E2803">
        <v>454.15</v>
      </c>
      <c r="F2803">
        <v>460.75</v>
      </c>
      <c r="G2803">
        <v>91944</v>
      </c>
      <c r="H2803" s="116"/>
      <c r="I2803" s="116"/>
      <c r="L2803" s="170">
        <v>46134</v>
      </c>
      <c r="M2803" s="116">
        <v>460.9</v>
      </c>
      <c r="N2803" s="116">
        <v>463.65</v>
      </c>
      <c r="O2803" s="116">
        <v>451</v>
      </c>
      <c r="P2803" s="116">
        <v>453.5</v>
      </c>
      <c r="Q2803" s="116">
        <v>460.9</v>
      </c>
      <c r="R2803">
        <v>1475937</v>
      </c>
    </row>
    <row r="2804" spans="1:18" x14ac:dyDescent="0.25">
      <c r="A2804" s="170">
        <v>46135</v>
      </c>
      <c r="B2804">
        <v>459.05</v>
      </c>
      <c r="C2804">
        <v>450.35</v>
      </c>
      <c r="D2804">
        <v>449.2</v>
      </c>
      <c r="E2804">
        <v>459.05</v>
      </c>
      <c r="F2804">
        <v>450.35</v>
      </c>
      <c r="G2804">
        <v>119669</v>
      </c>
      <c r="H2804" s="116"/>
      <c r="I2804" s="116"/>
      <c r="L2804" s="170">
        <v>46135</v>
      </c>
      <c r="M2804" s="116">
        <v>450.4</v>
      </c>
      <c r="N2804" s="116">
        <v>457.95</v>
      </c>
      <c r="O2804" s="116">
        <v>449</v>
      </c>
      <c r="P2804" s="116">
        <v>457.95</v>
      </c>
      <c r="Q2804" s="116">
        <v>450.4</v>
      </c>
      <c r="R2804">
        <v>2393788</v>
      </c>
    </row>
    <row r="2805" spans="1:18" x14ac:dyDescent="0.25">
      <c r="A2805" s="170">
        <v>46136</v>
      </c>
      <c r="B2805">
        <v>457.9</v>
      </c>
      <c r="C2805">
        <v>450.65</v>
      </c>
      <c r="D2805">
        <v>440.85</v>
      </c>
      <c r="E2805">
        <v>453.9</v>
      </c>
      <c r="F2805">
        <v>450.65</v>
      </c>
      <c r="G2805">
        <v>86521</v>
      </c>
      <c r="H2805" s="116"/>
      <c r="I2805" s="116"/>
      <c r="L2805" s="170">
        <v>46136</v>
      </c>
      <c r="M2805" s="116">
        <v>451.2</v>
      </c>
      <c r="N2805" s="116">
        <v>457.7</v>
      </c>
      <c r="O2805" s="116">
        <v>440.4</v>
      </c>
      <c r="P2805" s="116">
        <v>451</v>
      </c>
      <c r="Q2805" s="116">
        <v>451.2</v>
      </c>
      <c r="R2805">
        <v>3729295</v>
      </c>
    </row>
    <row r="2806" spans="1:18" x14ac:dyDescent="0.25">
      <c r="A2806" s="170">
        <v>46139</v>
      </c>
      <c r="B2806">
        <v>468.95</v>
      </c>
      <c r="C2806">
        <v>460.5</v>
      </c>
      <c r="D2806">
        <v>454.45</v>
      </c>
      <c r="E2806">
        <v>454.8</v>
      </c>
      <c r="F2806">
        <v>460.5</v>
      </c>
      <c r="G2806">
        <v>124570</v>
      </c>
      <c r="H2806" s="116"/>
      <c r="I2806" s="116"/>
      <c r="L2806" s="170">
        <v>46139</v>
      </c>
      <c r="M2806" s="116">
        <v>460.5</v>
      </c>
      <c r="N2806" s="116">
        <v>468.8</v>
      </c>
      <c r="O2806" s="116">
        <v>453.45</v>
      </c>
      <c r="P2806" s="116">
        <v>453.5</v>
      </c>
      <c r="Q2806" s="116">
        <v>460.5</v>
      </c>
      <c r="R2806">
        <v>3444150</v>
      </c>
    </row>
    <row r="2807" spans="1:18" x14ac:dyDescent="0.25">
      <c r="A2807" s="170">
        <v>46140</v>
      </c>
      <c r="B2807">
        <v>465</v>
      </c>
      <c r="C2807">
        <v>459.15</v>
      </c>
      <c r="D2807">
        <v>456.1</v>
      </c>
      <c r="E2807">
        <v>463</v>
      </c>
      <c r="F2807">
        <v>459.15</v>
      </c>
      <c r="G2807">
        <v>75772</v>
      </c>
      <c r="H2807" s="116"/>
      <c r="I2807" s="116"/>
      <c r="L2807" s="170">
        <v>46140</v>
      </c>
      <c r="M2807" s="116">
        <v>458.8</v>
      </c>
      <c r="N2807" s="116">
        <v>465</v>
      </c>
      <c r="O2807" s="116">
        <v>456</v>
      </c>
      <c r="P2807" s="116">
        <v>462.85</v>
      </c>
      <c r="Q2807" s="116">
        <v>458.8</v>
      </c>
      <c r="R2807">
        <v>1789522</v>
      </c>
    </row>
    <row r="2808" spans="1:18" x14ac:dyDescent="0.25">
      <c r="A2808" s="170">
        <v>46141</v>
      </c>
      <c r="B2808">
        <v>466</v>
      </c>
      <c r="C2808">
        <v>454.85</v>
      </c>
      <c r="D2808">
        <v>452.85</v>
      </c>
      <c r="E2808">
        <v>462.75</v>
      </c>
      <c r="F2808">
        <v>454.85</v>
      </c>
      <c r="G2808">
        <v>138971</v>
      </c>
      <c r="H2808" s="116"/>
      <c r="I2808" s="116"/>
      <c r="L2808" s="170">
        <v>46141</v>
      </c>
      <c r="M2808" s="116">
        <v>454.6</v>
      </c>
      <c r="N2808" s="116">
        <v>465.5</v>
      </c>
      <c r="O2808" s="116">
        <v>453</v>
      </c>
      <c r="P2808" s="116">
        <v>463.7</v>
      </c>
      <c r="Q2808" s="116">
        <v>454.6</v>
      </c>
      <c r="R2808">
        <v>1778884</v>
      </c>
    </row>
    <row r="2809" spans="1:18" x14ac:dyDescent="0.25">
      <c r="A2809" s="170">
        <v>46142</v>
      </c>
      <c r="B2809">
        <v>451.65</v>
      </c>
      <c r="C2809">
        <v>444.5</v>
      </c>
      <c r="D2809">
        <v>440.2</v>
      </c>
      <c r="E2809">
        <v>451.65</v>
      </c>
      <c r="F2809">
        <v>444.5</v>
      </c>
      <c r="G2809">
        <v>197466</v>
      </c>
      <c r="H2809" s="116"/>
      <c r="I2809" s="116"/>
      <c r="L2809" s="170">
        <v>46142</v>
      </c>
      <c r="M2809" s="116">
        <v>444.2</v>
      </c>
      <c r="N2809" s="116">
        <v>450.2</v>
      </c>
      <c r="O2809" s="116">
        <v>440.1</v>
      </c>
      <c r="P2809" s="116">
        <v>450.2</v>
      </c>
      <c r="Q2809" s="116">
        <v>444.2</v>
      </c>
      <c r="R2809">
        <v>3322936</v>
      </c>
    </row>
    <row r="2810" spans="1:18" x14ac:dyDescent="0.25">
      <c r="H2810" s="116"/>
      <c r="I2810" s="116"/>
    </row>
    <row r="2811" spans="1:18" x14ac:dyDescent="0.25">
      <c r="H2811" s="116"/>
      <c r="I2811" s="116"/>
    </row>
    <row r="2812" spans="1:18" x14ac:dyDescent="0.25">
      <c r="H2812" s="116"/>
      <c r="I2812" s="116"/>
    </row>
    <row r="2813" spans="1:18" x14ac:dyDescent="0.25">
      <c r="H2813" s="116"/>
      <c r="I2813" s="116"/>
    </row>
    <row r="2814" spans="1:18" x14ac:dyDescent="0.25">
      <c r="H2814" s="116"/>
      <c r="I2814" s="116"/>
    </row>
    <row r="2815" spans="1:18" x14ac:dyDescent="0.25">
      <c r="H2815" s="116"/>
      <c r="I2815" s="116"/>
    </row>
    <row r="2816" spans="1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2026-06-15T14:29:14Z</dcterms:modified>
  <cp:category/>
  <cp:contentStatus/>
</cp:coreProperties>
</file>